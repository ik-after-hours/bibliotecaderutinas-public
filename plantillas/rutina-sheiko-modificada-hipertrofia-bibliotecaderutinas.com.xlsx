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RM" sheetId="1" r:id="rId4"/>
    <sheet state="visible" name="Graficos" sheetId="2" r:id="rId5"/>
    <sheet state="visible" name="Ciclo 1" sheetId="3" r:id="rId6"/>
    <sheet state="visible" name="Ciclo 2" sheetId="4" r:id="rId7"/>
    <sheet state="visible" name="Ciclo 3" sheetId="5" r:id="rId8"/>
    <sheet state="visible" name="Ciclo 4" sheetId="6" r:id="rId9"/>
  </sheets>
  <externalReferences>
    <externalReference r:id="rId10"/>
  </externalReferences>
  <definedNames/>
  <calcPr/>
  <extLst>
    <ext uri="GoogleSheetsCustomDataVersion1">
      <go:sheetsCustomData xmlns:go="http://customooxmlschemas.google.com/" r:id="rId11" roundtripDataSignature="AMtx7miKkwjylp4b/cLrntfxaARyrIUaV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70">
      <text>
        <t xml:space="preserve">======
ID#AAAAKuHx1to
    (2020-11-07 17:49:35)
I know you're going to ask why…because you set new maxes in the second week, recover in the thrid and use those higher maxes going forward.</t>
      </text>
    </comment>
    <comment authorId="0" ref="B100">
      <text>
        <t xml:space="preserve">======
ID#AAAAKuHx1ts
    (2020-11-07 17:49:35)
Continuation of higher intensity then a tapering off.</t>
      </text>
    </comment>
  </commentList>
  <extLst>
    <ext uri="GoogleSheetsCustomDataVersion1">
      <go:sheetsCustomData xmlns:go="http://customooxmlschemas.google.com/" r:id="rId1" roundtripDataSignature="AMtx7mjZVLPWJOdPFmk0FoTnXky2E2t4UA=="/>
    </ext>
  </extLst>
</comments>
</file>

<file path=xl/sharedStrings.xml><?xml version="1.0" encoding="utf-8"?>
<sst xmlns="http://schemas.openxmlformats.org/spreadsheetml/2006/main" count="1674" uniqueCount="116">
  <si>
    <t>Made by ChaseT 2008.05.09</t>
  </si>
  <si>
    <t>Kilos</t>
  </si>
  <si>
    <t>Peso corporal</t>
  </si>
  <si>
    <t>INTRODUCE 1RM (Se conservador y no estimes al alza):</t>
  </si>
  <si>
    <t>Sentadilla</t>
  </si>
  <si>
    <t>Press de banca</t>
  </si>
  <si>
    <t>Peso muerto</t>
  </si>
  <si>
    <t>Total</t>
  </si>
  <si>
    <t>WWW.BIBLIOTECADERUTINAS.COM</t>
  </si>
  <si>
    <t>Volume Calculations</t>
  </si>
  <si>
    <t>These graphs show you volume vs intensity</t>
  </si>
  <si>
    <t>These graphs show the type of loading</t>
  </si>
  <si>
    <t>These graphs show the focus of the loading</t>
  </si>
  <si>
    <t>Adaptation</t>
  </si>
  <si>
    <t>Poundage</t>
  </si>
  <si>
    <t>4 Dia Prep</t>
  </si>
  <si>
    <t>Dead</t>
  </si>
  <si>
    <t>NL</t>
  </si>
  <si>
    <t>Avg Wt.</t>
  </si>
  <si>
    <t>Avg %</t>
  </si>
  <si>
    <t>%</t>
  </si>
  <si>
    <t>Semana 1</t>
  </si>
  <si>
    <t>Semana 2</t>
  </si>
  <si>
    <t>Semana 3</t>
  </si>
  <si>
    <t>Semana 4</t>
  </si>
  <si>
    <t>Month</t>
  </si>
  <si>
    <t>% of Lifts</t>
  </si>
  <si>
    <t>Wk1</t>
  </si>
  <si>
    <t>50-59</t>
  </si>
  <si>
    <t>Wk2</t>
  </si>
  <si>
    <t>60-69</t>
  </si>
  <si>
    <t>Wk3</t>
  </si>
  <si>
    <t>70-79</t>
  </si>
  <si>
    <t>Wk4</t>
  </si>
  <si>
    <t>80-89</t>
  </si>
  <si>
    <t>90+</t>
  </si>
  <si>
    <t xml:space="preserve">Avg. Int. </t>
  </si>
  <si>
    <t>Accumulation</t>
  </si>
  <si>
    <t>4 Dia Prep2</t>
  </si>
  <si>
    <t>Semana 5</t>
  </si>
  <si>
    <t>Semana 6</t>
  </si>
  <si>
    <t>Cycle</t>
  </si>
  <si>
    <t>Wk5</t>
  </si>
  <si>
    <t>Wk6</t>
  </si>
  <si>
    <t>Transmutation</t>
  </si>
  <si>
    <t>4 Dia Prep3</t>
  </si>
  <si>
    <t>Realization</t>
  </si>
  <si>
    <t>4 Dia Comp</t>
  </si>
  <si>
    <t>Sheiko</t>
  </si>
  <si>
    <t xml:space="preserve">Preparatory Period for Class 1 &amp; CMS </t>
  </si>
  <si>
    <t>Dia 1</t>
  </si>
  <si>
    <t>reps</t>
  </si>
  <si>
    <t>Series</t>
  </si>
  <si>
    <t>peso</t>
  </si>
  <si>
    <t>Sentadilla frontal</t>
  </si>
  <si>
    <t>Press de banca inclinado</t>
  </si>
  <si>
    <t>Abs</t>
  </si>
  <si>
    <t>Dia 3</t>
  </si>
  <si>
    <t>Peso muerto hasta las rodillas</t>
  </si>
  <si>
    <t>Peso muerto con pausa</t>
  </si>
  <si>
    <t>Dominadas</t>
  </si>
  <si>
    <t>Buenos dias</t>
  </si>
  <si>
    <t>Dia 5</t>
  </si>
  <si>
    <t>Sentadilla con pausa</t>
  </si>
  <si>
    <t>Board Press de banca</t>
  </si>
  <si>
    <t>Hiperextensiones de espalda</t>
  </si>
  <si>
    <t>Dia 6</t>
  </si>
  <si>
    <t>Deficit Peso muerto</t>
  </si>
  <si>
    <t>Peso muerto desde cajas</t>
  </si>
  <si>
    <t>Fondos</t>
  </si>
  <si>
    <t>Prensa</t>
  </si>
  <si>
    <t>Reverse Hypers</t>
  </si>
  <si>
    <t>Press frances</t>
  </si>
  <si>
    <t>Press de banca con cadenas o bandas</t>
  </si>
  <si>
    <t>Facepulls</t>
  </si>
  <si>
    <t>Extension de piernas</t>
  </si>
  <si>
    <t>Press de banca narrow grip</t>
  </si>
  <si>
    <t>Peso muerto con cadenas</t>
  </si>
  <si>
    <t>Press militar con mancuernas</t>
  </si>
  <si>
    <t>Peso muerto to knees with 2 sec pause</t>
  </si>
  <si>
    <t>Buenos dias seated</t>
  </si>
  <si>
    <t>Press de banca with middle grip</t>
  </si>
  <si>
    <t>Peso muerto w/ chains</t>
  </si>
  <si>
    <t>Extension de triceps</t>
  </si>
  <si>
    <t xml:space="preserve">Press de banca </t>
  </si>
  <si>
    <t>Press de banca w/board</t>
  </si>
  <si>
    <t>Press de banca with chains</t>
  </si>
  <si>
    <t xml:space="preserve">Peso muerto desde cajas </t>
  </si>
  <si>
    <t>Press militar en banco</t>
  </si>
  <si>
    <t>Press de banca w/chains</t>
  </si>
  <si>
    <t>Peso muerto to knees</t>
  </si>
  <si>
    <t xml:space="preserve">1 + 1/2 (x2) Peso muerto </t>
  </si>
  <si>
    <t xml:space="preserve"> </t>
  </si>
  <si>
    <t xml:space="preserve">3 + 1/2 (x2) Peso muerto </t>
  </si>
  <si>
    <t xml:space="preserve">4 + 1/2 (x2) Peso muerto </t>
  </si>
  <si>
    <t>Press de banca agarre estrecho</t>
  </si>
  <si>
    <t>Peso muerto up to knees</t>
  </si>
  <si>
    <t>Peso muerto off boxes bar is 5cm below knees</t>
  </si>
  <si>
    <t>Peso muerto w/pause 5cm above knees</t>
  </si>
  <si>
    <t>DB Press de banca</t>
  </si>
  <si>
    <t>Peso muerto con cadenas off boxes, bar is 10-12cm below knees</t>
  </si>
  <si>
    <t>100%-105%</t>
  </si>
  <si>
    <t>2-3</t>
  </si>
  <si>
    <t>Peso muerto up to knees w/pause</t>
  </si>
  <si>
    <t>1(x2) + 1/2 (x2) Peso muerto, alternating</t>
  </si>
  <si>
    <t>1 + 1/2 (x2) Peso muerto, alternating</t>
  </si>
  <si>
    <t>Decline Press de banca</t>
  </si>
  <si>
    <t>1 + 1/2 (x2) Peso muerto</t>
  </si>
  <si>
    <t>1 + 1/2 Peso muerto</t>
  </si>
  <si>
    <t>Peso muerto from boxes, bar is 5cm below knees</t>
  </si>
  <si>
    <t xml:space="preserve">Competition Period for Class 1 &amp; CMS </t>
  </si>
  <si>
    <t>6</t>
  </si>
  <si>
    <t>1-2</t>
  </si>
  <si>
    <t>Rest</t>
  </si>
  <si>
    <t>5-6-7 Dia</t>
  </si>
  <si>
    <t>Competition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</si>
</sst>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8">
    <font>
      <sz val="10.0"/>
      <color rgb="FF000000"/>
      <name val="Arimo"/>
    </font>
    <font>
      <sz val="10.0"/>
      <color theme="1"/>
      <name val="Arial ce"/>
    </font>
    <font>
      <sz val="10.0"/>
      <color theme="1"/>
      <name val="Arimo"/>
    </font>
    <font>
      <b/>
      <sz val="10.0"/>
      <color rgb="FFFFFFFF"/>
      <name val="Lato"/>
    </font>
    <font>
      <sz val="10.0"/>
      <color rgb="FFFFFFFF"/>
      <name val="Arimo"/>
    </font>
    <font>
      <sz val="8.0"/>
      <color theme="1"/>
      <name val="Lato"/>
    </font>
    <font>
      <b/>
      <sz val="9.0"/>
      <color theme="1"/>
      <name val="Lato"/>
    </font>
    <font>
      <sz val="12.0"/>
      <color theme="1"/>
      <name val="Lato"/>
    </font>
    <font>
      <b/>
      <sz val="10.0"/>
      <color theme="1"/>
      <name val="Lato"/>
    </font>
    <font>
      <sz val="16.0"/>
      <color theme="1"/>
      <name val="Lato"/>
    </font>
    <font>
      <sz val="10.0"/>
      <color rgb="FFFFFFFF"/>
      <name val="Lato"/>
    </font>
    <font>
      <b/>
      <u/>
      <sz val="10.0"/>
      <color theme="10"/>
      <name val="Arimo"/>
    </font>
    <font/>
    <font>
      <b/>
      <sz val="10.0"/>
      <color theme="1"/>
      <name val="Arimo"/>
    </font>
    <font>
      <sz val="10.0"/>
      <color theme="1"/>
      <name val="Lato"/>
    </font>
    <font>
      <u/>
      <sz val="10.0"/>
      <color theme="10"/>
      <name val="Arimo"/>
    </font>
    <font>
      <b/>
      <sz val="8.0"/>
      <color theme="1"/>
      <name val="Lato"/>
    </font>
    <font>
      <b/>
      <sz val="16.0"/>
      <color theme="1"/>
      <name val="Arial"/>
    </font>
    <font>
      <sz val="12.0"/>
      <color rgb="FF006100"/>
      <name val="Calibri"/>
    </font>
    <font>
      <sz val="10.0"/>
      <color rgb="FFCCFFCC"/>
      <name val="Lato"/>
    </font>
    <font>
      <sz val="12.0"/>
      <color rgb="FF9C6500"/>
      <name val="Calibri"/>
    </font>
    <font>
      <sz val="10.0"/>
      <color rgb="FFFFFF00"/>
      <name val="Lato"/>
    </font>
    <font>
      <sz val="12.0"/>
      <color rgb="FF9C0006"/>
      <name val="Calibri"/>
    </font>
    <font>
      <sz val="10.0"/>
      <color rgb="FFFABF8F"/>
      <name val="Lato"/>
    </font>
    <font>
      <sz val="8.0"/>
      <color rgb="FFFF0000"/>
      <name val="Lato"/>
    </font>
    <font>
      <sz val="10.0"/>
      <color rgb="FFFF0000"/>
      <name val="Lato"/>
    </font>
    <font>
      <sz val="10.0"/>
      <color rgb="FFFF0000"/>
      <name val="Arimo"/>
    </font>
    <font>
      <b/>
      <sz val="10.0"/>
      <color rgb="FFFF0000"/>
      <name val="Arimo"/>
    </font>
    <font>
      <b/>
      <u/>
      <sz val="10.0"/>
      <color theme="10"/>
      <name val="Arimo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0000FF"/>
      <name val="Arimo"/>
    </font>
    <font>
      <sz val="10.0"/>
      <color rgb="FFFFFF00"/>
      <name val="Arimo"/>
    </font>
    <font>
      <sz val="10.0"/>
      <color rgb="FFCCFFCC"/>
      <name val="Arimo"/>
    </font>
    <font>
      <sz val="10.0"/>
      <color rgb="FFFABF8F"/>
      <name val="Arimo"/>
    </font>
    <font>
      <b/>
      <sz val="10.0"/>
      <color rgb="FF000000"/>
      <name val="Arimo"/>
    </font>
    <font>
      <b/>
      <i/>
      <sz val="10.0"/>
      <color rgb="FFFF0000"/>
      <name val="Arimo"/>
    </font>
    <font>
      <b/>
      <sz val="12.0"/>
      <color theme="1"/>
      <name val="Arimo"/>
    </font>
  </fonts>
  <fills count="1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B6D7A8"/>
        <bgColor rgb="FFB6D7A8"/>
      </patternFill>
    </fill>
    <fill>
      <patternFill patternType="solid">
        <fgColor rgb="FFFFEB9C"/>
        <bgColor rgb="FFFFEB9C"/>
      </patternFill>
    </fill>
    <fill>
      <patternFill patternType="solid">
        <fgColor rgb="FFFFE599"/>
        <bgColor rgb="FFFFE599"/>
      </patternFill>
    </fill>
    <fill>
      <patternFill patternType="solid">
        <fgColor rgb="FFFABF8F"/>
        <bgColor rgb="FFFABF8F"/>
      </patternFill>
    </fill>
    <fill>
      <patternFill patternType="solid">
        <fgColor rgb="FFF9CB9C"/>
        <bgColor rgb="FFF9CB9C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</fills>
  <borders count="38">
    <border/>
    <border>
      <bottom style="thin">
        <color rgb="FF000000"/>
      </bottom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dotted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/>
    </border>
    <border>
      <right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</border>
    <border>
      <left style="thin">
        <color rgb="FF3C3C3C"/>
      </left>
    </border>
    <border>
      <right style="thin">
        <color rgb="FF3C3C3C"/>
      </right>
    </border>
    <border>
      <left style="thin">
        <color rgb="FF3C3C3C"/>
      </left>
      <bottom style="thin">
        <color rgb="FF3C3C3C"/>
      </bottom>
    </border>
    <border>
      <right style="thin">
        <color rgb="FF3C3C3C"/>
      </right>
      <bottom style="thin">
        <color rgb="FF3C3C3C"/>
      </bottom>
    </border>
    <border>
      <bottom style="thin">
        <color rgb="FF3C3C3C"/>
      </bottom>
    </border>
    <border>
      <left/>
      <right style="thin">
        <color rgb="FF3C3C3C"/>
      </right>
      <top style="thin">
        <color rgb="FF3C3C3C"/>
      </top>
      <bottom style="thin">
        <color rgb="FF3C3C3C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1" fillId="0" fontId="1" numFmtId="1" xfId="0" applyBorder="1" applyFont="1" applyNumberFormat="1"/>
    <xf borderId="0" fillId="0" fontId="1" numFmtId="1" xfId="0" applyAlignment="1" applyFont="1" applyNumberFormat="1">
      <alignment horizontal="left"/>
    </xf>
    <xf borderId="0" fillId="0" fontId="2" numFmtId="0" xfId="0" applyFont="1"/>
    <xf borderId="2" fillId="0" fontId="1" numFmtId="0" xfId="0" applyBorder="1" applyFont="1"/>
    <xf borderId="3" fillId="2" fontId="3" numFmtId="0" xfId="0" applyAlignment="1" applyBorder="1" applyFill="1" applyFont="1">
      <alignment horizontal="center" shrinkToFit="0" wrapText="1"/>
    </xf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right"/>
    </xf>
    <xf borderId="0" fillId="0" fontId="5" numFmtId="1" xfId="0" applyFont="1" applyNumberFormat="1"/>
    <xf borderId="4" fillId="0" fontId="6" numFmtId="1" xfId="0" applyAlignment="1" applyBorder="1" applyFont="1" applyNumberFormat="1">
      <alignment horizontal="center" readingOrder="0" vertical="center"/>
    </xf>
    <xf borderId="3" fillId="3" fontId="7" numFmtId="0" xfId="0" applyAlignment="1" applyBorder="1" applyFill="1" applyFont="1">
      <alignment horizontal="right"/>
    </xf>
    <xf borderId="3" fillId="3" fontId="7" numFmtId="1" xfId="0" applyAlignment="1" applyBorder="1" applyFont="1" applyNumberFormat="1">
      <alignment horizontal="left"/>
    </xf>
    <xf borderId="4" fillId="4" fontId="8" numFmtId="1" xfId="0" applyAlignment="1" applyBorder="1" applyFill="1" applyFont="1" applyNumberFormat="1">
      <alignment horizontal="center" vertical="center"/>
    </xf>
    <xf borderId="3" fillId="5" fontId="7" numFmtId="0" xfId="0" applyAlignment="1" applyBorder="1" applyFill="1" applyFont="1">
      <alignment horizontal="right"/>
    </xf>
    <xf borderId="3" fillId="5" fontId="7" numFmtId="1" xfId="0" applyAlignment="1" applyBorder="1" applyFont="1" applyNumberFormat="1">
      <alignment horizontal="left"/>
    </xf>
    <xf borderId="3" fillId="6" fontId="7" numFmtId="0" xfId="0" applyAlignment="1" applyBorder="1" applyFill="1" applyFont="1">
      <alignment horizontal="right"/>
    </xf>
    <xf borderId="3" fillId="6" fontId="7" numFmtId="1" xfId="0" applyAlignment="1" applyBorder="1" applyFont="1" applyNumberFormat="1">
      <alignment horizontal="left"/>
    </xf>
    <xf borderId="1" fillId="0" fontId="9" numFmtId="0" xfId="0" applyAlignment="1" applyBorder="1" applyFont="1">
      <alignment horizontal="right"/>
    </xf>
    <xf borderId="5" fillId="0" fontId="9" numFmtId="1" xfId="0" applyAlignment="1" applyBorder="1" applyFont="1" applyNumberFormat="1">
      <alignment horizontal="left"/>
    </xf>
    <xf borderId="0" fillId="0" fontId="10" numFmtId="1" xfId="0" applyAlignment="1" applyFont="1" applyNumberFormat="1">
      <alignment horizontal="left" vertical="top"/>
    </xf>
    <xf borderId="6" fillId="2" fontId="1" numFmtId="1" xfId="0" applyBorder="1" applyFont="1" applyNumberFormat="1"/>
    <xf borderId="7" fillId="2" fontId="1" numFmtId="10" xfId="0" applyBorder="1" applyFont="1" applyNumberFormat="1"/>
    <xf borderId="3" fillId="7" fontId="1" numFmtId="1" xfId="0" applyAlignment="1" applyBorder="1" applyFill="1" applyFont="1" applyNumberFormat="1">
      <alignment horizontal="left"/>
    </xf>
    <xf borderId="8" fillId="4" fontId="11" numFmtId="0" xfId="0" applyAlignment="1" applyBorder="1" applyFont="1">
      <alignment horizontal="center" vertical="center"/>
    </xf>
    <xf borderId="9" fillId="0" fontId="12" numFmtId="0" xfId="0" applyBorder="1" applyFont="1"/>
    <xf borderId="10" fillId="0" fontId="12" numFmtId="0" xfId="0" applyBorder="1" applyFont="1"/>
    <xf borderId="11" fillId="0" fontId="12" numFmtId="0" xfId="0" applyBorder="1" applyFont="1"/>
    <xf borderId="12" fillId="0" fontId="12" numFmtId="0" xfId="0" applyBorder="1" applyFont="1"/>
    <xf borderId="13" fillId="0" fontId="12" numFmtId="0" xfId="0" applyBorder="1" applyFont="1"/>
    <xf borderId="14" fillId="0" fontId="12" numFmtId="0" xfId="0" applyBorder="1" applyFont="1"/>
    <xf borderId="15" fillId="0" fontId="12" numFmtId="0" xfId="0" applyBorder="1" applyFont="1"/>
    <xf borderId="0" fillId="0" fontId="13" numFmtId="0" xfId="0" applyFont="1"/>
    <xf borderId="0" fillId="0" fontId="2" numFmtId="1" xfId="0" applyFont="1" applyNumberFormat="1"/>
    <xf borderId="0" fillId="0" fontId="2" numFmtId="2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3" fillId="4" fontId="2" numFmtId="1" xfId="0" applyBorder="1" applyFont="1" applyNumberFormat="1"/>
    <xf borderId="3" fillId="4" fontId="2" numFmtId="1" xfId="0" applyAlignment="1" applyBorder="1" applyFont="1" applyNumberFormat="1">
      <alignment horizontal="center"/>
    </xf>
    <xf borderId="3" fillId="4" fontId="2" numFmtId="0" xfId="0" applyBorder="1" applyFont="1"/>
    <xf borderId="0" fillId="0" fontId="2" numFmtId="164" xfId="0" applyAlignment="1" applyFont="1" applyNumberFormat="1">
      <alignment horizontal="center"/>
    </xf>
    <xf borderId="3" fillId="4" fontId="0" numFmtId="0" xfId="0" applyBorder="1" applyFont="1"/>
    <xf borderId="0" fillId="0" fontId="2" numFmtId="1" xfId="0" applyAlignment="1" applyFont="1" applyNumberFormat="1">
      <alignment horizontal="center"/>
    </xf>
    <xf borderId="0" fillId="0" fontId="13" numFmtId="1" xfId="0" applyFont="1" applyNumberFormat="1"/>
    <xf borderId="0" fillId="0" fontId="13" numFmtId="2" xfId="0" applyAlignment="1" applyFont="1" applyNumberFormat="1">
      <alignment horizontal="left"/>
    </xf>
    <xf borderId="0" fillId="0" fontId="13" numFmtId="1" xfId="0" applyAlignment="1" applyFont="1" applyNumberFormat="1">
      <alignment horizontal="center"/>
    </xf>
    <xf borderId="0" fillId="0" fontId="2" numFmtId="9" xfId="0" applyFont="1" applyNumberFormat="1"/>
    <xf borderId="0" fillId="0" fontId="2" numFmtId="164" xfId="0" applyFont="1" applyNumberFormat="1"/>
    <xf borderId="0" fillId="0" fontId="5" numFmtId="0" xfId="0" applyAlignment="1" applyFont="1">
      <alignment horizontal="right" vertical="center"/>
    </xf>
    <xf borderId="0" fillId="0" fontId="14" numFmtId="0" xfId="0" applyFont="1"/>
    <xf borderId="16" fillId="4" fontId="15" numFmtId="0" xfId="0" applyAlignment="1" applyBorder="1" applyFont="1">
      <alignment horizontal="center" vertical="center"/>
    </xf>
    <xf borderId="17" fillId="0" fontId="12" numFmtId="0" xfId="0" applyBorder="1" applyFont="1"/>
    <xf borderId="18" fillId="0" fontId="12" numFmtId="0" xfId="0" applyBorder="1" applyFont="1"/>
    <xf borderId="19" fillId="0" fontId="12" numFmtId="0" xfId="0" applyBorder="1" applyFont="1"/>
    <xf borderId="20" fillId="0" fontId="12" numFmtId="0" xfId="0" applyBorder="1" applyFont="1"/>
    <xf borderId="21" fillId="0" fontId="12" numFmtId="0" xfId="0" applyBorder="1" applyFont="1"/>
    <xf borderId="0" fillId="0" fontId="14" numFmtId="0" xfId="0" applyAlignment="1" applyFont="1">
      <alignment horizontal="center"/>
    </xf>
    <xf borderId="0" fillId="0" fontId="16" numFmtId="0" xfId="0" applyAlignment="1" applyFont="1">
      <alignment horizontal="right" vertical="center"/>
    </xf>
    <xf borderId="0" fillId="0" fontId="17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13" numFmtId="0" xfId="0" applyAlignment="1" applyFont="1">
      <alignment vertical="center"/>
    </xf>
    <xf borderId="22" fillId="2" fontId="10" numFmtId="0" xfId="0" applyAlignment="1" applyBorder="1" applyFont="1">
      <alignment vertical="center"/>
    </xf>
    <xf borderId="23" fillId="2" fontId="10" numFmtId="0" xfId="0" applyAlignment="1" applyBorder="1" applyFont="1">
      <alignment horizontal="center" vertical="center"/>
    </xf>
    <xf borderId="23" fillId="2" fontId="10" numFmtId="0" xfId="0" applyAlignment="1" applyBorder="1" applyFont="1">
      <alignment vertical="center"/>
    </xf>
    <xf borderId="24" fillId="2" fontId="10" numFmtId="0" xfId="0" applyAlignment="1" applyBorder="1" applyFont="1">
      <alignment vertical="center"/>
    </xf>
    <xf borderId="25" fillId="3" fontId="14" numFmtId="0" xfId="0" applyAlignment="1" applyBorder="1" applyFont="1">
      <alignment horizontal="left"/>
    </xf>
    <xf borderId="3" fillId="3" fontId="14" numFmtId="9" xfId="0" applyAlignment="1" applyBorder="1" applyFont="1" applyNumberFormat="1">
      <alignment horizontal="center"/>
    </xf>
    <xf borderId="3" fillId="3" fontId="14" numFmtId="1" xfId="0" applyAlignment="1" applyBorder="1" applyFont="1" applyNumberFormat="1">
      <alignment horizontal="center"/>
    </xf>
    <xf borderId="26" fillId="3" fontId="14" numFmtId="1" xfId="0" applyAlignment="1" applyBorder="1" applyFont="1" applyNumberFormat="1">
      <alignment horizontal="center"/>
    </xf>
    <xf borderId="3" fillId="8" fontId="18" numFmtId="1" xfId="0" applyAlignment="1" applyBorder="1" applyFill="1" applyFont="1" applyNumberFormat="1">
      <alignment horizontal="center"/>
    </xf>
    <xf borderId="25" fillId="3" fontId="19" numFmtId="0" xfId="0" applyAlignment="1" applyBorder="1" applyFont="1">
      <alignment horizontal="left"/>
    </xf>
    <xf borderId="3" fillId="3" fontId="14" numFmtId="0" xfId="0" applyAlignment="1" applyBorder="1" applyFont="1">
      <alignment horizontal="center"/>
    </xf>
    <xf borderId="3" fillId="9" fontId="14" numFmtId="9" xfId="0" applyAlignment="1" applyBorder="1" applyFill="1" applyFont="1" applyNumberFormat="1">
      <alignment horizontal="center"/>
    </xf>
    <xf borderId="3" fillId="9" fontId="14" numFmtId="0" xfId="0" applyAlignment="1" applyBorder="1" applyFont="1">
      <alignment horizontal="center"/>
    </xf>
    <xf borderId="3" fillId="9" fontId="14" numFmtId="1" xfId="0" applyAlignment="1" applyBorder="1" applyFont="1" applyNumberFormat="1">
      <alignment horizontal="center"/>
    </xf>
    <xf borderId="26" fillId="9" fontId="14" numFmtId="1" xfId="0" applyAlignment="1" applyBorder="1" applyFont="1" applyNumberFormat="1">
      <alignment horizontal="center"/>
    </xf>
    <xf borderId="25" fillId="5" fontId="14" numFmtId="0" xfId="0" applyAlignment="1" applyBorder="1" applyFont="1">
      <alignment horizontal="left"/>
    </xf>
    <xf borderId="3" fillId="5" fontId="14" numFmtId="9" xfId="0" applyAlignment="1" applyBorder="1" applyFont="1" applyNumberFormat="1">
      <alignment horizontal="center"/>
    </xf>
    <xf borderId="3" fillId="5" fontId="14" numFmtId="0" xfId="0" applyAlignment="1" applyBorder="1" applyFont="1">
      <alignment horizontal="center"/>
    </xf>
    <xf borderId="3" fillId="5" fontId="14" numFmtId="1" xfId="0" applyAlignment="1" applyBorder="1" applyFont="1" applyNumberFormat="1">
      <alignment horizontal="center"/>
    </xf>
    <xf borderId="26" fillId="5" fontId="14" numFmtId="1" xfId="0" applyAlignment="1" applyBorder="1" applyFont="1" applyNumberFormat="1">
      <alignment horizontal="center"/>
    </xf>
    <xf borderId="3" fillId="10" fontId="20" numFmtId="1" xfId="0" applyAlignment="1" applyBorder="1" applyFill="1" applyFont="1" applyNumberFormat="1">
      <alignment horizontal="center"/>
    </xf>
    <xf borderId="25" fillId="5" fontId="21" numFmtId="0" xfId="0" applyAlignment="1" applyBorder="1" applyFont="1">
      <alignment horizontal="left"/>
    </xf>
    <xf borderId="3" fillId="11" fontId="14" numFmtId="9" xfId="0" applyAlignment="1" applyBorder="1" applyFill="1" applyFont="1" applyNumberFormat="1">
      <alignment horizontal="center"/>
    </xf>
    <xf borderId="3" fillId="11" fontId="14" numFmtId="0" xfId="0" applyAlignment="1" applyBorder="1" applyFont="1">
      <alignment horizontal="center"/>
    </xf>
    <xf borderId="3" fillId="11" fontId="14" numFmtId="1" xfId="0" applyAlignment="1" applyBorder="1" applyFont="1" applyNumberFormat="1">
      <alignment horizontal="center"/>
    </xf>
    <xf borderId="26" fillId="11" fontId="14" numFmtId="1" xfId="0" applyAlignment="1" applyBorder="1" applyFont="1" applyNumberFormat="1">
      <alignment horizontal="center"/>
    </xf>
    <xf borderId="27" fillId="0" fontId="14" numFmtId="0" xfId="0" applyBorder="1" applyFont="1"/>
    <xf borderId="2" fillId="0" fontId="14" numFmtId="0" xfId="0" applyBorder="1" applyFont="1"/>
    <xf borderId="28" fillId="0" fontId="14" numFmtId="0" xfId="0" applyBorder="1" applyFont="1"/>
    <xf borderId="1" fillId="0" fontId="14" numFmtId="0" xfId="0" applyAlignment="1" applyBorder="1" applyFont="1">
      <alignment horizontal="center"/>
    </xf>
    <xf borderId="1" fillId="0" fontId="14" numFmtId="0" xfId="0" applyBorder="1" applyFont="1"/>
    <xf borderId="5" fillId="0" fontId="14" numFmtId="0" xfId="0" applyBorder="1" applyFont="1"/>
    <xf borderId="25" fillId="6" fontId="14" numFmtId="0" xfId="0" applyAlignment="1" applyBorder="1" applyFont="1">
      <alignment horizontal="left"/>
    </xf>
    <xf borderId="3" fillId="6" fontId="14" numFmtId="9" xfId="0" applyAlignment="1" applyBorder="1" applyFont="1" applyNumberFormat="1">
      <alignment horizontal="center"/>
    </xf>
    <xf borderId="3" fillId="6" fontId="14" numFmtId="0" xfId="0" applyAlignment="1" applyBorder="1" applyFont="1">
      <alignment horizontal="center"/>
    </xf>
    <xf borderId="3" fillId="6" fontId="14" numFmtId="1" xfId="0" applyAlignment="1" applyBorder="1" applyFont="1" applyNumberFormat="1">
      <alignment horizontal="center"/>
    </xf>
    <xf borderId="26" fillId="6" fontId="14" numFmtId="1" xfId="0" applyAlignment="1" applyBorder="1" applyFont="1" applyNumberFormat="1">
      <alignment horizontal="center"/>
    </xf>
    <xf borderId="3" fillId="12" fontId="2" numFmtId="1" xfId="0" applyAlignment="1" applyBorder="1" applyFill="1" applyFont="1" applyNumberFormat="1">
      <alignment horizontal="center"/>
    </xf>
    <xf borderId="3" fillId="12" fontId="22" numFmtId="1" xfId="0" applyAlignment="1" applyBorder="1" applyFont="1" applyNumberFormat="1">
      <alignment horizontal="center"/>
    </xf>
    <xf borderId="3" fillId="13" fontId="14" numFmtId="9" xfId="0" applyAlignment="1" applyBorder="1" applyFill="1" applyFont="1" applyNumberFormat="1">
      <alignment horizontal="center"/>
    </xf>
    <xf borderId="3" fillId="13" fontId="14" numFmtId="0" xfId="0" applyAlignment="1" applyBorder="1" applyFont="1">
      <alignment horizontal="center"/>
    </xf>
    <xf borderId="3" fillId="13" fontId="14" numFmtId="1" xfId="0" applyAlignment="1" applyBorder="1" applyFont="1" applyNumberFormat="1">
      <alignment horizontal="center"/>
    </xf>
    <xf borderId="26" fillId="13" fontId="14" numFmtId="1" xfId="0" applyAlignment="1" applyBorder="1" applyFont="1" applyNumberFormat="1">
      <alignment horizontal="center"/>
    </xf>
    <xf borderId="25" fillId="6" fontId="23" numFmtId="0" xfId="0" applyAlignment="1" applyBorder="1" applyFont="1">
      <alignment horizontal="left"/>
    </xf>
    <xf borderId="4" fillId="2" fontId="10" numFmtId="0" xfId="0" applyAlignment="1" applyBorder="1" applyFont="1">
      <alignment vertical="center"/>
    </xf>
    <xf borderId="27" fillId="0" fontId="14" numFmtId="0" xfId="0" applyAlignment="1" applyBorder="1" applyFont="1">
      <alignment horizontal="left"/>
    </xf>
    <xf borderId="0" fillId="0" fontId="14" numFmtId="9" xfId="0" applyAlignment="1" applyFont="1" applyNumberFormat="1">
      <alignment horizontal="center"/>
    </xf>
    <xf borderId="0" fillId="0" fontId="14" numFmtId="1" xfId="0" applyAlignment="1" applyFont="1" applyNumberFormat="1">
      <alignment horizontal="center"/>
    </xf>
    <xf borderId="2" fillId="0" fontId="14" numFmtId="1" xfId="0" applyAlignment="1" applyBorder="1" applyFont="1" applyNumberFormat="1">
      <alignment horizontal="center"/>
    </xf>
    <xf borderId="0" fillId="0" fontId="24" numFmtId="0" xfId="0" applyAlignment="1" applyFont="1">
      <alignment horizontal="right" vertical="center"/>
    </xf>
    <xf borderId="0" fillId="0" fontId="25" numFmtId="0" xfId="0" applyFont="1"/>
    <xf borderId="0" fillId="0" fontId="25" numFmtId="0" xfId="0" applyAlignment="1" applyFont="1">
      <alignment horizontal="center"/>
    </xf>
    <xf borderId="0" fillId="0" fontId="26" numFmtId="1" xfId="0" applyFont="1" applyNumberFormat="1"/>
    <xf borderId="0" fillId="0" fontId="26" numFmtId="0" xfId="0" applyFont="1"/>
    <xf borderId="0" fillId="0" fontId="8" numFmtId="0" xfId="0" applyFont="1"/>
    <xf borderId="0" fillId="0" fontId="8" numFmtId="0" xfId="0" applyAlignment="1" applyFont="1">
      <alignment horizontal="center"/>
    </xf>
    <xf borderId="0" fillId="0" fontId="27" numFmtId="1" xfId="0" applyFont="1" applyNumberFormat="1"/>
    <xf borderId="0" fillId="0" fontId="27" numFmtId="0" xfId="0" applyFont="1"/>
    <xf borderId="0" fillId="0" fontId="14" numFmtId="0" xfId="0" applyAlignment="1" applyFont="1">
      <alignment horizontal="left"/>
    </xf>
    <xf borderId="3" fillId="8" fontId="18" numFmtId="0" xfId="0" applyBorder="1" applyFont="1"/>
    <xf borderId="3" fillId="10" fontId="20" numFmtId="0" xfId="0" applyBorder="1" applyFont="1"/>
    <xf borderId="3" fillId="12" fontId="2" numFmtId="0" xfId="0" applyBorder="1" applyFont="1"/>
    <xf borderId="16" fillId="4" fontId="28" numFmtId="0" xfId="0" applyAlignment="1" applyBorder="1" applyFont="1">
      <alignment horizontal="center" vertical="center"/>
    </xf>
    <xf borderId="0" fillId="0" fontId="29" numFmtId="0" xfId="0" applyFont="1"/>
    <xf borderId="0" fillId="0" fontId="29" numFmtId="9" xfId="0" applyAlignment="1" applyFont="1" applyNumberFormat="1">
      <alignment horizontal="center"/>
    </xf>
    <xf borderId="0" fillId="0" fontId="29" numFmtId="1" xfId="0" applyAlignment="1" applyFont="1" applyNumberFormat="1">
      <alignment horizontal="center"/>
    </xf>
    <xf borderId="29" fillId="0" fontId="12" numFmtId="0" xfId="0" applyBorder="1" applyFont="1"/>
    <xf borderId="30" fillId="0" fontId="12" numFmtId="0" xfId="0" applyBorder="1" applyFont="1"/>
    <xf borderId="0" fillId="0" fontId="30" numFmtId="1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31" numFmtId="1" xfId="0" applyAlignment="1" applyFont="1" applyNumberFormat="1">
      <alignment horizontal="center"/>
    </xf>
    <xf borderId="0" fillId="0" fontId="2" numFmtId="9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13" numFmtId="9" xfId="0" applyAlignment="1" applyFont="1" applyNumberFormat="1">
      <alignment horizontal="center"/>
    </xf>
    <xf borderId="31" fillId="14" fontId="13" numFmtId="0" xfId="0" applyBorder="1" applyFill="1" applyFont="1"/>
    <xf borderId="31" fillId="14" fontId="2" numFmtId="0" xfId="0" applyAlignment="1" applyBorder="1" applyFont="1">
      <alignment horizontal="left"/>
    </xf>
    <xf borderId="31" fillId="14" fontId="2" numFmtId="9" xfId="0" applyAlignment="1" applyBorder="1" applyFont="1" applyNumberFormat="1">
      <alignment horizontal="center"/>
    </xf>
    <xf borderId="31" fillId="14" fontId="2" numFmtId="0" xfId="0" applyAlignment="1" applyBorder="1" applyFont="1">
      <alignment horizontal="center"/>
    </xf>
    <xf borderId="31" fillId="14" fontId="2" numFmtId="1" xfId="0" applyAlignment="1" applyBorder="1" applyFont="1" applyNumberFormat="1">
      <alignment horizontal="center"/>
    </xf>
    <xf borderId="32" fillId="0" fontId="2" numFmtId="1" xfId="0" applyAlignment="1" applyBorder="1" applyFont="1" applyNumberFormat="1">
      <alignment horizontal="center"/>
    </xf>
    <xf borderId="33" fillId="0" fontId="2" numFmtId="1" xfId="0" applyAlignment="1" applyBorder="1" applyFont="1" applyNumberFormat="1">
      <alignment horizontal="center"/>
    </xf>
    <xf borderId="4" fillId="10" fontId="20" numFmtId="1" xfId="0" applyAlignment="1" applyBorder="1" applyFont="1" applyNumberFormat="1">
      <alignment horizontal="center"/>
    </xf>
    <xf borderId="31" fillId="14" fontId="32" numFmtId="0" xfId="0" applyAlignment="1" applyBorder="1" applyFont="1">
      <alignment horizontal="left"/>
    </xf>
    <xf borderId="31" fillId="15" fontId="13" numFmtId="0" xfId="0" applyBorder="1" applyFill="1" applyFont="1"/>
    <xf borderId="31" fillId="15" fontId="2" numFmtId="0" xfId="0" applyAlignment="1" applyBorder="1" applyFont="1">
      <alignment horizontal="left"/>
    </xf>
    <xf borderId="31" fillId="15" fontId="2" numFmtId="9" xfId="0" applyAlignment="1" applyBorder="1" applyFont="1" applyNumberFormat="1">
      <alignment horizontal="center"/>
    </xf>
    <xf borderId="31" fillId="15" fontId="2" numFmtId="0" xfId="0" applyAlignment="1" applyBorder="1" applyFont="1">
      <alignment horizontal="center"/>
    </xf>
    <xf borderId="31" fillId="15" fontId="2" numFmtId="1" xfId="0" applyAlignment="1" applyBorder="1" applyFont="1" applyNumberFormat="1">
      <alignment horizontal="center"/>
    </xf>
    <xf borderId="4" fillId="8" fontId="18" numFmtId="1" xfId="0" applyAlignment="1" applyBorder="1" applyFont="1" applyNumberFormat="1">
      <alignment horizontal="center"/>
    </xf>
    <xf borderId="31" fillId="15" fontId="33" numFmtId="0" xfId="0" applyAlignment="1" applyBorder="1" applyFont="1">
      <alignment horizontal="left"/>
    </xf>
    <xf borderId="31" fillId="0" fontId="13" numFmtId="0" xfId="0" applyBorder="1" applyFont="1"/>
    <xf borderId="31" fillId="0" fontId="2" numFmtId="0" xfId="0" applyAlignment="1" applyBorder="1" applyFont="1">
      <alignment horizontal="left"/>
    </xf>
    <xf borderId="31" fillId="0" fontId="2" numFmtId="9" xfId="0" applyAlignment="1" applyBorder="1" applyFont="1" applyNumberFormat="1">
      <alignment horizontal="center"/>
    </xf>
    <xf borderId="31" fillId="0" fontId="2" numFmtId="0" xfId="0" applyAlignment="1" applyBorder="1" applyFont="1">
      <alignment horizontal="center"/>
    </xf>
    <xf borderId="31" fillId="0" fontId="2" numFmtId="1" xfId="0" applyAlignment="1" applyBorder="1" applyFont="1" applyNumberFormat="1">
      <alignment horizontal="center"/>
    </xf>
    <xf borderId="31" fillId="16" fontId="13" numFmtId="0" xfId="0" applyBorder="1" applyFill="1" applyFont="1"/>
    <xf borderId="31" fillId="16" fontId="2" numFmtId="0" xfId="0" applyAlignment="1" applyBorder="1" applyFont="1">
      <alignment horizontal="left"/>
    </xf>
    <xf borderId="31" fillId="16" fontId="2" numFmtId="9" xfId="0" applyAlignment="1" applyBorder="1" applyFont="1" applyNumberFormat="1">
      <alignment horizontal="center"/>
    </xf>
    <xf borderId="31" fillId="16" fontId="2" numFmtId="0" xfId="0" applyAlignment="1" applyBorder="1" applyFont="1">
      <alignment horizontal="center"/>
    </xf>
    <xf borderId="31" fillId="16" fontId="2" numFmtId="1" xfId="0" applyAlignment="1" applyBorder="1" applyFont="1" applyNumberFormat="1">
      <alignment horizontal="center"/>
    </xf>
    <xf borderId="4" fillId="12" fontId="22" numFmtId="1" xfId="0" applyAlignment="1" applyBorder="1" applyFont="1" applyNumberFormat="1">
      <alignment horizontal="center"/>
    </xf>
    <xf borderId="31" fillId="16" fontId="34" numFmtId="0" xfId="0" applyAlignment="1" applyBorder="1" applyFont="1">
      <alignment horizontal="left"/>
    </xf>
    <xf borderId="31" fillId="0" fontId="35" numFmtId="0" xfId="0" applyBorder="1" applyFont="1"/>
    <xf borderId="31" fillId="0" fontId="0" numFmtId="0" xfId="0" applyAlignment="1" applyBorder="1" applyFont="1">
      <alignment horizontal="left"/>
    </xf>
    <xf borderId="31" fillId="0" fontId="0" numFmtId="9" xfId="0" applyAlignment="1" applyBorder="1" applyFont="1" applyNumberFormat="1">
      <alignment horizontal="center"/>
    </xf>
    <xf borderId="31" fillId="0" fontId="0" numFmtId="0" xfId="0" applyAlignment="1" applyBorder="1" applyFont="1">
      <alignment horizontal="center"/>
    </xf>
    <xf borderId="31" fillId="0" fontId="0" numFmtId="1" xfId="0" applyAlignment="1" applyBorder="1" applyFont="1" applyNumberFormat="1">
      <alignment horizontal="center"/>
    </xf>
    <xf borderId="0" fillId="0" fontId="36" numFmtId="0" xfId="0" applyFont="1"/>
    <xf borderId="0" fillId="0" fontId="36" numFmtId="0" xfId="0" applyAlignment="1" applyFont="1">
      <alignment horizontal="left"/>
    </xf>
    <xf borderId="0" fillId="0" fontId="36" numFmtId="9" xfId="0" applyAlignment="1" applyFont="1" applyNumberFormat="1">
      <alignment horizontal="center"/>
    </xf>
    <xf borderId="0" fillId="0" fontId="36" numFmtId="1" xfId="0" applyAlignment="1" applyFont="1" applyNumberFormat="1">
      <alignment horizontal="center"/>
    </xf>
    <xf borderId="32" fillId="0" fontId="36" numFmtId="1" xfId="0" applyAlignment="1" applyBorder="1" applyFont="1" applyNumberFormat="1">
      <alignment horizontal="center"/>
    </xf>
    <xf borderId="33" fillId="0" fontId="36" numFmtId="1" xfId="0" applyAlignment="1" applyBorder="1" applyFont="1" applyNumberFormat="1">
      <alignment horizontal="center"/>
    </xf>
    <xf borderId="0" fillId="0" fontId="36" numFmtId="1" xfId="0" applyFont="1" applyNumberFormat="1"/>
    <xf borderId="4" fillId="12" fontId="2" numFmtId="0" xfId="0" applyBorder="1" applyFont="1"/>
    <xf borderId="34" fillId="0" fontId="2" numFmtId="1" xfId="0" applyAlignment="1" applyBorder="1" applyFont="1" applyNumberFormat="1">
      <alignment horizontal="center"/>
    </xf>
    <xf borderId="35" fillId="0" fontId="2" numFmtId="1" xfId="0" applyAlignment="1" applyBorder="1" applyFont="1" applyNumberFormat="1">
      <alignment horizontal="center"/>
    </xf>
    <xf borderId="36" fillId="0" fontId="2" numFmtId="1" xfId="0" applyAlignment="1" applyBorder="1" applyFont="1" applyNumberFormat="1">
      <alignment horizontal="center"/>
    </xf>
    <xf borderId="0" fillId="0" fontId="36" numFmtId="0" xfId="0" applyAlignment="1" applyFont="1">
      <alignment horizontal="center"/>
    </xf>
    <xf borderId="4" fillId="8" fontId="18" numFmtId="0" xfId="0" applyBorder="1" applyFont="1"/>
    <xf borderId="37" fillId="15" fontId="2" numFmtId="0" xfId="0" applyAlignment="1" applyBorder="1" applyFont="1">
      <alignment horizontal="center"/>
    </xf>
    <xf borderId="37" fillId="15" fontId="2" numFmtId="49" xfId="0" applyAlignment="1" applyBorder="1" applyFont="1" applyNumberFormat="1">
      <alignment horizontal="center"/>
    </xf>
    <xf borderId="31" fillId="16" fontId="0" numFmtId="0" xfId="0" applyAlignment="1" applyBorder="1" applyFont="1">
      <alignment horizontal="left"/>
    </xf>
    <xf borderId="0" fillId="0" fontId="37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9" numFmtId="49" xfId="0" applyAlignment="1" applyFont="1" applyNumberFormat="1">
      <alignment horizontal="center"/>
    </xf>
    <xf borderId="0" fillId="0" fontId="29" numFmtId="0" xfId="0" applyAlignment="1" applyFont="1">
      <alignment horizontal="center"/>
    </xf>
    <xf borderId="0" fillId="0" fontId="30" numFmtId="49" xfId="0" applyAlignment="1" applyFont="1" applyNumberFormat="1">
      <alignment horizontal="center"/>
    </xf>
    <xf borderId="0" fillId="0" fontId="30" numFmtId="0" xfId="0" applyAlignment="1" applyFont="1">
      <alignment horizontal="center"/>
    </xf>
    <xf borderId="0" fillId="0" fontId="31" numFmtId="0" xfId="0" applyAlignment="1" applyFont="1">
      <alignment horizontal="left"/>
    </xf>
    <xf borderId="0" fillId="0" fontId="2" numFmtId="49" xfId="0" applyAlignment="1" applyFont="1" applyNumberFormat="1">
      <alignment horizontal="center"/>
    </xf>
    <xf borderId="0" fillId="0" fontId="13" numFmtId="49" xfId="0" applyAlignment="1" applyFont="1" applyNumberFormat="1">
      <alignment horizontal="center"/>
    </xf>
    <xf borderId="31" fillId="0" fontId="2" numFmtId="49" xfId="0" applyAlignment="1" applyBorder="1" applyFont="1" applyNumberFormat="1">
      <alignment horizontal="center"/>
    </xf>
    <xf borderId="0" fillId="0" fontId="36" numFmtId="49" xfId="0" applyAlignment="1" applyFont="1" applyNumberFormat="1">
      <alignment horizontal="center"/>
    </xf>
    <xf borderId="31" fillId="14" fontId="2" numFmtId="49" xfId="0" applyAlignment="1" applyBorder="1" applyFont="1" applyNumberFormat="1">
      <alignment horizontal="center"/>
    </xf>
    <xf borderId="31" fillId="16" fontId="2" numFmtId="49" xfId="0" applyAlignment="1" applyBorder="1" applyFont="1" applyNumberFormat="1">
      <alignment horizontal="center"/>
    </xf>
    <xf borderId="31" fillId="15" fontId="2" numFmtId="4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externalLink" Target="externalLinks/externalLink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Roboto"/>
              </a:defRPr>
            </a:pPr>
            <a:r>
              <a:rPr b="1" i="0" sz="1200">
                <a:solidFill>
                  <a:srgbClr val="000000"/>
                </a:solidFill>
                <a:latin typeface="Roboto"/>
              </a:rPr>
              <a:t>Peparatory Period (4 day #1)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Avg %</c:v>
          </c:tx>
          <c:marker>
            <c:symbol val="none"/>
          </c:marker>
          <c:cat>
            <c:strRef>
              <c:f>Graficos!$A$30:$A$33</c:f>
            </c:strRef>
          </c:cat>
          <c:val>
            <c:numRef>
              <c:f>Graficos!$L$30:$L$33</c:f>
              <c:numCache/>
            </c:numRef>
          </c:val>
          <c:smooth val="1"/>
        </c:ser>
        <c:ser>
          <c:idx val="1"/>
          <c:order val="1"/>
          <c:tx>
            <c:v>NL</c:v>
          </c:tx>
          <c:marker>
            <c:symbol val="none"/>
          </c:marker>
          <c:cat>
            <c:strRef>
              <c:f>Graficos!$A$30:$A$33</c:f>
            </c:strRef>
          </c:cat>
          <c:val>
            <c:numRef>
              <c:f>Graficos!$E$30:$E$33</c:f>
              <c:numCache/>
            </c:numRef>
          </c:val>
          <c:smooth val="1"/>
        </c:ser>
        <c:axId val="1257829481"/>
        <c:axId val="1451865256"/>
      </c:lineChart>
      <c:catAx>
        <c:axId val="12578294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451865256"/>
      </c:catAx>
      <c:valAx>
        <c:axId val="1451865256"/>
        <c:scaling>
          <c:orientation val="minMax"/>
          <c:max val="0.2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0" sz="1200">
                    <a:solidFill>
                      <a:srgbClr val="222222"/>
                    </a:solidFill>
                    <a:latin typeface="Roboto"/>
                  </a:rPr>
                  <a:t>Avg. % of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257829481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Squat (4 day #1)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50-59</c:v>
          </c:tx>
          <c:spPr>
            <a:solidFill>
              <a:srgbClr val="B7B7B7"/>
            </a:solidFill>
          </c:spPr>
          <c:val>
            <c:numRef>
              <c:f>Graficos!$V$30:$Y$30</c:f>
              <c:numCache/>
            </c:numRef>
          </c:val>
        </c:ser>
        <c:ser>
          <c:idx val="1"/>
          <c:order val="1"/>
          <c:tx>
            <c:v>60-69</c:v>
          </c:tx>
          <c:spPr>
            <a:solidFill>
              <a:srgbClr val="999999"/>
            </a:solidFill>
          </c:spPr>
          <c:val>
            <c:numRef>
              <c:f>Graficos!$V$31:$Y$31</c:f>
              <c:numCache/>
            </c:numRef>
          </c:val>
        </c:ser>
        <c:ser>
          <c:idx val="2"/>
          <c:order val="2"/>
          <c:tx>
            <c:v>70-79</c:v>
          </c:tx>
          <c:spPr>
            <a:solidFill>
              <a:srgbClr val="666666"/>
            </a:solidFill>
          </c:spPr>
          <c:val>
            <c:numRef>
              <c:f>Graficos!$V$32:$Y$32</c:f>
              <c:numCache/>
            </c:numRef>
          </c:val>
        </c:ser>
        <c:ser>
          <c:idx val="3"/>
          <c:order val="3"/>
          <c:tx>
            <c:v>80-89</c:v>
          </c:tx>
          <c:spPr>
            <a:solidFill>
              <a:srgbClr val="434343"/>
            </a:solidFill>
          </c:spPr>
          <c:val>
            <c:numRef>
              <c:f>Graficos!$V$33:$Y$33</c:f>
              <c:numCache/>
            </c:numRef>
          </c:val>
        </c:ser>
        <c:ser>
          <c:idx val="4"/>
          <c:order val="4"/>
          <c:tx>
            <c:v>90+</c:v>
          </c:tx>
          <c:spPr>
            <a:solidFill>
              <a:srgbClr val="000000"/>
            </a:solidFill>
          </c:spPr>
          <c:val>
            <c:numRef>
              <c:f>Graficos!$V$34:$Y$34</c:f>
              <c:numCache/>
            </c:numRef>
          </c:val>
        </c:ser>
        <c:overlap val="100"/>
        <c:axId val="1186273314"/>
        <c:axId val="91691619"/>
      </c:barChart>
      <c:catAx>
        <c:axId val="1186273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91691619"/>
      </c:catAx>
      <c:valAx>
        <c:axId val="916916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186273314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Roboto"/>
              </a:defRPr>
            </a:pPr>
            <a:r>
              <a:rPr b="1" i="0" sz="1200">
                <a:solidFill>
                  <a:srgbClr val="000000"/>
                </a:solidFill>
                <a:latin typeface="Roboto"/>
              </a:rPr>
              <a:t>Bench (4 day #1)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50-59</c:v>
          </c:tx>
          <c:spPr>
            <a:solidFill>
              <a:srgbClr val="B7B7B7"/>
            </a:solidFill>
          </c:spPr>
          <c:cat>
            <c:strRef>
              <c:f>Graficos!$AD$29:$AG$29</c:f>
            </c:strRef>
          </c:cat>
          <c:val>
            <c:numRef>
              <c:f>Graficos!$AD$30:$AG$30</c:f>
              <c:numCache/>
            </c:numRef>
          </c:val>
        </c:ser>
        <c:ser>
          <c:idx val="1"/>
          <c:order val="1"/>
          <c:tx>
            <c:v>60-69</c:v>
          </c:tx>
          <c:spPr>
            <a:solidFill>
              <a:srgbClr val="999999"/>
            </a:solidFill>
          </c:spPr>
          <c:cat>
            <c:strRef>
              <c:f>Graficos!$AD$29:$AG$29</c:f>
            </c:strRef>
          </c:cat>
          <c:val>
            <c:numRef>
              <c:f>Graficos!$AD$31:$AG$31</c:f>
              <c:numCache/>
            </c:numRef>
          </c:val>
        </c:ser>
        <c:ser>
          <c:idx val="2"/>
          <c:order val="2"/>
          <c:tx>
            <c:v>70-79</c:v>
          </c:tx>
          <c:spPr>
            <a:solidFill>
              <a:srgbClr val="666666"/>
            </a:solidFill>
          </c:spPr>
          <c:cat>
            <c:strRef>
              <c:f>Graficos!$AD$29:$AG$29</c:f>
            </c:strRef>
          </c:cat>
          <c:val>
            <c:numRef>
              <c:f>Graficos!$AD$32:$AG$32</c:f>
              <c:numCache/>
            </c:numRef>
          </c:val>
        </c:ser>
        <c:ser>
          <c:idx val="3"/>
          <c:order val="3"/>
          <c:tx>
            <c:v>80-89</c:v>
          </c:tx>
          <c:spPr>
            <a:solidFill>
              <a:srgbClr val="434343"/>
            </a:solidFill>
          </c:spPr>
          <c:cat>
            <c:strRef>
              <c:f>Graficos!$AD$29:$AG$29</c:f>
            </c:strRef>
          </c:cat>
          <c:val>
            <c:numRef>
              <c:f>Graficos!$AD$33:$AG$33</c:f>
              <c:numCache/>
            </c:numRef>
          </c:val>
        </c:ser>
        <c:ser>
          <c:idx val="4"/>
          <c:order val="4"/>
          <c:tx>
            <c:v>90+</c:v>
          </c:tx>
          <c:spPr>
            <a:solidFill>
              <a:srgbClr val="000000"/>
            </a:solidFill>
          </c:spPr>
          <c:cat>
            <c:strRef>
              <c:f>Graficos!$AD$29:$AG$29</c:f>
            </c:strRef>
          </c:cat>
          <c:val>
            <c:numRef>
              <c:f>Graficos!$AD$34:$AG$34</c:f>
              <c:numCache/>
            </c:numRef>
          </c:val>
        </c:ser>
        <c:overlap val="100"/>
        <c:axId val="1597070178"/>
        <c:axId val="1752917501"/>
      </c:barChart>
      <c:catAx>
        <c:axId val="1597070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752917501"/>
      </c:catAx>
      <c:valAx>
        <c:axId val="1752917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597070178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Roboto"/>
              </a:defRPr>
            </a:pPr>
            <a:r>
              <a:rPr b="1" i="0" sz="1200">
                <a:solidFill>
                  <a:srgbClr val="000000"/>
                </a:solidFill>
                <a:latin typeface="Roboto"/>
              </a:rPr>
              <a:t>Deadlift (4 day #1)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50-59</c:v>
          </c:tx>
          <c:spPr>
            <a:solidFill>
              <a:srgbClr val="B7B7B7"/>
            </a:solidFill>
          </c:spPr>
          <c:cat>
            <c:strRef>
              <c:f>Graficos!$AL$29:$AO$29</c:f>
            </c:strRef>
          </c:cat>
          <c:val>
            <c:numRef>
              <c:f>Graficos!$AL$30:$AO$30</c:f>
              <c:numCache/>
            </c:numRef>
          </c:val>
        </c:ser>
        <c:ser>
          <c:idx val="1"/>
          <c:order val="1"/>
          <c:tx>
            <c:v>60-69</c:v>
          </c:tx>
          <c:spPr>
            <a:solidFill>
              <a:srgbClr val="999999"/>
            </a:solidFill>
          </c:spPr>
          <c:cat>
            <c:strRef>
              <c:f>Graficos!$AL$29:$AO$29</c:f>
            </c:strRef>
          </c:cat>
          <c:val>
            <c:numRef>
              <c:f>Graficos!$AL$31:$AO$31</c:f>
              <c:numCache/>
            </c:numRef>
          </c:val>
        </c:ser>
        <c:ser>
          <c:idx val="2"/>
          <c:order val="2"/>
          <c:tx>
            <c:v>70-79</c:v>
          </c:tx>
          <c:spPr>
            <a:solidFill>
              <a:srgbClr val="666666"/>
            </a:solidFill>
          </c:spPr>
          <c:cat>
            <c:strRef>
              <c:f>Graficos!$AL$29:$AO$29</c:f>
            </c:strRef>
          </c:cat>
          <c:val>
            <c:numRef>
              <c:f>Graficos!$AL$32:$AO$32</c:f>
              <c:numCache/>
            </c:numRef>
          </c:val>
        </c:ser>
        <c:ser>
          <c:idx val="3"/>
          <c:order val="3"/>
          <c:tx>
            <c:v>80-89</c:v>
          </c:tx>
          <c:spPr>
            <a:solidFill>
              <a:srgbClr val="434343"/>
            </a:solidFill>
          </c:spPr>
          <c:cat>
            <c:strRef>
              <c:f>Graficos!$AL$29:$AO$29</c:f>
            </c:strRef>
          </c:cat>
          <c:val>
            <c:numRef>
              <c:f>Graficos!$AL$33:$AO$33</c:f>
              <c:numCache/>
            </c:numRef>
          </c:val>
        </c:ser>
        <c:ser>
          <c:idx val="4"/>
          <c:order val="4"/>
          <c:tx>
            <c:v>90+</c:v>
          </c:tx>
          <c:spPr>
            <a:solidFill>
              <a:srgbClr val="000000"/>
            </a:solidFill>
          </c:spPr>
          <c:cat>
            <c:strRef>
              <c:f>Graficos!$AL$29:$AO$29</c:f>
            </c:strRef>
          </c:cat>
          <c:val>
            <c:numRef>
              <c:f>Graficos!$AL$34:$AO$34</c:f>
              <c:numCache/>
            </c:numRef>
          </c:val>
        </c:ser>
        <c:overlap val="100"/>
        <c:axId val="470850112"/>
        <c:axId val="1794882408"/>
      </c:barChart>
      <c:catAx>
        <c:axId val="4708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0" sz="1200">
                    <a:solidFill>
                      <a:srgbClr val="222222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794882408"/>
      </c:catAx>
      <c:valAx>
        <c:axId val="1794882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0" sz="1200">
                    <a:solidFill>
                      <a:srgbClr val="222222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470850112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Roboto"/>
              </a:defRPr>
            </a:pPr>
            <a:r>
              <a:rPr b="1" i="0" sz="1200">
                <a:solidFill>
                  <a:srgbClr val="000000"/>
                </a:solidFill>
                <a:latin typeface="Roboto"/>
              </a:rPr>
              <a:t>Lift Distribution (4 day #1)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Sentadilla</c:v>
          </c:tx>
          <c:spPr>
            <a:solidFill>
              <a:srgbClr val="666666"/>
            </a:solidFill>
          </c:spPr>
          <c:cat>
            <c:strRef>
              <c:f>Graficos!$AU$29:$AX$29</c:f>
            </c:strRef>
          </c:cat>
          <c:val>
            <c:numRef>
              <c:f>Graficos!$AU$30:$AX$30</c:f>
              <c:numCache/>
            </c:numRef>
          </c:val>
        </c:ser>
        <c:ser>
          <c:idx val="1"/>
          <c:order val="1"/>
          <c:tx>
            <c:v>Peso muerto</c:v>
          </c:tx>
          <c:spPr>
            <a:solidFill>
              <a:srgbClr val="999999"/>
            </a:solidFill>
          </c:spPr>
          <c:cat>
            <c:strRef>
              <c:f>Graficos!$AU$29:$AX$29</c:f>
            </c:strRef>
          </c:cat>
          <c:val>
            <c:numRef>
              <c:f>Graficos!$AU$32:$AX$32</c:f>
              <c:numCache/>
            </c:numRef>
          </c:val>
        </c:ser>
        <c:ser>
          <c:idx val="2"/>
          <c:order val="2"/>
          <c:tx>
            <c:v>Press de banca</c:v>
          </c:tx>
          <c:spPr>
            <a:solidFill>
              <a:srgbClr val="B7B7B7"/>
            </a:solidFill>
          </c:spPr>
          <c:cat>
            <c:strRef>
              <c:f>Graficos!$AU$29:$AX$29</c:f>
            </c:strRef>
          </c:cat>
          <c:val>
            <c:numRef>
              <c:f>Graficos!$AU$31:$AX$31</c:f>
              <c:numCache/>
            </c:numRef>
          </c:val>
        </c:ser>
        <c:overlap val="100"/>
        <c:axId val="1230017818"/>
        <c:axId val="642099367"/>
      </c:barChart>
      <c:catAx>
        <c:axId val="1230017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1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1" sz="1200">
                    <a:solidFill>
                      <a:srgbClr val="222222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642099367"/>
      </c:catAx>
      <c:valAx>
        <c:axId val="6420993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0" sz="1200">
                    <a:solidFill>
                      <a:srgbClr val="222222"/>
                    </a:solidFill>
                    <a:latin typeface="Roboto"/>
                  </a:rPr>
                  <a:t>% Total 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230017818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Roboto"/>
              </a:defRPr>
            </a:pPr>
            <a:r>
              <a:rPr b="1" i="0" sz="1200">
                <a:solidFill>
                  <a:srgbClr val="000000"/>
                </a:solidFill>
                <a:latin typeface="Roboto"/>
              </a:rPr>
              <a:t>Squat (4 day #2)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50-59</c:v>
          </c:tx>
          <c:spPr>
            <a:solidFill>
              <a:srgbClr val="B7B7B7"/>
            </a:solidFill>
          </c:spPr>
          <c:cat>
            <c:strRef>
              <c:f>Graficos!$V$59:$AA$59</c:f>
            </c:strRef>
          </c:cat>
          <c:val>
            <c:numRef>
              <c:f>Graficos!$V$60:$AA$60</c:f>
              <c:numCache/>
            </c:numRef>
          </c:val>
        </c:ser>
        <c:ser>
          <c:idx val="1"/>
          <c:order val="1"/>
          <c:tx>
            <c:v>60-69</c:v>
          </c:tx>
          <c:spPr>
            <a:solidFill>
              <a:srgbClr val="999999"/>
            </a:solidFill>
          </c:spPr>
          <c:cat>
            <c:strRef>
              <c:f>Graficos!$V$59:$AA$59</c:f>
            </c:strRef>
          </c:cat>
          <c:val>
            <c:numRef>
              <c:f>Graficos!$V$61:$AA$61</c:f>
              <c:numCache/>
            </c:numRef>
          </c:val>
        </c:ser>
        <c:ser>
          <c:idx val="2"/>
          <c:order val="2"/>
          <c:tx>
            <c:v>70-79</c:v>
          </c:tx>
          <c:spPr>
            <a:solidFill>
              <a:srgbClr val="666666"/>
            </a:solidFill>
          </c:spPr>
          <c:cat>
            <c:strRef>
              <c:f>Graficos!$V$59:$AA$59</c:f>
            </c:strRef>
          </c:cat>
          <c:val>
            <c:numRef>
              <c:f>Graficos!$V$62:$AA$62</c:f>
              <c:numCache/>
            </c:numRef>
          </c:val>
        </c:ser>
        <c:ser>
          <c:idx val="3"/>
          <c:order val="3"/>
          <c:tx>
            <c:v>80-89</c:v>
          </c:tx>
          <c:spPr>
            <a:solidFill>
              <a:srgbClr val="434343"/>
            </a:solidFill>
          </c:spPr>
          <c:cat>
            <c:strRef>
              <c:f>Graficos!$V$59:$AA$59</c:f>
            </c:strRef>
          </c:cat>
          <c:val>
            <c:numRef>
              <c:f>Graficos!$V$63:$AA$63</c:f>
              <c:numCache/>
            </c:numRef>
          </c:val>
        </c:ser>
        <c:ser>
          <c:idx val="4"/>
          <c:order val="4"/>
          <c:tx>
            <c:v>90+</c:v>
          </c:tx>
          <c:spPr>
            <a:solidFill>
              <a:srgbClr val="000000"/>
            </a:solidFill>
          </c:spPr>
          <c:cat>
            <c:strRef>
              <c:f>Graficos!$V$59:$AA$59</c:f>
            </c:strRef>
          </c:cat>
          <c:val>
            <c:numRef>
              <c:f>Graficos!$V$64:$AA$64</c:f>
              <c:numCache/>
            </c:numRef>
          </c:val>
        </c:ser>
        <c:overlap val="100"/>
        <c:axId val="888797989"/>
        <c:axId val="310252609"/>
      </c:barChart>
      <c:catAx>
        <c:axId val="888797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1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1" sz="1200">
                    <a:solidFill>
                      <a:srgbClr val="222222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310252609"/>
      </c:catAx>
      <c:valAx>
        <c:axId val="310252609"/>
        <c:scaling>
          <c:orientation val="minMax"/>
          <c:max val="2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0" sz="1200">
                    <a:solidFill>
                      <a:srgbClr val="222222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888797989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Roboto"/>
              </a:defRPr>
            </a:pPr>
            <a:r>
              <a:rPr b="1" i="0" sz="1200">
                <a:solidFill>
                  <a:srgbClr val="000000"/>
                </a:solidFill>
                <a:latin typeface="Roboto"/>
              </a:rPr>
              <a:t>Bench (4 day #2)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50-59</c:v>
          </c:tx>
          <c:spPr>
            <a:solidFill>
              <a:srgbClr val="B7B7B7"/>
            </a:solidFill>
          </c:spPr>
          <c:cat>
            <c:strRef>
              <c:f>Graficos!$AD$59:$AI$59</c:f>
            </c:strRef>
          </c:cat>
          <c:val>
            <c:numRef>
              <c:f>Graficos!$AD$60:$AI$60</c:f>
              <c:numCache/>
            </c:numRef>
          </c:val>
        </c:ser>
        <c:ser>
          <c:idx val="1"/>
          <c:order val="1"/>
          <c:tx>
            <c:v>60-69</c:v>
          </c:tx>
          <c:spPr>
            <a:solidFill>
              <a:srgbClr val="999999"/>
            </a:solidFill>
          </c:spPr>
          <c:cat>
            <c:strRef>
              <c:f>Graficos!$AD$59:$AI$59</c:f>
            </c:strRef>
          </c:cat>
          <c:val>
            <c:numRef>
              <c:f>Graficos!$AD$61:$AI$61</c:f>
              <c:numCache/>
            </c:numRef>
          </c:val>
        </c:ser>
        <c:ser>
          <c:idx val="2"/>
          <c:order val="2"/>
          <c:tx>
            <c:v>70-79</c:v>
          </c:tx>
          <c:spPr>
            <a:solidFill>
              <a:srgbClr val="666666"/>
            </a:solidFill>
          </c:spPr>
          <c:cat>
            <c:strRef>
              <c:f>Graficos!$AD$59:$AI$59</c:f>
            </c:strRef>
          </c:cat>
          <c:val>
            <c:numRef>
              <c:f>Graficos!$AD$62:$AI$62</c:f>
              <c:numCache/>
            </c:numRef>
          </c:val>
        </c:ser>
        <c:ser>
          <c:idx val="3"/>
          <c:order val="3"/>
          <c:tx>
            <c:v>80-89</c:v>
          </c:tx>
          <c:spPr>
            <a:solidFill>
              <a:srgbClr val="434343"/>
            </a:solidFill>
          </c:spPr>
          <c:cat>
            <c:strRef>
              <c:f>Graficos!$AD$59:$AI$59</c:f>
            </c:strRef>
          </c:cat>
          <c:val>
            <c:numRef>
              <c:f>Graficos!$AD$63:$AI$63</c:f>
              <c:numCache/>
            </c:numRef>
          </c:val>
        </c:ser>
        <c:ser>
          <c:idx val="4"/>
          <c:order val="4"/>
          <c:tx>
            <c:v>90+</c:v>
          </c:tx>
          <c:spPr>
            <a:solidFill>
              <a:srgbClr val="000000"/>
            </a:solidFill>
          </c:spPr>
          <c:cat>
            <c:strRef>
              <c:f>Graficos!$AD$59:$AI$59</c:f>
            </c:strRef>
          </c:cat>
          <c:val>
            <c:numRef>
              <c:f>Graficos!$AD$64:$AI$64</c:f>
              <c:numCache/>
            </c:numRef>
          </c:val>
        </c:ser>
        <c:overlap val="100"/>
        <c:axId val="1044501767"/>
        <c:axId val="574170116"/>
      </c:barChart>
      <c:catAx>
        <c:axId val="1044501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0" sz="1200">
                    <a:solidFill>
                      <a:srgbClr val="222222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574170116"/>
      </c:catAx>
      <c:valAx>
        <c:axId val="574170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0" sz="1200">
                    <a:solidFill>
                      <a:srgbClr val="222222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044501767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Roboto"/>
              </a:defRPr>
            </a:pPr>
            <a:r>
              <a:rPr b="1" i="0" sz="1200">
                <a:solidFill>
                  <a:srgbClr val="000000"/>
                </a:solidFill>
                <a:latin typeface="Roboto"/>
              </a:rPr>
              <a:t>Deadlift (4 day #2)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50-59</c:v>
          </c:tx>
          <c:spPr>
            <a:solidFill>
              <a:srgbClr val="B7B7B7"/>
            </a:solidFill>
          </c:spPr>
          <c:cat>
            <c:strRef>
              <c:f>Graficos!$AL$59:$AQ$59</c:f>
            </c:strRef>
          </c:cat>
          <c:val>
            <c:numRef>
              <c:f>Graficos!$AL$60:$AQ$60</c:f>
              <c:numCache/>
            </c:numRef>
          </c:val>
        </c:ser>
        <c:ser>
          <c:idx val="1"/>
          <c:order val="1"/>
          <c:tx>
            <c:v>60-69</c:v>
          </c:tx>
          <c:spPr>
            <a:solidFill>
              <a:srgbClr val="999999"/>
            </a:solidFill>
          </c:spPr>
          <c:cat>
            <c:strRef>
              <c:f>Graficos!$AL$59:$AQ$59</c:f>
            </c:strRef>
          </c:cat>
          <c:val>
            <c:numRef>
              <c:f>Graficos!$AL$61:$AQ$61</c:f>
              <c:numCache/>
            </c:numRef>
          </c:val>
        </c:ser>
        <c:ser>
          <c:idx val="2"/>
          <c:order val="2"/>
          <c:tx>
            <c:v>70-79</c:v>
          </c:tx>
          <c:spPr>
            <a:solidFill>
              <a:srgbClr val="666666"/>
            </a:solidFill>
          </c:spPr>
          <c:cat>
            <c:strRef>
              <c:f>Graficos!$AL$59:$AQ$59</c:f>
            </c:strRef>
          </c:cat>
          <c:val>
            <c:numRef>
              <c:f>Graficos!$AL$62:$AQ$62</c:f>
              <c:numCache/>
            </c:numRef>
          </c:val>
        </c:ser>
        <c:ser>
          <c:idx val="3"/>
          <c:order val="3"/>
          <c:tx>
            <c:v>80-89</c:v>
          </c:tx>
          <c:spPr>
            <a:solidFill>
              <a:srgbClr val="434343"/>
            </a:solidFill>
          </c:spPr>
          <c:cat>
            <c:strRef>
              <c:f>Graficos!$AL$59:$AQ$59</c:f>
            </c:strRef>
          </c:cat>
          <c:val>
            <c:numRef>
              <c:f>Graficos!$AL$63:$AQ$63</c:f>
              <c:numCache/>
            </c:numRef>
          </c:val>
        </c:ser>
        <c:ser>
          <c:idx val="4"/>
          <c:order val="4"/>
          <c:tx>
            <c:v>90+</c:v>
          </c:tx>
          <c:spPr>
            <a:solidFill>
              <a:srgbClr val="000000"/>
            </a:solidFill>
          </c:spPr>
          <c:cat>
            <c:strRef>
              <c:f>Graficos!$AL$59:$AQ$59</c:f>
            </c:strRef>
          </c:cat>
          <c:val>
            <c:numRef>
              <c:f>Graficos!$AL$64:$AQ$64</c:f>
              <c:numCache/>
            </c:numRef>
          </c:val>
        </c:ser>
        <c:overlap val="100"/>
        <c:axId val="886993858"/>
        <c:axId val="1344937380"/>
      </c:barChart>
      <c:catAx>
        <c:axId val="886993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0" sz="1200">
                    <a:solidFill>
                      <a:srgbClr val="222222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344937380"/>
      </c:catAx>
      <c:valAx>
        <c:axId val="1344937380"/>
        <c:scaling>
          <c:orientation val="minMax"/>
          <c:max val="2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0" sz="1200">
                    <a:solidFill>
                      <a:srgbClr val="222222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886993858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Lift Distribution (4 day #2)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Sentadilla</c:v>
          </c:tx>
          <c:spPr>
            <a:solidFill>
              <a:srgbClr val="666666"/>
            </a:solidFill>
          </c:spPr>
          <c:cat>
            <c:strRef>
              <c:f>Graficos!$AU$59:$AZ$59</c:f>
            </c:strRef>
          </c:cat>
          <c:val>
            <c:numRef>
              <c:f>Graficos!$AU$60:$AZ$60</c:f>
              <c:numCache/>
            </c:numRef>
          </c:val>
        </c:ser>
        <c:ser>
          <c:idx val="1"/>
          <c:order val="1"/>
          <c:tx>
            <c:v>Peso muerto</c:v>
          </c:tx>
          <c:spPr>
            <a:solidFill>
              <a:srgbClr val="999999"/>
            </a:solidFill>
          </c:spPr>
          <c:cat>
            <c:strRef>
              <c:f>Graficos!$AU$59:$AZ$59</c:f>
            </c:strRef>
          </c:cat>
          <c:val>
            <c:numRef>
              <c:f>Graficos!$AU$62:$AZ$62</c:f>
              <c:numCache/>
            </c:numRef>
          </c:val>
        </c:ser>
        <c:ser>
          <c:idx val="2"/>
          <c:order val="2"/>
          <c:tx>
            <c:v>Press de banca</c:v>
          </c:tx>
          <c:spPr>
            <a:solidFill>
              <a:srgbClr val="B7B7B7"/>
            </a:solidFill>
          </c:spPr>
          <c:cat>
            <c:strRef>
              <c:f>Graficos!$AU$59:$AZ$59</c:f>
            </c:strRef>
          </c:cat>
          <c:val>
            <c:numRef>
              <c:f>Graficos!$AU$61:$AZ$61</c:f>
              <c:numCache/>
            </c:numRef>
          </c:val>
        </c:ser>
        <c:overlap val="100"/>
        <c:axId val="2065607205"/>
        <c:axId val="1017983703"/>
      </c:barChart>
      <c:catAx>
        <c:axId val="2065607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017983703"/>
      </c:catAx>
      <c:valAx>
        <c:axId val="10179837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% Total 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2065607205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Squat (4 day #3)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50-59</c:v>
          </c:tx>
          <c:spPr>
            <a:solidFill>
              <a:srgbClr val="B7B7B7"/>
            </a:solidFill>
          </c:spPr>
          <c:cat>
            <c:strRef>
              <c:f>Graficos!$V$89:$Z$89</c:f>
            </c:strRef>
          </c:cat>
          <c:val>
            <c:numRef>
              <c:f>Graficos!$V$90:$Z$90</c:f>
              <c:numCache/>
            </c:numRef>
          </c:val>
        </c:ser>
        <c:ser>
          <c:idx val="1"/>
          <c:order val="1"/>
          <c:tx>
            <c:v>60-69</c:v>
          </c:tx>
          <c:spPr>
            <a:solidFill>
              <a:srgbClr val="999999"/>
            </a:solidFill>
          </c:spPr>
          <c:cat>
            <c:strRef>
              <c:f>Graficos!$V$89:$Z$89</c:f>
            </c:strRef>
          </c:cat>
          <c:val>
            <c:numRef>
              <c:f>Graficos!$V$91:$Z$91</c:f>
              <c:numCache/>
            </c:numRef>
          </c:val>
        </c:ser>
        <c:ser>
          <c:idx val="2"/>
          <c:order val="2"/>
          <c:tx>
            <c:v>70-79</c:v>
          </c:tx>
          <c:spPr>
            <a:solidFill>
              <a:srgbClr val="666666"/>
            </a:solidFill>
          </c:spPr>
          <c:cat>
            <c:strRef>
              <c:f>Graficos!$V$89:$Z$89</c:f>
            </c:strRef>
          </c:cat>
          <c:val>
            <c:numRef>
              <c:f>Graficos!$V$92:$Z$92</c:f>
              <c:numCache/>
            </c:numRef>
          </c:val>
        </c:ser>
        <c:ser>
          <c:idx val="3"/>
          <c:order val="3"/>
          <c:tx>
            <c:v>80-89</c:v>
          </c:tx>
          <c:spPr>
            <a:solidFill>
              <a:srgbClr val="434343"/>
            </a:solidFill>
          </c:spPr>
          <c:cat>
            <c:strRef>
              <c:f>Graficos!$V$89:$Z$89</c:f>
            </c:strRef>
          </c:cat>
          <c:val>
            <c:numRef>
              <c:f>Graficos!$V$93:$Z$93</c:f>
              <c:numCache/>
            </c:numRef>
          </c:val>
        </c:ser>
        <c:ser>
          <c:idx val="4"/>
          <c:order val="4"/>
          <c:tx>
            <c:v>90+</c:v>
          </c:tx>
          <c:spPr>
            <a:solidFill>
              <a:srgbClr val="000000"/>
            </a:solidFill>
          </c:spPr>
          <c:cat>
            <c:strRef>
              <c:f>Graficos!$V$89:$Z$89</c:f>
            </c:strRef>
          </c:cat>
          <c:val>
            <c:numRef>
              <c:f>Graficos!$V$94:$Z$94</c:f>
              <c:numCache/>
            </c:numRef>
          </c:val>
        </c:ser>
        <c:overlap val="100"/>
        <c:axId val="1322694168"/>
        <c:axId val="1811598108"/>
      </c:barChart>
      <c:catAx>
        <c:axId val="1322694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811598108"/>
      </c:catAx>
      <c:valAx>
        <c:axId val="1811598108"/>
        <c:scaling>
          <c:orientation val="minMax"/>
          <c:max val="2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322694168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Bench (4 day #3)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50-59</c:v>
          </c:tx>
          <c:spPr>
            <a:solidFill>
              <a:srgbClr val="B7B7B7"/>
            </a:solidFill>
          </c:spPr>
          <c:cat>
            <c:strRef>
              <c:f>Graficos!$AD$89:$AH$89</c:f>
            </c:strRef>
          </c:cat>
          <c:val>
            <c:numRef>
              <c:f>Graficos!$AD$90:$AH$90</c:f>
              <c:numCache/>
            </c:numRef>
          </c:val>
        </c:ser>
        <c:ser>
          <c:idx val="1"/>
          <c:order val="1"/>
          <c:tx>
            <c:v>60-69</c:v>
          </c:tx>
          <c:spPr>
            <a:solidFill>
              <a:srgbClr val="999999"/>
            </a:solidFill>
          </c:spPr>
          <c:cat>
            <c:strRef>
              <c:f>Graficos!$AD$89:$AH$89</c:f>
            </c:strRef>
          </c:cat>
          <c:val>
            <c:numRef>
              <c:f>Graficos!$AD$91:$AH$91</c:f>
              <c:numCache/>
            </c:numRef>
          </c:val>
        </c:ser>
        <c:ser>
          <c:idx val="2"/>
          <c:order val="2"/>
          <c:tx>
            <c:v>70-79</c:v>
          </c:tx>
          <c:spPr>
            <a:solidFill>
              <a:srgbClr val="666666"/>
            </a:solidFill>
          </c:spPr>
          <c:cat>
            <c:strRef>
              <c:f>Graficos!$AD$89:$AH$89</c:f>
            </c:strRef>
          </c:cat>
          <c:val>
            <c:numRef>
              <c:f>Graficos!$AD$92:$AH$92</c:f>
              <c:numCache/>
            </c:numRef>
          </c:val>
        </c:ser>
        <c:ser>
          <c:idx val="3"/>
          <c:order val="3"/>
          <c:tx>
            <c:v>80-89</c:v>
          </c:tx>
          <c:spPr>
            <a:solidFill>
              <a:srgbClr val="434343"/>
            </a:solidFill>
          </c:spPr>
          <c:cat>
            <c:strRef>
              <c:f>Graficos!$AD$89:$AH$89</c:f>
            </c:strRef>
          </c:cat>
          <c:val>
            <c:numRef>
              <c:f>Graficos!$AD$93:$AH$93</c:f>
              <c:numCache/>
            </c:numRef>
          </c:val>
        </c:ser>
        <c:ser>
          <c:idx val="4"/>
          <c:order val="4"/>
          <c:tx>
            <c:v>90+</c:v>
          </c:tx>
          <c:spPr>
            <a:solidFill>
              <a:srgbClr val="000000"/>
            </a:solidFill>
          </c:spPr>
          <c:cat>
            <c:strRef>
              <c:f>Graficos!$AD$89:$AH$89</c:f>
            </c:strRef>
          </c:cat>
          <c:val>
            <c:numRef>
              <c:f>Graficos!$AD$94:$AH$94</c:f>
              <c:numCache/>
            </c:numRef>
          </c:val>
        </c:ser>
        <c:overlap val="100"/>
        <c:axId val="848342474"/>
        <c:axId val="435394199"/>
      </c:barChart>
      <c:catAx>
        <c:axId val="8483424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435394199"/>
      </c:catAx>
      <c:valAx>
        <c:axId val="43539419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848342474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Deadlift (4 day #3)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50-59</c:v>
          </c:tx>
          <c:spPr>
            <a:solidFill>
              <a:srgbClr val="B7B7B7"/>
            </a:solidFill>
          </c:spPr>
          <c:cat>
            <c:strRef>
              <c:f>Graficos!$AL$89:$AP$89</c:f>
            </c:strRef>
          </c:cat>
          <c:val>
            <c:numRef>
              <c:f>Graficos!$AL$90:$AP$90</c:f>
              <c:numCache/>
            </c:numRef>
          </c:val>
        </c:ser>
        <c:ser>
          <c:idx val="1"/>
          <c:order val="1"/>
          <c:tx>
            <c:v>60-69</c:v>
          </c:tx>
          <c:spPr>
            <a:solidFill>
              <a:srgbClr val="999999"/>
            </a:solidFill>
          </c:spPr>
          <c:cat>
            <c:strRef>
              <c:f>Graficos!$AL$89:$AP$89</c:f>
            </c:strRef>
          </c:cat>
          <c:val>
            <c:numRef>
              <c:f>Graficos!$AL$91:$AP$91</c:f>
              <c:numCache/>
            </c:numRef>
          </c:val>
        </c:ser>
        <c:ser>
          <c:idx val="2"/>
          <c:order val="2"/>
          <c:tx>
            <c:v>70-79</c:v>
          </c:tx>
          <c:spPr>
            <a:solidFill>
              <a:srgbClr val="666666"/>
            </a:solidFill>
          </c:spPr>
          <c:cat>
            <c:strRef>
              <c:f>Graficos!$AL$89:$AP$89</c:f>
            </c:strRef>
          </c:cat>
          <c:val>
            <c:numRef>
              <c:f>Graficos!$AL$92:$AP$92</c:f>
              <c:numCache/>
            </c:numRef>
          </c:val>
        </c:ser>
        <c:ser>
          <c:idx val="3"/>
          <c:order val="3"/>
          <c:tx>
            <c:v>80-89</c:v>
          </c:tx>
          <c:spPr>
            <a:solidFill>
              <a:srgbClr val="434343"/>
            </a:solidFill>
          </c:spPr>
          <c:cat>
            <c:strRef>
              <c:f>Graficos!$AL$89:$AP$89</c:f>
            </c:strRef>
          </c:cat>
          <c:val>
            <c:numRef>
              <c:f>Graficos!$AL$93:$AP$93</c:f>
              <c:numCache/>
            </c:numRef>
          </c:val>
        </c:ser>
        <c:ser>
          <c:idx val="4"/>
          <c:order val="4"/>
          <c:tx>
            <c:v>90+</c:v>
          </c:tx>
          <c:spPr>
            <a:solidFill>
              <a:srgbClr val="000000"/>
            </a:solidFill>
          </c:spPr>
          <c:cat>
            <c:strRef>
              <c:f>Graficos!$AL$89:$AP$89</c:f>
            </c:strRef>
          </c:cat>
          <c:val>
            <c:numRef>
              <c:f>Graficos!$AL$94:$AP$94</c:f>
              <c:numCache/>
            </c:numRef>
          </c:val>
        </c:ser>
        <c:overlap val="100"/>
        <c:axId val="465809785"/>
        <c:axId val="277810864"/>
      </c:barChart>
      <c:catAx>
        <c:axId val="465809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277810864"/>
      </c:catAx>
      <c:valAx>
        <c:axId val="277810864"/>
        <c:scaling>
          <c:orientation val="minMax"/>
          <c:max val="2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465809785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Lift Distribution (4 day #3)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Sentadilla</c:v>
          </c:tx>
          <c:spPr>
            <a:solidFill>
              <a:srgbClr val="666666"/>
            </a:solidFill>
          </c:spPr>
          <c:cat>
            <c:strRef>
              <c:f>Graficos!$AU$89:$AY$89</c:f>
            </c:strRef>
          </c:cat>
          <c:val>
            <c:numRef>
              <c:f>Graficos!$AU$90:$AY$90</c:f>
              <c:numCache/>
            </c:numRef>
          </c:val>
        </c:ser>
        <c:ser>
          <c:idx val="1"/>
          <c:order val="1"/>
          <c:tx>
            <c:v>Peso muerto</c:v>
          </c:tx>
          <c:spPr>
            <a:solidFill>
              <a:srgbClr val="999999"/>
            </a:solidFill>
          </c:spPr>
          <c:cat>
            <c:strRef>
              <c:f>Graficos!$AU$89:$AY$89</c:f>
            </c:strRef>
          </c:cat>
          <c:val>
            <c:numRef>
              <c:f>Graficos!$AU$92:$AY$92</c:f>
              <c:numCache/>
            </c:numRef>
          </c:val>
        </c:ser>
        <c:ser>
          <c:idx val="2"/>
          <c:order val="2"/>
          <c:tx>
            <c:v>Press de banca</c:v>
          </c:tx>
          <c:spPr>
            <a:solidFill>
              <a:srgbClr val="B7B7B7"/>
            </a:solidFill>
          </c:spPr>
          <c:cat>
            <c:strRef>
              <c:f>Graficos!$AU$89:$AY$89</c:f>
            </c:strRef>
          </c:cat>
          <c:val>
            <c:numRef>
              <c:f>Graficos!$AU$91:$AY$91</c:f>
              <c:numCache/>
            </c:numRef>
          </c:val>
        </c:ser>
        <c:overlap val="100"/>
        <c:axId val="186619431"/>
        <c:axId val="1959452863"/>
      </c:barChart>
      <c:catAx>
        <c:axId val="186619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959452863"/>
      </c:catAx>
      <c:valAx>
        <c:axId val="1959452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% Total 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86619431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Squat (4 day comp)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50-59</c:v>
          </c:tx>
          <c:spPr>
            <a:solidFill>
              <a:srgbClr val="B7B7B7"/>
            </a:solidFill>
          </c:spPr>
          <c:cat>
            <c:strRef>
              <c:f>Graficos!$V$119:$Z$119</c:f>
            </c:strRef>
          </c:cat>
          <c:val>
            <c:numRef>
              <c:f>Graficos!$V$120:$Z$120</c:f>
              <c:numCache/>
            </c:numRef>
          </c:val>
        </c:ser>
        <c:ser>
          <c:idx val="1"/>
          <c:order val="1"/>
          <c:tx>
            <c:v>60-69</c:v>
          </c:tx>
          <c:spPr>
            <a:solidFill>
              <a:srgbClr val="999999"/>
            </a:solidFill>
          </c:spPr>
          <c:cat>
            <c:strRef>
              <c:f>Graficos!$V$119:$Z$119</c:f>
            </c:strRef>
          </c:cat>
          <c:val>
            <c:numRef>
              <c:f>Graficos!$V$121:$Z$121</c:f>
              <c:numCache/>
            </c:numRef>
          </c:val>
        </c:ser>
        <c:ser>
          <c:idx val="2"/>
          <c:order val="2"/>
          <c:tx>
            <c:v>70-79</c:v>
          </c:tx>
          <c:spPr>
            <a:solidFill>
              <a:srgbClr val="666666"/>
            </a:solidFill>
          </c:spPr>
          <c:cat>
            <c:strRef>
              <c:f>Graficos!$V$119:$Z$119</c:f>
            </c:strRef>
          </c:cat>
          <c:val>
            <c:numRef>
              <c:f>Graficos!$V$122:$Z$122</c:f>
              <c:numCache/>
            </c:numRef>
          </c:val>
        </c:ser>
        <c:ser>
          <c:idx val="3"/>
          <c:order val="3"/>
          <c:tx>
            <c:v>80-89</c:v>
          </c:tx>
          <c:spPr>
            <a:solidFill>
              <a:srgbClr val="434343"/>
            </a:solidFill>
          </c:spPr>
          <c:cat>
            <c:strRef>
              <c:f>Graficos!$V$119:$Z$119</c:f>
            </c:strRef>
          </c:cat>
          <c:val>
            <c:numRef>
              <c:f>Graficos!$V$123:$Z$123</c:f>
              <c:numCache/>
            </c:numRef>
          </c:val>
        </c:ser>
        <c:ser>
          <c:idx val="4"/>
          <c:order val="4"/>
          <c:tx>
            <c:v>90+</c:v>
          </c:tx>
          <c:spPr>
            <a:solidFill>
              <a:srgbClr val="000000"/>
            </a:solidFill>
          </c:spPr>
          <c:cat>
            <c:strRef>
              <c:f>Graficos!$V$119:$Z$119</c:f>
            </c:strRef>
          </c:cat>
          <c:val>
            <c:numRef>
              <c:f>Graficos!$V$124:$Z$124</c:f>
              <c:numCache/>
            </c:numRef>
          </c:val>
        </c:ser>
        <c:overlap val="100"/>
        <c:axId val="666988359"/>
        <c:axId val="651773373"/>
      </c:barChart>
      <c:catAx>
        <c:axId val="666988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651773373"/>
      </c:catAx>
      <c:valAx>
        <c:axId val="651773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666988359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Bench (4 day comp)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50-59</c:v>
          </c:tx>
          <c:spPr>
            <a:solidFill>
              <a:srgbClr val="B7B7B7"/>
            </a:solidFill>
          </c:spPr>
          <c:cat>
            <c:strRef>
              <c:f>Graficos!$AD$119:$AH$119</c:f>
            </c:strRef>
          </c:cat>
          <c:val>
            <c:numRef>
              <c:f>Graficos!$AD$120:$AH$120</c:f>
              <c:numCache/>
            </c:numRef>
          </c:val>
        </c:ser>
        <c:ser>
          <c:idx val="1"/>
          <c:order val="1"/>
          <c:tx>
            <c:v>60-69</c:v>
          </c:tx>
          <c:spPr>
            <a:solidFill>
              <a:srgbClr val="999999"/>
            </a:solidFill>
          </c:spPr>
          <c:cat>
            <c:strRef>
              <c:f>Graficos!$AD$119:$AH$119</c:f>
            </c:strRef>
          </c:cat>
          <c:val>
            <c:numRef>
              <c:f>Graficos!$AD$121:$AH$121</c:f>
              <c:numCache/>
            </c:numRef>
          </c:val>
        </c:ser>
        <c:ser>
          <c:idx val="2"/>
          <c:order val="2"/>
          <c:tx>
            <c:v>70-79</c:v>
          </c:tx>
          <c:spPr>
            <a:solidFill>
              <a:srgbClr val="666666"/>
            </a:solidFill>
          </c:spPr>
          <c:cat>
            <c:strRef>
              <c:f>Graficos!$AD$119:$AH$119</c:f>
            </c:strRef>
          </c:cat>
          <c:val>
            <c:numRef>
              <c:f>Graficos!$AD$122:$AH$122</c:f>
              <c:numCache/>
            </c:numRef>
          </c:val>
        </c:ser>
        <c:ser>
          <c:idx val="3"/>
          <c:order val="3"/>
          <c:tx>
            <c:v>80-89</c:v>
          </c:tx>
          <c:spPr>
            <a:solidFill>
              <a:srgbClr val="434343"/>
            </a:solidFill>
          </c:spPr>
          <c:cat>
            <c:strRef>
              <c:f>Graficos!$AD$119:$AH$119</c:f>
            </c:strRef>
          </c:cat>
          <c:val>
            <c:numRef>
              <c:f>Graficos!$AD$123:$AH$123</c:f>
              <c:numCache/>
            </c:numRef>
          </c:val>
        </c:ser>
        <c:ser>
          <c:idx val="4"/>
          <c:order val="4"/>
          <c:tx>
            <c:v>90+</c:v>
          </c:tx>
          <c:spPr>
            <a:solidFill>
              <a:srgbClr val="000000"/>
            </a:solidFill>
          </c:spPr>
          <c:cat>
            <c:strRef>
              <c:f>Graficos!$AD$119:$AH$119</c:f>
            </c:strRef>
          </c:cat>
          <c:val>
            <c:numRef>
              <c:f>Graficos!$AD$124:$AH$124</c:f>
              <c:numCache/>
            </c:numRef>
          </c:val>
        </c:ser>
        <c:overlap val="100"/>
        <c:axId val="846839962"/>
        <c:axId val="2858921"/>
      </c:barChart>
      <c:catAx>
        <c:axId val="846839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2858921"/>
      </c:catAx>
      <c:valAx>
        <c:axId val="285892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846839962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Deadlift (4 day comp)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50-59</c:v>
          </c:tx>
          <c:spPr>
            <a:solidFill>
              <a:srgbClr val="B7B7B7"/>
            </a:solidFill>
          </c:spPr>
          <c:cat>
            <c:strRef>
              <c:f>Graficos!$AL$119:$AQ$119</c:f>
            </c:strRef>
          </c:cat>
          <c:val>
            <c:numRef>
              <c:f>Graficos!$AL$120:$AP$120</c:f>
              <c:numCache/>
            </c:numRef>
          </c:val>
        </c:ser>
        <c:ser>
          <c:idx val="1"/>
          <c:order val="1"/>
          <c:tx>
            <c:v>60-69</c:v>
          </c:tx>
          <c:spPr>
            <a:solidFill>
              <a:srgbClr val="999999"/>
            </a:solidFill>
          </c:spPr>
          <c:cat>
            <c:strRef>
              <c:f>Graficos!$AL$119:$AQ$119</c:f>
            </c:strRef>
          </c:cat>
          <c:val>
            <c:numRef>
              <c:f>Graficos!$AL$121:$AP$121</c:f>
              <c:numCache/>
            </c:numRef>
          </c:val>
        </c:ser>
        <c:ser>
          <c:idx val="2"/>
          <c:order val="2"/>
          <c:tx>
            <c:v>70-79</c:v>
          </c:tx>
          <c:spPr>
            <a:solidFill>
              <a:srgbClr val="666666"/>
            </a:solidFill>
          </c:spPr>
          <c:cat>
            <c:strRef>
              <c:f>Graficos!$AL$119:$AQ$119</c:f>
            </c:strRef>
          </c:cat>
          <c:val>
            <c:numRef>
              <c:f>Graficos!$AL$122:$AP$122</c:f>
              <c:numCache/>
            </c:numRef>
          </c:val>
        </c:ser>
        <c:ser>
          <c:idx val="3"/>
          <c:order val="3"/>
          <c:tx>
            <c:v>80-89</c:v>
          </c:tx>
          <c:spPr>
            <a:solidFill>
              <a:srgbClr val="434343"/>
            </a:solidFill>
          </c:spPr>
          <c:cat>
            <c:strRef>
              <c:f>Graficos!$AL$119:$AQ$119</c:f>
            </c:strRef>
          </c:cat>
          <c:val>
            <c:numRef>
              <c:f>Graficos!$AL$123:$AP$123</c:f>
              <c:numCache/>
            </c:numRef>
          </c:val>
        </c:ser>
        <c:ser>
          <c:idx val="4"/>
          <c:order val="4"/>
          <c:tx>
            <c:v>90+</c:v>
          </c:tx>
          <c:spPr>
            <a:solidFill>
              <a:srgbClr val="000000"/>
            </a:solidFill>
          </c:spPr>
          <c:cat>
            <c:strRef>
              <c:f>Graficos!$AL$119:$AQ$119</c:f>
            </c:strRef>
          </c:cat>
          <c:val>
            <c:numRef>
              <c:f>Graficos!$AL$124:$AP$124</c:f>
              <c:numCache/>
            </c:numRef>
          </c:val>
        </c:ser>
        <c:overlap val="100"/>
        <c:axId val="258907215"/>
        <c:axId val="1973317559"/>
      </c:barChart>
      <c:catAx>
        <c:axId val="258907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973317559"/>
      </c:catAx>
      <c:valAx>
        <c:axId val="197331755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258907215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Lift Distribution (4 day comp)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Sentadilla</c:v>
          </c:tx>
          <c:spPr>
            <a:solidFill>
              <a:srgbClr val="666666"/>
            </a:solidFill>
          </c:spPr>
          <c:cat>
            <c:strRef>
              <c:f>Graficos!$AV$119:$AY$119</c:f>
            </c:strRef>
          </c:cat>
          <c:val>
            <c:numRef>
              <c:f>Graficos!$AU$120:$AY$120</c:f>
              <c:numCache/>
            </c:numRef>
          </c:val>
        </c:ser>
        <c:ser>
          <c:idx val="1"/>
          <c:order val="1"/>
          <c:tx>
            <c:v>Peso muerto</c:v>
          </c:tx>
          <c:spPr>
            <a:solidFill>
              <a:srgbClr val="999999"/>
            </a:solidFill>
          </c:spPr>
          <c:cat>
            <c:strRef>
              <c:f>Graficos!$AV$119:$AY$119</c:f>
            </c:strRef>
          </c:cat>
          <c:val>
            <c:numRef>
              <c:f>Graficos!$AU$122:$AY$122</c:f>
              <c:numCache/>
            </c:numRef>
          </c:val>
        </c:ser>
        <c:ser>
          <c:idx val="2"/>
          <c:order val="2"/>
          <c:tx>
            <c:v>Press de banca</c:v>
          </c:tx>
          <c:spPr>
            <a:solidFill>
              <a:srgbClr val="B7B7B7"/>
            </a:solidFill>
          </c:spPr>
          <c:cat>
            <c:strRef>
              <c:f>Graficos!$AV$119:$AY$119</c:f>
            </c:strRef>
          </c:cat>
          <c:val>
            <c:numRef>
              <c:f>Graficos!$AU$121:$AY$121</c:f>
              <c:numCache/>
            </c:numRef>
          </c:val>
        </c:ser>
        <c:overlap val="100"/>
        <c:axId val="66073850"/>
        <c:axId val="1342681825"/>
      </c:barChart>
      <c:catAx>
        <c:axId val="66073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342681825"/>
      </c:catAx>
      <c:valAx>
        <c:axId val="1342681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% Total Lifts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66073850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Roboto"/>
              </a:defRPr>
            </a:pPr>
            <a:r>
              <a:rPr b="1" i="0" sz="1200">
                <a:solidFill>
                  <a:srgbClr val="000000"/>
                </a:solidFill>
                <a:latin typeface="Roboto"/>
              </a:rPr>
              <a:t>Peparatory Period (4 day #2)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Avg %</c:v>
          </c:tx>
          <c:marker>
            <c:symbol val="none"/>
          </c:marker>
          <c:cat>
            <c:strRef>
              <c:f>Graficos!$A$60:$A$65</c:f>
            </c:strRef>
          </c:cat>
          <c:val>
            <c:numRef>
              <c:f>Graficos!$L$60:$L$65</c:f>
              <c:numCache/>
            </c:numRef>
          </c:val>
          <c:smooth val="1"/>
        </c:ser>
        <c:ser>
          <c:idx val="1"/>
          <c:order val="1"/>
          <c:tx>
            <c:v>NL</c:v>
          </c:tx>
          <c:marker>
            <c:symbol val="none"/>
          </c:marker>
          <c:cat>
            <c:strRef>
              <c:f>Graficos!$A$60:$A$65</c:f>
            </c:strRef>
          </c:cat>
          <c:val>
            <c:numRef>
              <c:f>Graficos!$E$60:$E$65</c:f>
              <c:numCache/>
            </c:numRef>
          </c:val>
          <c:smooth val="1"/>
        </c:ser>
        <c:axId val="1900100221"/>
        <c:axId val="585967023"/>
      </c:lineChart>
      <c:catAx>
        <c:axId val="1900100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585967023"/>
      </c:catAx>
      <c:valAx>
        <c:axId val="585967023"/>
        <c:scaling>
          <c:orientation val="minMax"/>
          <c:max val="0.2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0" sz="1200">
                    <a:solidFill>
                      <a:srgbClr val="222222"/>
                    </a:solidFill>
                    <a:latin typeface="Roboto"/>
                  </a:rPr>
                  <a:t>Avg. % of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900100221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Roboto"/>
              </a:defRPr>
            </a:pPr>
            <a:r>
              <a:rPr b="1" i="0" sz="1200">
                <a:solidFill>
                  <a:srgbClr val="000000"/>
                </a:solidFill>
                <a:latin typeface="Roboto"/>
              </a:rPr>
              <a:t>Peparatory Period (4 day #3)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Avg %</c:v>
          </c:tx>
          <c:marker>
            <c:symbol val="none"/>
          </c:marker>
          <c:cat>
            <c:strRef>
              <c:f>Graficos!$A$90:$A$94</c:f>
            </c:strRef>
          </c:cat>
          <c:val>
            <c:numRef>
              <c:f>Graficos!$L$90:$L$94</c:f>
              <c:numCache/>
            </c:numRef>
          </c:val>
          <c:smooth val="1"/>
        </c:ser>
        <c:ser>
          <c:idx val="1"/>
          <c:order val="1"/>
          <c:tx>
            <c:v>NL</c:v>
          </c:tx>
          <c:marker>
            <c:symbol val="none"/>
          </c:marker>
          <c:cat>
            <c:strRef>
              <c:f>Graficos!$A$90:$A$94</c:f>
            </c:strRef>
          </c:cat>
          <c:val>
            <c:numRef>
              <c:f>Graficos!$E$90:$E$94</c:f>
              <c:numCache/>
            </c:numRef>
          </c:val>
          <c:smooth val="1"/>
        </c:ser>
        <c:axId val="1356053646"/>
        <c:axId val="1783825970"/>
      </c:lineChart>
      <c:catAx>
        <c:axId val="1356053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783825970"/>
      </c:catAx>
      <c:valAx>
        <c:axId val="1783825970"/>
        <c:scaling>
          <c:orientation val="minMax"/>
          <c:max val="0.2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0" sz="1200">
                    <a:solidFill>
                      <a:srgbClr val="222222"/>
                    </a:solidFill>
                    <a:latin typeface="Roboto"/>
                  </a:rPr>
                  <a:t>Avg. % of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356053646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Roboto"/>
              </a:defRPr>
            </a:pPr>
            <a:r>
              <a:rPr b="1" i="0" sz="1200">
                <a:solidFill>
                  <a:srgbClr val="000000"/>
                </a:solidFill>
                <a:latin typeface="Roboto"/>
              </a:rPr>
              <a:t>Peparatory Period (4 day #Comp)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Avg %</c:v>
          </c:tx>
          <c:marker>
            <c:symbol val="none"/>
          </c:marker>
          <c:cat>
            <c:strRef>
              <c:f>Graficos!$A$120:$A$124</c:f>
            </c:strRef>
          </c:cat>
          <c:val>
            <c:numRef>
              <c:f>Graficos!$L$120:$L$124</c:f>
              <c:numCache/>
            </c:numRef>
          </c:val>
          <c:smooth val="1"/>
        </c:ser>
        <c:ser>
          <c:idx val="1"/>
          <c:order val="1"/>
          <c:tx>
            <c:v>NL</c:v>
          </c:tx>
          <c:marker>
            <c:symbol val="none"/>
          </c:marker>
          <c:cat>
            <c:strRef>
              <c:f>Graficos!$A$120:$A$124</c:f>
            </c:strRef>
          </c:cat>
          <c:val>
            <c:numRef>
              <c:f>Graficos!$E$120:$E$124</c:f>
              <c:numCache/>
            </c:numRef>
          </c:val>
          <c:smooth val="1"/>
        </c:ser>
        <c:axId val="1005627914"/>
        <c:axId val="425415617"/>
      </c:lineChart>
      <c:catAx>
        <c:axId val="1005627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425415617"/>
      </c:catAx>
      <c:valAx>
        <c:axId val="425415617"/>
        <c:scaling>
          <c:orientation val="minMax"/>
          <c:max val="0.2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0" sz="1200">
                    <a:solidFill>
                      <a:srgbClr val="222222"/>
                    </a:solidFill>
                    <a:latin typeface="Roboto"/>
                  </a:rPr>
                  <a:t>Avg. % of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005627914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971550</xdr:colOff>
      <xdr:row>9</xdr:row>
      <xdr:rowOff>142875</xdr:rowOff>
    </xdr:from>
    <xdr:ext cx="5476875" cy="2686050"/>
    <xdr:graphicFrame>
      <xdr:nvGraphicFramePr>
        <xdr:cNvPr id="172065002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0</xdr:colOff>
      <xdr:row>9</xdr:row>
      <xdr:rowOff>57150</xdr:rowOff>
    </xdr:from>
    <xdr:ext cx="3629025" cy="2714625"/>
    <xdr:graphicFrame>
      <xdr:nvGraphicFramePr>
        <xdr:cNvPr id="70811135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0</xdr:colOff>
      <xdr:row>9</xdr:row>
      <xdr:rowOff>0</xdr:rowOff>
    </xdr:from>
    <xdr:ext cx="3371850" cy="2705100"/>
    <xdr:graphicFrame>
      <xdr:nvGraphicFramePr>
        <xdr:cNvPr id="1719946994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36</xdr:col>
      <xdr:colOff>0</xdr:colOff>
      <xdr:row>9</xdr:row>
      <xdr:rowOff>0</xdr:rowOff>
    </xdr:from>
    <xdr:ext cx="3667125" cy="2705100"/>
    <xdr:graphicFrame>
      <xdr:nvGraphicFramePr>
        <xdr:cNvPr id="1817912057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45</xdr:col>
      <xdr:colOff>0</xdr:colOff>
      <xdr:row>9</xdr:row>
      <xdr:rowOff>0</xdr:rowOff>
    </xdr:from>
    <xdr:ext cx="3486150" cy="2686050"/>
    <xdr:graphicFrame>
      <xdr:nvGraphicFramePr>
        <xdr:cNvPr id="2078927932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20</xdr:col>
      <xdr:colOff>161925</xdr:colOff>
      <xdr:row>38</xdr:row>
      <xdr:rowOff>161925</xdr:rowOff>
    </xdr:from>
    <xdr:ext cx="4162425" cy="2714625"/>
    <xdr:graphicFrame>
      <xdr:nvGraphicFramePr>
        <xdr:cNvPr id="678957958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28</xdr:col>
      <xdr:colOff>0</xdr:colOff>
      <xdr:row>39</xdr:row>
      <xdr:rowOff>0</xdr:rowOff>
    </xdr:from>
    <xdr:ext cx="4010025" cy="2695575"/>
    <xdr:graphicFrame>
      <xdr:nvGraphicFramePr>
        <xdr:cNvPr id="147056306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36</xdr:col>
      <xdr:colOff>0</xdr:colOff>
      <xdr:row>39</xdr:row>
      <xdr:rowOff>0</xdr:rowOff>
    </xdr:from>
    <xdr:ext cx="4295775" cy="2695575"/>
    <xdr:graphicFrame>
      <xdr:nvGraphicFramePr>
        <xdr:cNvPr id="22285752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45</xdr:col>
      <xdr:colOff>0</xdr:colOff>
      <xdr:row>39</xdr:row>
      <xdr:rowOff>0</xdr:rowOff>
    </xdr:from>
    <xdr:ext cx="4810125" cy="2686050"/>
    <xdr:graphicFrame>
      <xdr:nvGraphicFramePr>
        <xdr:cNvPr id="1505529230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20</xdr:col>
      <xdr:colOff>19050</xdr:colOff>
      <xdr:row>68</xdr:row>
      <xdr:rowOff>152400</xdr:rowOff>
    </xdr:from>
    <xdr:ext cx="4210050" cy="2714625"/>
    <xdr:graphicFrame>
      <xdr:nvGraphicFramePr>
        <xdr:cNvPr id="1469278175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28</xdr:col>
      <xdr:colOff>0</xdr:colOff>
      <xdr:row>69</xdr:row>
      <xdr:rowOff>0</xdr:rowOff>
    </xdr:from>
    <xdr:ext cx="3943350" cy="2705100"/>
    <xdr:graphicFrame>
      <xdr:nvGraphicFramePr>
        <xdr:cNvPr id="911415057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36</xdr:col>
      <xdr:colOff>0</xdr:colOff>
      <xdr:row>68</xdr:row>
      <xdr:rowOff>161925</xdr:rowOff>
    </xdr:from>
    <xdr:ext cx="4333875" cy="2695575"/>
    <xdr:graphicFrame>
      <xdr:nvGraphicFramePr>
        <xdr:cNvPr id="1447325860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45</xdr:col>
      <xdr:colOff>0</xdr:colOff>
      <xdr:row>69</xdr:row>
      <xdr:rowOff>0</xdr:rowOff>
    </xdr:from>
    <xdr:ext cx="4067175" cy="2686050"/>
    <xdr:graphicFrame>
      <xdr:nvGraphicFramePr>
        <xdr:cNvPr id="1177349201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20</xdr:col>
      <xdr:colOff>19050</xdr:colOff>
      <xdr:row>98</xdr:row>
      <xdr:rowOff>152400</xdr:rowOff>
    </xdr:from>
    <xdr:ext cx="4048125" cy="2714625"/>
    <xdr:graphicFrame>
      <xdr:nvGraphicFramePr>
        <xdr:cNvPr id="73972179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28</xdr:col>
      <xdr:colOff>0</xdr:colOff>
      <xdr:row>99</xdr:row>
      <xdr:rowOff>0</xdr:rowOff>
    </xdr:from>
    <xdr:ext cx="3943350" cy="2705100"/>
    <xdr:graphicFrame>
      <xdr:nvGraphicFramePr>
        <xdr:cNvPr id="1603685057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36</xdr:col>
      <xdr:colOff>0</xdr:colOff>
      <xdr:row>99</xdr:row>
      <xdr:rowOff>0</xdr:rowOff>
    </xdr:from>
    <xdr:ext cx="4067175" cy="2705100"/>
    <xdr:graphicFrame>
      <xdr:nvGraphicFramePr>
        <xdr:cNvPr id="1241778549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45</xdr:col>
      <xdr:colOff>0</xdr:colOff>
      <xdr:row>99</xdr:row>
      <xdr:rowOff>0</xdr:rowOff>
    </xdr:from>
    <xdr:ext cx="4248150" cy="2686050"/>
    <xdr:graphicFrame>
      <xdr:nvGraphicFramePr>
        <xdr:cNvPr id="901983356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0</xdr:col>
      <xdr:colOff>962025</xdr:colOff>
      <xdr:row>40</xdr:row>
      <xdr:rowOff>9525</xdr:rowOff>
    </xdr:from>
    <xdr:ext cx="5476875" cy="2686050"/>
    <xdr:graphicFrame>
      <xdr:nvGraphicFramePr>
        <xdr:cNvPr id="743336240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1</xdr:col>
      <xdr:colOff>9525</xdr:colOff>
      <xdr:row>69</xdr:row>
      <xdr:rowOff>152400</xdr:rowOff>
    </xdr:from>
    <xdr:ext cx="5476875" cy="2686050"/>
    <xdr:graphicFrame>
      <xdr:nvGraphicFramePr>
        <xdr:cNvPr id="1621259146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0</xdr:col>
      <xdr:colOff>952500</xdr:colOff>
      <xdr:row>100</xdr:row>
      <xdr:rowOff>19050</xdr:rowOff>
    </xdr:from>
    <xdr:ext cx="5553075" cy="2581275"/>
    <xdr:graphicFrame>
      <xdr:nvGraphicFramePr>
        <xdr:cNvPr id="113743489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4%20Dia%20Prep%20(1)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4 Dia Prep (1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ibliotecaderutinas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bibliotecaderutinas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bibliotecaderutinas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bibliotecaderutinas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bibliotecaderutinas.com/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2.86"/>
    <col customWidth="1" min="3" max="3" width="14.86"/>
    <col customWidth="1" min="4" max="4" width="59.57"/>
    <col customWidth="1" hidden="1" min="5" max="5" width="0.14"/>
    <col customWidth="1" min="6" max="6" width="14.43"/>
  </cols>
  <sheetData>
    <row r="1" ht="12.75" customHeight="1">
      <c r="A1" s="1"/>
      <c r="B1" s="2"/>
      <c r="C1" s="3"/>
      <c r="D1" s="4"/>
      <c r="E1" s="5" t="s">
        <v>0</v>
      </c>
    </row>
    <row r="2" ht="12.75" customHeight="1">
      <c r="A2" s="6"/>
      <c r="B2" s="7"/>
      <c r="C2" s="8" t="s">
        <v>1</v>
      </c>
      <c r="D2" s="4"/>
      <c r="E2" s="5"/>
    </row>
    <row r="3" ht="12.75" customHeight="1">
      <c r="A3" s="6"/>
      <c r="B3" s="9" t="s">
        <v>2</v>
      </c>
      <c r="C3" s="10">
        <f>IF('1RM'!C2="Kilos", 105,IF('1RM'!C2="Pounds",(105*2.20462)))</f>
        <v>105</v>
      </c>
      <c r="D3" s="11" t="s">
        <v>3</v>
      </c>
      <c r="E3" s="5"/>
    </row>
    <row r="4" ht="12.75" customHeight="1">
      <c r="A4" s="6"/>
      <c r="B4" s="12" t="s">
        <v>4</v>
      </c>
      <c r="C4" s="13">
        <f>IF('1RM'!C2="Kilos", D4,IF('1RM'!C2="Pounds",(D4*2.20462)))</f>
        <v>100</v>
      </c>
      <c r="D4" s="14">
        <v>100.0</v>
      </c>
      <c r="E4" s="5"/>
    </row>
    <row r="5" ht="12.75" customHeight="1">
      <c r="A5" s="6"/>
      <c r="B5" s="15" t="s">
        <v>5</v>
      </c>
      <c r="C5" s="16">
        <f>IF('1RM'!C2="Kilos", D5,IF('1RM'!C2="Pounds",(D5*2.20462)))</f>
        <v>100</v>
      </c>
      <c r="D5" s="14">
        <v>100.0</v>
      </c>
      <c r="E5" s="5"/>
    </row>
    <row r="6" ht="12.75" customHeight="1">
      <c r="A6" s="6"/>
      <c r="B6" s="17" t="s">
        <v>6</v>
      </c>
      <c r="C6" s="18">
        <f>IF('1RM'!C2="Kilos", D6,IF('1RM'!C2="Pounds",(D6*2.20462)))</f>
        <v>100</v>
      </c>
      <c r="D6" s="14">
        <v>100.0</v>
      </c>
      <c r="E6" s="5"/>
    </row>
    <row r="7" ht="26.25" customHeight="1">
      <c r="A7" s="6"/>
      <c r="B7" s="19" t="s">
        <v>7</v>
      </c>
      <c r="C7" s="20">
        <f t="shared" ref="C7:D7" si="1">SUM(C4:C6)</f>
        <v>300</v>
      </c>
      <c r="D7" s="21">
        <f t="shared" si="1"/>
        <v>300</v>
      </c>
      <c r="E7" s="5"/>
    </row>
    <row r="8" ht="12.75" customHeight="1">
      <c r="A8" s="6"/>
      <c r="B8" s="22"/>
      <c r="C8" s="23"/>
      <c r="D8" s="24"/>
      <c r="E8" s="5"/>
    </row>
    <row r="9" ht="12.75" customHeight="1"/>
    <row r="10" ht="12.75" customHeight="1"/>
    <row r="11" ht="12.75" customHeight="1"/>
    <row r="12" ht="12.75" customHeight="1"/>
    <row r="13" ht="12.75" customHeight="1">
      <c r="B13" s="25" t="s">
        <v>8</v>
      </c>
      <c r="C13" s="26"/>
      <c r="D13" s="26"/>
      <c r="E13" s="27"/>
    </row>
    <row r="14" ht="12.75" customHeight="1">
      <c r="B14" s="28"/>
      <c r="E14" s="29"/>
    </row>
    <row r="15" ht="12.75" customHeight="1">
      <c r="B15" s="28"/>
      <c r="E15" s="29"/>
    </row>
    <row r="16" ht="12.75" customHeight="1">
      <c r="B16" s="28"/>
      <c r="E16" s="29"/>
    </row>
    <row r="17" ht="12.75" customHeight="1">
      <c r="B17" s="28"/>
      <c r="E17" s="29"/>
    </row>
    <row r="18" ht="12.75" customHeight="1">
      <c r="B18" s="28"/>
      <c r="E18" s="29"/>
    </row>
    <row r="19" ht="12.75" customHeight="1">
      <c r="B19" s="28"/>
      <c r="E19" s="29"/>
    </row>
    <row r="20" ht="12.75" customHeight="1">
      <c r="B20" s="28"/>
      <c r="E20" s="29"/>
    </row>
    <row r="21" ht="12.75" customHeight="1">
      <c r="B21" s="28"/>
      <c r="E21" s="29"/>
    </row>
    <row r="22" ht="12.75" customHeight="1">
      <c r="B22" s="28"/>
      <c r="E22" s="29"/>
    </row>
    <row r="23" ht="12.75" customHeight="1">
      <c r="B23" s="30"/>
      <c r="C23" s="31"/>
      <c r="D23" s="31"/>
      <c r="E23" s="32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E23"/>
  </mergeCells>
  <dataValidations>
    <dataValidation type="list" allowBlank="1" showInputMessage="1" prompt="Click and enter a value from the list of items" sqref="C2">
      <formula1>"Kilos,Pounds"</formula1>
    </dataValidation>
  </dataValidations>
  <hyperlinks>
    <hyperlink r:id="rId1" ref="B13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4" width="9.86"/>
    <col customWidth="1" min="5" max="5" width="10.0"/>
    <col customWidth="1" hidden="1" min="6" max="7" width="8.86"/>
    <col customWidth="1" hidden="1" min="8" max="8" width="8.57"/>
    <col customWidth="1" hidden="1" min="9" max="9" width="9.0"/>
    <col customWidth="1" hidden="1" min="10" max="10" width="10.0"/>
    <col customWidth="1" min="11" max="12" width="9.86"/>
    <col customWidth="1" min="13" max="13" width="10.43"/>
    <col customWidth="1" min="14" max="15" width="9.86"/>
    <col customWidth="1" min="16" max="16" width="0.14"/>
    <col customWidth="1" hidden="1" min="17" max="18" width="8.71"/>
    <col customWidth="1" hidden="1" min="19" max="19" width="0.14"/>
    <col customWidth="1" min="20" max="20" width="4.0"/>
    <col customWidth="1" min="21" max="31" width="8.71"/>
    <col customWidth="1" min="32" max="32" width="7.29"/>
    <col customWidth="1" min="33" max="35" width="8.57"/>
    <col customWidth="1" min="36" max="36" width="10.29"/>
    <col customWidth="1" min="37" max="53" width="8.71"/>
  </cols>
  <sheetData>
    <row r="1" ht="12.75" customHeight="1">
      <c r="A1" s="33" t="s">
        <v>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5"/>
      <c r="M1" s="35"/>
      <c r="N1" s="35"/>
      <c r="O1" s="35"/>
      <c r="P1" s="5"/>
      <c r="Q1" s="5"/>
      <c r="R1" s="5"/>
      <c r="S1" s="5"/>
      <c r="T1" s="5"/>
      <c r="AF1" s="5"/>
      <c r="AG1" s="5"/>
      <c r="AH1" s="5"/>
      <c r="AI1" s="5"/>
      <c r="AJ1" s="5"/>
    </row>
    <row r="2" ht="12.75" customHeight="1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5"/>
      <c r="M2" s="35"/>
      <c r="N2" s="35"/>
      <c r="O2" s="35"/>
      <c r="P2" s="5"/>
      <c r="Q2" s="5"/>
      <c r="R2" s="5"/>
      <c r="S2" s="5"/>
      <c r="T2" s="5"/>
      <c r="AF2" s="5"/>
      <c r="AG2" s="5"/>
      <c r="AH2" s="5"/>
      <c r="AI2" s="5"/>
      <c r="AJ2" s="5"/>
    </row>
    <row r="3" ht="12.75" customHeight="1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5"/>
      <c r="M3" s="35"/>
      <c r="N3" s="35"/>
      <c r="O3" s="35"/>
      <c r="P3" s="5"/>
      <c r="Q3" s="5"/>
      <c r="R3" s="5"/>
      <c r="S3" s="5"/>
      <c r="T3" s="5"/>
      <c r="AF3" s="5"/>
      <c r="AG3" s="5"/>
      <c r="AH3" s="5"/>
      <c r="AI3" s="5"/>
      <c r="AJ3" s="5"/>
    </row>
    <row r="4" ht="12.75" customHeight="1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5"/>
      <c r="M4" s="35"/>
      <c r="N4" s="35"/>
      <c r="O4" s="35"/>
      <c r="P4" s="5"/>
      <c r="Q4" s="5"/>
      <c r="R4" s="5"/>
      <c r="S4" s="5"/>
      <c r="T4" s="5"/>
      <c r="AF4" s="5"/>
      <c r="AG4" s="5"/>
      <c r="AH4" s="5"/>
      <c r="AI4" s="5"/>
      <c r="AJ4" s="5"/>
    </row>
    <row r="5" ht="12.75" customHeight="1">
      <c r="A5" s="33"/>
      <c r="B5" s="34"/>
      <c r="C5" s="34"/>
      <c r="D5" s="34"/>
      <c r="E5" s="34"/>
      <c r="F5" s="34"/>
      <c r="G5" s="34"/>
      <c r="H5" s="34"/>
      <c r="I5" s="34"/>
      <c r="J5" s="34"/>
      <c r="K5" s="34"/>
      <c r="L5" s="5"/>
      <c r="M5" s="35"/>
      <c r="N5" s="35"/>
      <c r="O5" s="35"/>
      <c r="P5" s="5"/>
      <c r="Q5" s="5"/>
      <c r="R5" s="5"/>
      <c r="S5" s="5"/>
      <c r="T5" s="5"/>
      <c r="AF5" s="5"/>
      <c r="AG5" s="5"/>
      <c r="AH5" s="5"/>
      <c r="AI5" s="5"/>
      <c r="AJ5" s="5"/>
    </row>
    <row r="6" ht="12.75" customHeight="1">
      <c r="A6" s="36"/>
      <c r="B6" s="37"/>
      <c r="C6" s="38" t="s">
        <v>10</v>
      </c>
      <c r="D6" s="38"/>
      <c r="E6" s="38"/>
      <c r="F6" s="38"/>
      <c r="G6" s="38"/>
      <c r="H6" s="38"/>
      <c r="I6" s="38"/>
      <c r="J6" s="38"/>
      <c r="K6" s="38"/>
      <c r="L6" s="39"/>
      <c r="M6" s="40"/>
      <c r="N6" s="40"/>
      <c r="O6" s="40"/>
      <c r="P6" s="5"/>
      <c r="Q6" s="5"/>
      <c r="R6" s="5"/>
      <c r="S6" s="5"/>
      <c r="T6" s="5"/>
      <c r="U6" s="39" t="s">
        <v>11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T6" s="41" t="s">
        <v>12</v>
      </c>
      <c r="AU6" s="41"/>
      <c r="AV6" s="41"/>
      <c r="AW6" s="41"/>
      <c r="AX6" s="41"/>
      <c r="AY6" s="41"/>
      <c r="AZ6" s="41"/>
      <c r="BA6" s="41"/>
    </row>
    <row r="7" ht="12.75" customHeight="1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5"/>
      <c r="M7" s="35"/>
      <c r="N7" s="35"/>
      <c r="O7" s="35"/>
      <c r="P7" s="5"/>
      <c r="Q7" s="5"/>
      <c r="R7" s="5"/>
      <c r="S7" s="5"/>
      <c r="T7" s="5"/>
      <c r="AF7" s="5"/>
      <c r="AG7" s="5"/>
      <c r="AH7" s="5"/>
      <c r="AI7" s="5"/>
      <c r="AJ7" s="5"/>
    </row>
    <row r="8" ht="12.75" customHeight="1">
      <c r="A8" s="5"/>
      <c r="B8" s="34"/>
      <c r="C8" s="34"/>
      <c r="D8" s="34"/>
      <c r="E8" s="34"/>
      <c r="F8" s="34"/>
      <c r="G8" s="34"/>
      <c r="H8" s="34"/>
      <c r="I8" s="34"/>
      <c r="J8" s="34"/>
      <c r="K8" s="34"/>
      <c r="L8" s="5"/>
      <c r="M8" s="35"/>
      <c r="N8" s="35"/>
      <c r="O8" s="35"/>
      <c r="P8" s="5"/>
      <c r="Q8" s="5"/>
      <c r="R8" s="5"/>
      <c r="S8" s="5"/>
      <c r="T8" s="5"/>
      <c r="AF8" s="5"/>
      <c r="AG8" s="5"/>
      <c r="AH8" s="5"/>
      <c r="AI8" s="5"/>
      <c r="AJ8" s="5"/>
    </row>
    <row r="9" ht="12.75" customHeight="1">
      <c r="A9" s="5"/>
      <c r="B9" s="34"/>
      <c r="C9" s="34"/>
      <c r="D9" s="34"/>
      <c r="E9" s="34"/>
      <c r="F9" s="34"/>
      <c r="G9" s="34"/>
      <c r="H9" s="34"/>
      <c r="I9" s="34"/>
      <c r="J9" s="34"/>
      <c r="K9" s="34"/>
      <c r="L9" s="5"/>
      <c r="M9" s="35"/>
      <c r="N9" s="35"/>
      <c r="O9" s="35"/>
      <c r="P9" s="5"/>
      <c r="Q9" s="5"/>
      <c r="R9" s="5"/>
      <c r="S9" s="5"/>
      <c r="T9" s="5"/>
      <c r="AF9" s="5"/>
      <c r="AG9" s="5"/>
      <c r="AH9" s="5"/>
      <c r="AI9" s="5"/>
      <c r="AJ9" s="5"/>
    </row>
    <row r="10" ht="12.75" customHeight="1">
      <c r="A10" s="5"/>
      <c r="B10" s="37" t="s">
        <v>13</v>
      </c>
      <c r="C10" s="34"/>
      <c r="D10" s="34"/>
      <c r="E10" s="34"/>
      <c r="F10" s="34"/>
      <c r="G10" s="34"/>
      <c r="H10" s="34"/>
      <c r="I10" s="34"/>
      <c r="J10" s="34"/>
      <c r="K10" s="34"/>
      <c r="L10" s="5"/>
      <c r="M10" s="35"/>
      <c r="N10" s="35"/>
      <c r="O10" s="35"/>
      <c r="P10" s="5"/>
      <c r="Q10" s="5"/>
      <c r="R10" s="5"/>
      <c r="S10" s="5"/>
      <c r="T10" s="5"/>
      <c r="AF10" s="5"/>
      <c r="AG10" s="5"/>
      <c r="AH10" s="5"/>
      <c r="AI10" s="5"/>
      <c r="AJ10" s="5"/>
    </row>
    <row r="11" ht="12.75" customHeight="1">
      <c r="A11" s="5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5"/>
      <c r="M11" s="35"/>
      <c r="N11" s="35"/>
      <c r="O11" s="35"/>
      <c r="P11" s="5"/>
      <c r="Q11" s="5"/>
      <c r="R11" s="5"/>
      <c r="S11" s="5"/>
      <c r="T11" s="5"/>
      <c r="AF11" s="5"/>
      <c r="AG11" s="5"/>
      <c r="AH11" s="5"/>
      <c r="AI11" s="5"/>
      <c r="AJ11" s="5"/>
    </row>
    <row r="12" ht="12.75" customHeight="1">
      <c r="A12" s="5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5"/>
      <c r="M12" s="35"/>
      <c r="N12" s="35"/>
      <c r="O12" s="35"/>
      <c r="P12" s="5"/>
      <c r="Q12" s="5"/>
      <c r="R12" s="5"/>
      <c r="S12" s="5"/>
      <c r="T12" s="5"/>
      <c r="AF12" s="5"/>
      <c r="AG12" s="5"/>
      <c r="AH12" s="5"/>
      <c r="AI12" s="5"/>
      <c r="AJ12" s="5"/>
    </row>
    <row r="13" ht="12.75" customHeight="1">
      <c r="A13" s="5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5"/>
      <c r="M13" s="35"/>
      <c r="N13" s="35"/>
      <c r="O13" s="35"/>
      <c r="P13" s="5"/>
      <c r="Q13" s="5"/>
      <c r="R13" s="5"/>
      <c r="S13" s="5"/>
      <c r="T13" s="5"/>
      <c r="AF13" s="5"/>
      <c r="AG13" s="5"/>
      <c r="AH13" s="5"/>
      <c r="AI13" s="5"/>
      <c r="AJ13" s="5"/>
    </row>
    <row r="14" ht="12.75" customHeight="1">
      <c r="A14" s="5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5"/>
      <c r="M14" s="35"/>
      <c r="N14" s="35"/>
      <c r="O14" s="35"/>
      <c r="P14" s="5"/>
      <c r="Q14" s="5"/>
      <c r="R14" s="5"/>
      <c r="S14" s="5"/>
      <c r="T14" s="5"/>
      <c r="AF14" s="5"/>
      <c r="AG14" s="5"/>
      <c r="AH14" s="5"/>
      <c r="AI14" s="5"/>
      <c r="AJ14" s="5"/>
    </row>
    <row r="15" ht="12.75" customHeight="1">
      <c r="A15" s="5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5"/>
      <c r="M15" s="35"/>
      <c r="N15" s="35"/>
      <c r="O15" s="35"/>
      <c r="P15" s="5"/>
      <c r="Q15" s="5"/>
      <c r="R15" s="5"/>
      <c r="S15" s="5"/>
      <c r="T15" s="5"/>
      <c r="AF15" s="5"/>
      <c r="AG15" s="5"/>
      <c r="AH15" s="5"/>
      <c r="AI15" s="5"/>
      <c r="AJ15" s="5"/>
    </row>
    <row r="16" ht="12.75" customHeight="1">
      <c r="A16" s="5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5"/>
      <c r="M16" s="35"/>
      <c r="N16" s="35"/>
      <c r="O16" s="35"/>
      <c r="P16" s="5"/>
      <c r="Q16" s="5"/>
      <c r="R16" s="5"/>
      <c r="S16" s="5"/>
      <c r="T16" s="5"/>
      <c r="AF16" s="5"/>
      <c r="AG16" s="5"/>
      <c r="AH16" s="5"/>
      <c r="AI16" s="5"/>
      <c r="AJ16" s="5"/>
    </row>
    <row r="17" ht="12.75" customHeight="1">
      <c r="A17" s="5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5"/>
      <c r="M17" s="35"/>
      <c r="N17" s="35"/>
      <c r="O17" s="35"/>
      <c r="P17" s="5"/>
      <c r="Q17" s="5"/>
      <c r="R17" s="5"/>
      <c r="S17" s="5"/>
      <c r="T17" s="5"/>
      <c r="AF17" s="5"/>
      <c r="AG17" s="5"/>
      <c r="AH17" s="5"/>
      <c r="AI17" s="5"/>
      <c r="AJ17" s="5"/>
    </row>
    <row r="18" ht="12.75" customHeight="1">
      <c r="A18" s="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5"/>
      <c r="M18" s="35"/>
      <c r="N18" s="35"/>
      <c r="O18" s="35"/>
      <c r="P18" s="5"/>
      <c r="Q18" s="5"/>
      <c r="R18" s="5"/>
      <c r="S18" s="5"/>
      <c r="T18" s="5"/>
      <c r="AF18" s="5"/>
      <c r="AG18" s="5"/>
      <c r="AH18" s="5"/>
      <c r="AI18" s="5"/>
      <c r="AJ18" s="5"/>
    </row>
    <row r="19" ht="12.75" customHeight="1">
      <c r="A19" s="5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5"/>
      <c r="M19" s="35"/>
      <c r="N19" s="35"/>
      <c r="O19" s="35"/>
      <c r="P19" s="5"/>
      <c r="Q19" s="5"/>
      <c r="R19" s="5"/>
      <c r="S19" s="5"/>
      <c r="T19" s="5"/>
      <c r="AF19" s="5"/>
      <c r="AG19" s="5"/>
      <c r="AH19" s="5"/>
      <c r="AI19" s="5"/>
      <c r="AJ19" s="5"/>
    </row>
    <row r="20" ht="12.75" customHeight="1">
      <c r="A20" s="5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5"/>
      <c r="M20" s="35"/>
      <c r="N20" s="35"/>
      <c r="O20" s="35"/>
      <c r="P20" s="5"/>
      <c r="Q20" s="5"/>
      <c r="R20" s="5"/>
      <c r="S20" s="5"/>
      <c r="T20" s="5"/>
      <c r="AF20" s="5"/>
      <c r="AG20" s="5"/>
      <c r="AH20" s="5"/>
      <c r="AI20" s="5"/>
      <c r="AJ20" s="5"/>
    </row>
    <row r="21" ht="12.75" customHeight="1">
      <c r="A21" s="5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5"/>
      <c r="M21" s="35"/>
      <c r="N21" s="35"/>
      <c r="O21" s="35"/>
      <c r="P21" s="5"/>
      <c r="Q21" s="5"/>
      <c r="R21" s="5"/>
      <c r="S21" s="5"/>
      <c r="T21" s="5"/>
      <c r="AF21" s="5"/>
      <c r="AG21" s="5"/>
      <c r="AH21" s="5"/>
      <c r="AI21" s="5"/>
      <c r="AJ21" s="5"/>
    </row>
    <row r="22" ht="12.75" customHeight="1">
      <c r="A22" s="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5"/>
      <c r="M22" s="35"/>
      <c r="N22" s="35"/>
      <c r="O22" s="35"/>
      <c r="P22" s="5"/>
      <c r="Q22" s="5"/>
      <c r="R22" s="5"/>
      <c r="S22" s="5"/>
      <c r="T22" s="5"/>
      <c r="AF22" s="5"/>
      <c r="AG22" s="5"/>
      <c r="AH22" s="5"/>
      <c r="AI22" s="5"/>
      <c r="AJ22" s="5"/>
    </row>
    <row r="23" ht="12.75" customHeight="1">
      <c r="A23" s="5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5"/>
      <c r="M23" s="35"/>
      <c r="N23" s="35"/>
      <c r="O23" s="35"/>
      <c r="P23" s="5"/>
      <c r="Q23" s="5"/>
      <c r="R23" s="5"/>
      <c r="S23" s="5"/>
      <c r="T23" s="5"/>
      <c r="AF23" s="5"/>
      <c r="AG23" s="5"/>
      <c r="AH23" s="5"/>
      <c r="AI23" s="5"/>
      <c r="AJ23" s="5"/>
    </row>
    <row r="24" ht="12.75" customHeight="1">
      <c r="A24" s="5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5"/>
      <c r="M24" s="35"/>
      <c r="N24" s="35"/>
      <c r="O24" s="35"/>
      <c r="P24" s="5"/>
      <c r="Q24" s="5"/>
      <c r="R24" s="5"/>
      <c r="S24" s="5"/>
      <c r="T24" s="5"/>
      <c r="AF24" s="5"/>
      <c r="AG24" s="5"/>
      <c r="AH24" s="5"/>
      <c r="AI24" s="5"/>
      <c r="AJ24" s="5"/>
    </row>
    <row r="25" ht="12.75" customHeight="1">
      <c r="A25" s="36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5"/>
      <c r="M25" s="40"/>
      <c r="N25" s="40"/>
      <c r="O25" s="40"/>
      <c r="P25" s="5"/>
      <c r="Q25" s="5"/>
      <c r="R25" s="5"/>
      <c r="S25" s="5"/>
      <c r="T25" s="5"/>
      <c r="AF25" s="5"/>
      <c r="AG25" s="5"/>
      <c r="AH25" s="5"/>
      <c r="AI25" s="5"/>
      <c r="AJ25" s="5"/>
    </row>
    <row r="26" ht="12.75" customHeight="1">
      <c r="A26" s="5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5"/>
      <c r="M26" s="35"/>
      <c r="N26" s="35"/>
      <c r="O26" s="35"/>
      <c r="P26" s="5"/>
      <c r="Q26" s="5"/>
      <c r="R26" s="5"/>
      <c r="S26" s="5"/>
      <c r="T26" s="5"/>
      <c r="U26" s="33"/>
      <c r="V26" s="40"/>
      <c r="W26" s="40"/>
      <c r="X26" s="40"/>
      <c r="Y26" s="40"/>
      <c r="Z26" s="40"/>
      <c r="AA26" s="40"/>
      <c r="AB26" s="40"/>
      <c r="AC26" s="33"/>
      <c r="AD26" s="40"/>
      <c r="AE26" s="40"/>
      <c r="AF26" s="40"/>
      <c r="AG26" s="40"/>
      <c r="AH26" s="40"/>
      <c r="AI26" s="40"/>
      <c r="AJ26" s="40"/>
      <c r="AK26" s="33"/>
      <c r="AL26" s="40"/>
      <c r="AM26" s="40"/>
      <c r="AN26" s="40"/>
      <c r="AO26" s="40"/>
      <c r="AP26" s="40"/>
      <c r="AQ26" s="40"/>
      <c r="AR26" s="40"/>
    </row>
    <row r="27" ht="12.75" customHeight="1">
      <c r="A27" s="33"/>
      <c r="B27" s="43"/>
      <c r="C27" s="34"/>
      <c r="D27" s="34"/>
      <c r="E27" s="34"/>
      <c r="F27" s="34"/>
      <c r="G27" s="34"/>
      <c r="H27" s="34"/>
      <c r="I27" s="34"/>
      <c r="J27" s="34"/>
      <c r="K27" s="34"/>
      <c r="L27" s="5"/>
      <c r="M27" s="44"/>
      <c r="N27" s="35"/>
      <c r="O27" s="35"/>
      <c r="P27" s="5"/>
      <c r="Q27" s="5"/>
      <c r="R27" s="5"/>
      <c r="S27" s="5"/>
      <c r="T27" s="5"/>
      <c r="AF27" s="5"/>
      <c r="AG27" s="5"/>
      <c r="AH27" s="5"/>
      <c r="AI27" s="5"/>
      <c r="AJ27" s="5"/>
    </row>
    <row r="28" ht="12.75" customHeight="1">
      <c r="A28" s="5"/>
      <c r="B28" s="34"/>
      <c r="C28" s="34"/>
      <c r="D28" s="34"/>
      <c r="E28" s="34"/>
      <c r="F28" s="34"/>
      <c r="G28" s="43" t="s">
        <v>14</v>
      </c>
      <c r="H28" s="34"/>
      <c r="I28" s="34"/>
      <c r="J28" s="34"/>
      <c r="K28" s="34"/>
      <c r="L28" s="5"/>
      <c r="M28" s="35"/>
      <c r="N28" s="35"/>
      <c r="O28" s="35"/>
      <c r="P28" s="5"/>
      <c r="Q28" s="5"/>
      <c r="R28" s="5"/>
      <c r="S28" s="5"/>
      <c r="T28" s="5"/>
      <c r="U28" s="33" t="s">
        <v>4</v>
      </c>
      <c r="V28" s="33"/>
      <c r="W28" s="33"/>
      <c r="X28" s="33"/>
      <c r="Y28" s="33"/>
      <c r="Z28" s="33"/>
      <c r="AA28" s="33"/>
      <c r="AB28" s="33"/>
      <c r="AC28" s="33" t="s">
        <v>5</v>
      </c>
      <c r="AD28" s="33"/>
      <c r="AE28" s="33"/>
      <c r="AF28" s="33"/>
      <c r="AG28" s="33"/>
      <c r="AH28" s="33"/>
      <c r="AI28" s="33"/>
      <c r="AJ28" s="33"/>
      <c r="AK28" s="33" t="s">
        <v>6</v>
      </c>
      <c r="AL28" s="33"/>
      <c r="AM28" s="33"/>
      <c r="AN28" s="33"/>
      <c r="AO28" s="33"/>
      <c r="AP28" s="33"/>
      <c r="AQ28" s="33"/>
      <c r="AT28" s="33"/>
      <c r="AU28" s="33"/>
      <c r="AV28" s="33"/>
      <c r="AW28" s="33"/>
      <c r="AX28" s="33"/>
      <c r="AY28" s="33"/>
      <c r="AZ28" s="33"/>
    </row>
    <row r="29" ht="12.75" customHeight="1">
      <c r="A29" s="36" t="s">
        <v>15</v>
      </c>
      <c r="B29" s="45" t="s">
        <v>4</v>
      </c>
      <c r="C29" s="45" t="s">
        <v>5</v>
      </c>
      <c r="D29" s="45" t="s">
        <v>16</v>
      </c>
      <c r="E29" s="45" t="s">
        <v>17</v>
      </c>
      <c r="F29" s="34"/>
      <c r="G29" s="45" t="s">
        <v>4</v>
      </c>
      <c r="H29" s="45" t="s">
        <v>5</v>
      </c>
      <c r="I29" s="45" t="s">
        <v>16</v>
      </c>
      <c r="J29" s="34"/>
      <c r="K29" s="45" t="s">
        <v>18</v>
      </c>
      <c r="L29" s="45" t="s">
        <v>19</v>
      </c>
      <c r="M29" s="45" t="s">
        <v>4</v>
      </c>
      <c r="N29" s="45" t="s">
        <v>5</v>
      </c>
      <c r="O29" s="45" t="s">
        <v>16</v>
      </c>
      <c r="P29" s="5"/>
      <c r="Q29" s="5"/>
      <c r="R29" s="5"/>
      <c r="S29" s="5"/>
      <c r="T29" s="5"/>
      <c r="U29" s="33" t="s">
        <v>20</v>
      </c>
      <c r="V29" s="36" t="s">
        <v>21</v>
      </c>
      <c r="W29" s="36" t="s">
        <v>22</v>
      </c>
      <c r="X29" s="36" t="s">
        <v>23</v>
      </c>
      <c r="Y29" s="36" t="s">
        <v>24</v>
      </c>
      <c r="Z29" s="36" t="s">
        <v>25</v>
      </c>
      <c r="AA29" s="36"/>
      <c r="AC29" s="33" t="s">
        <v>20</v>
      </c>
      <c r="AD29" s="36" t="s">
        <v>21</v>
      </c>
      <c r="AE29" s="36" t="s">
        <v>22</v>
      </c>
      <c r="AF29" s="36" t="s">
        <v>23</v>
      </c>
      <c r="AG29" s="36" t="s">
        <v>24</v>
      </c>
      <c r="AH29" s="36" t="s">
        <v>25</v>
      </c>
      <c r="AI29" s="36"/>
      <c r="AJ29" s="5"/>
      <c r="AK29" s="33" t="s">
        <v>20</v>
      </c>
      <c r="AL29" s="36" t="s">
        <v>21</v>
      </c>
      <c r="AM29" s="36" t="s">
        <v>22</v>
      </c>
      <c r="AN29" s="36" t="s">
        <v>23</v>
      </c>
      <c r="AO29" s="36" t="s">
        <v>24</v>
      </c>
      <c r="AP29" s="36" t="s">
        <v>25</v>
      </c>
      <c r="AQ29" s="36"/>
      <c r="AT29" s="33" t="s">
        <v>26</v>
      </c>
      <c r="AU29" s="36" t="s">
        <v>21</v>
      </c>
      <c r="AV29" s="36" t="s">
        <v>22</v>
      </c>
      <c r="AW29" s="36" t="s">
        <v>23</v>
      </c>
      <c r="AX29" s="36" t="s">
        <v>24</v>
      </c>
      <c r="AY29" s="36" t="s">
        <v>25</v>
      </c>
      <c r="AZ29" s="36"/>
    </row>
    <row r="30" ht="12.75" customHeight="1">
      <c r="A30" s="36" t="s">
        <v>27</v>
      </c>
      <c r="B30" s="42" t="str">
        <f>'[1]4 Dia Prep (1)'!G64</f>
        <v>#REF!</v>
      </c>
      <c r="C30" s="42" t="str">
        <f>'[1]4 Dia Prep (1)'!I64</f>
        <v>#REF!</v>
      </c>
      <c r="D30" s="42" t="str">
        <f>'[1]4 Dia Prep (1)'!K64</f>
        <v>#REF!</v>
      </c>
      <c r="E30" s="42" t="str">
        <f t="shared" ref="E30:E33" si="2">SUM(B30:D30)</f>
        <v>#REF!</v>
      </c>
      <c r="F30" s="42"/>
      <c r="G30" s="42">
        <f>'Ciclo 1'!H64</f>
        <v>3010</v>
      </c>
      <c r="H30" s="42">
        <f>'Ciclo 1'!J64</f>
        <v>7140</v>
      </c>
      <c r="I30" s="42">
        <f>'Ciclo 1'!L64</f>
        <v>4080</v>
      </c>
      <c r="J30" s="42">
        <f t="shared" ref="J30:J33" si="3">SUM(G30:I30)</f>
        <v>14230</v>
      </c>
      <c r="K30" s="42" t="str">
        <f t="shared" ref="K30:K34" si="4">J30/E30</f>
        <v>#REF!</v>
      </c>
      <c r="L30" s="46" t="str">
        <f>K30/SUM('1RM'!$C$4:$C$6)</f>
        <v>#REF!</v>
      </c>
      <c r="M30" s="40" t="str">
        <f>G30/B30/'1RM'!C4</f>
        <v>#REF!</v>
      </c>
      <c r="N30" s="40" t="str">
        <f>H30/C30/'1RM'!C5</f>
        <v>#REF!</v>
      </c>
      <c r="O30" s="40" t="str">
        <f>I30/D30/'1RM'!C6</f>
        <v>#REF!</v>
      </c>
      <c r="P30" s="5"/>
      <c r="Q30" s="5"/>
      <c r="R30" s="5"/>
      <c r="S30" s="5"/>
      <c r="T30" s="5"/>
      <c r="U30" s="33" t="s">
        <v>28</v>
      </c>
      <c r="V30" s="42">
        <f>'Ciclo 1'!$M$64</f>
        <v>6</v>
      </c>
      <c r="W30" s="42">
        <f>'Ciclo 1'!$M$117</f>
        <v>5</v>
      </c>
      <c r="X30" s="42">
        <f>'Ciclo 1'!$M$185</f>
        <v>8</v>
      </c>
      <c r="Y30" s="42">
        <f>'Ciclo 1'!$M$254</f>
        <v>8</v>
      </c>
      <c r="Z30" s="42">
        <f t="shared" ref="Z30:Z35" si="5">SUM(V30:Y30)</f>
        <v>27</v>
      </c>
      <c r="AA30" s="42"/>
      <c r="AC30" s="33" t="s">
        <v>28</v>
      </c>
      <c r="AD30" s="42">
        <f>'Ciclo 1'!$R$64</f>
        <v>15</v>
      </c>
      <c r="AE30" s="42">
        <f>'Ciclo 1'!$R$117</f>
        <v>12</v>
      </c>
      <c r="AF30" s="42">
        <f>'Ciclo 1'!$R$185</f>
        <v>21</v>
      </c>
      <c r="AG30" s="42">
        <f>'Ciclo 1'!$R$254</f>
        <v>19</v>
      </c>
      <c r="AH30" s="42">
        <f t="shared" ref="AH30:AH35" si="6">SUM(AD30:AG30)</f>
        <v>67</v>
      </c>
      <c r="AI30" s="42"/>
      <c r="AJ30" s="5"/>
      <c r="AK30" s="33" t="s">
        <v>28</v>
      </c>
      <c r="AL30" s="42">
        <f>'Ciclo 1'!$W$64</f>
        <v>12</v>
      </c>
      <c r="AM30" s="42">
        <f>'Ciclo 1'!$W$117</f>
        <v>6</v>
      </c>
      <c r="AN30" s="42">
        <f>'Ciclo 1'!$W$185</f>
        <v>9</v>
      </c>
      <c r="AO30" s="42">
        <f>'Ciclo 1'!$W$254</f>
        <v>9</v>
      </c>
      <c r="AP30" s="42">
        <f t="shared" ref="AP30:AP35" si="7">SUM(AL30:AO30)</f>
        <v>36</v>
      </c>
      <c r="AQ30" s="42"/>
      <c r="AT30" s="5" t="s">
        <v>4</v>
      </c>
      <c r="AU30" s="47">
        <f t="shared" ref="AU30:AY30" si="1">V35/(V35+AD35+AL35)</f>
        <v>0.1666666667</v>
      </c>
      <c r="AV30" s="47">
        <f t="shared" si="1"/>
        <v>0.1923076923</v>
      </c>
      <c r="AW30" s="47">
        <f t="shared" si="1"/>
        <v>0.1904761905</v>
      </c>
      <c r="AX30" s="47">
        <f t="shared" si="1"/>
        <v>0.1904761905</v>
      </c>
      <c r="AY30" s="47">
        <f t="shared" si="1"/>
        <v>0.1849315068</v>
      </c>
      <c r="AZ30" s="47"/>
    </row>
    <row r="31" ht="12.75" customHeight="1">
      <c r="A31" s="36" t="s">
        <v>29</v>
      </c>
      <c r="B31" s="42">
        <f>'Ciclo 1'!G117</f>
        <v>59</v>
      </c>
      <c r="C31" s="42">
        <f>'Ciclo 1'!I117</f>
        <v>108</v>
      </c>
      <c r="D31" s="42">
        <f>'Ciclo 1'!K117</f>
        <v>32</v>
      </c>
      <c r="E31" s="42">
        <f t="shared" si="2"/>
        <v>199</v>
      </c>
      <c r="F31" s="42"/>
      <c r="G31" s="42">
        <f>'Ciclo 1'!H117</f>
        <v>3605</v>
      </c>
      <c r="H31" s="42">
        <f>'Ciclo 1'!J117</f>
        <v>7380</v>
      </c>
      <c r="I31" s="42">
        <f>'Ciclo 1'!L117</f>
        <v>2125</v>
      </c>
      <c r="J31" s="42">
        <f t="shared" si="3"/>
        <v>13110</v>
      </c>
      <c r="K31" s="42">
        <f t="shared" si="4"/>
        <v>65.87939698</v>
      </c>
      <c r="L31" s="46">
        <f>K31/SUM('1RM'!$C$4:$C$6)</f>
        <v>0.2195979899</v>
      </c>
      <c r="M31" s="40">
        <f>G31/B31/'1RM'!C4</f>
        <v>0.6110169492</v>
      </c>
      <c r="N31" s="40">
        <f>H31/C31/'1RM'!C5</f>
        <v>0.6833333333</v>
      </c>
      <c r="O31" s="40">
        <f>I31/D31/'1RM'!C6</f>
        <v>0.6640625</v>
      </c>
      <c r="P31" s="5"/>
      <c r="Q31" s="5"/>
      <c r="R31" s="5"/>
      <c r="S31" s="5"/>
      <c r="T31" s="5"/>
      <c r="U31" s="33" t="s">
        <v>30</v>
      </c>
      <c r="V31" s="42">
        <f>'Ciclo 1'!$N$64</f>
        <v>0</v>
      </c>
      <c r="W31" s="42">
        <f>'Ciclo 1'!$N$117</f>
        <v>0</v>
      </c>
      <c r="X31" s="42">
        <f>'Ciclo 1'!$N$185</f>
        <v>0</v>
      </c>
      <c r="Y31" s="42">
        <f>'Ciclo 1'!$N$254</f>
        <v>0</v>
      </c>
      <c r="Z31" s="42">
        <f t="shared" si="5"/>
        <v>0</v>
      </c>
      <c r="AA31" s="42"/>
      <c r="AC31" s="33" t="s">
        <v>30</v>
      </c>
      <c r="AD31" s="42">
        <f>'Ciclo 1'!$S$64</f>
        <v>3</v>
      </c>
      <c r="AE31" s="42">
        <f>'Ciclo 1'!$S$117</f>
        <v>3</v>
      </c>
      <c r="AF31" s="42">
        <f>'Ciclo 1'!$S$185</f>
        <v>0</v>
      </c>
      <c r="AG31" s="42">
        <f>'Ciclo 1'!$S$254</f>
        <v>3</v>
      </c>
      <c r="AH31" s="42">
        <f t="shared" si="6"/>
        <v>9</v>
      </c>
      <c r="AI31" s="42"/>
      <c r="AJ31" s="5"/>
      <c r="AK31" s="33" t="s">
        <v>30</v>
      </c>
      <c r="AL31" s="42">
        <f>'Ciclo 1'!$X$64</f>
        <v>0</v>
      </c>
      <c r="AM31" s="42">
        <f>'Ciclo 1'!$X$117</f>
        <v>0</v>
      </c>
      <c r="AN31" s="42">
        <f>'Ciclo 1'!$X$185</f>
        <v>4</v>
      </c>
      <c r="AO31" s="42">
        <f>'Ciclo 1'!$X$254</f>
        <v>3</v>
      </c>
      <c r="AP31" s="42">
        <f t="shared" si="7"/>
        <v>7</v>
      </c>
      <c r="AQ31" s="42"/>
      <c r="AT31" s="5" t="s">
        <v>5</v>
      </c>
      <c r="AU31" s="47">
        <f t="shared" ref="AU31:AY31" si="8">AD35/(V35+AD35+AL35)</f>
        <v>0.5</v>
      </c>
      <c r="AV31" s="47">
        <f t="shared" si="8"/>
        <v>0.5769230769</v>
      </c>
      <c r="AW31" s="47">
        <f t="shared" si="8"/>
        <v>0.5</v>
      </c>
      <c r="AX31" s="47">
        <f t="shared" si="8"/>
        <v>0.5238095238</v>
      </c>
      <c r="AY31" s="47">
        <f t="shared" si="8"/>
        <v>0.5205479452</v>
      </c>
      <c r="AZ31" s="47"/>
    </row>
    <row r="32" ht="12.75" customHeight="1">
      <c r="A32" s="36" t="s">
        <v>31</v>
      </c>
      <c r="B32" s="42">
        <f>'Ciclo 1'!G185</f>
        <v>71</v>
      </c>
      <c r="C32" s="42">
        <f>'Ciclo 1'!I185</f>
        <v>139</v>
      </c>
      <c r="D32" s="42">
        <f>'Ciclo 1'!K185</f>
        <v>75</v>
      </c>
      <c r="E32" s="42">
        <f t="shared" si="2"/>
        <v>285</v>
      </c>
      <c r="F32" s="42"/>
      <c r="G32" s="42">
        <f>'Ciclo 1'!H185</f>
        <v>4695</v>
      </c>
      <c r="H32" s="42">
        <f>'Ciclo 1'!J185</f>
        <v>9265</v>
      </c>
      <c r="I32" s="42">
        <f>'Ciclo 1'!L185</f>
        <v>5220</v>
      </c>
      <c r="J32" s="42">
        <f t="shared" si="3"/>
        <v>19180</v>
      </c>
      <c r="K32" s="42">
        <f t="shared" si="4"/>
        <v>67.29824561</v>
      </c>
      <c r="L32" s="46">
        <f>K32/SUM('1RM'!$C$4:$C$6)</f>
        <v>0.2243274854</v>
      </c>
      <c r="M32" s="40">
        <f>G32/B32/'1RM'!C4</f>
        <v>0.6612676056</v>
      </c>
      <c r="N32" s="40">
        <f>H32/C32/'1RM'!C5</f>
        <v>0.6665467626</v>
      </c>
      <c r="O32" s="40">
        <f>I32/D32/'1RM'!C6</f>
        <v>0.696</v>
      </c>
      <c r="P32" s="5"/>
      <c r="Q32" s="5"/>
      <c r="R32" s="5"/>
      <c r="S32" s="5"/>
      <c r="T32" s="5"/>
      <c r="U32" s="33" t="s">
        <v>32</v>
      </c>
      <c r="V32" s="42">
        <f>'Ciclo 1'!$O$64</f>
        <v>0</v>
      </c>
      <c r="W32" s="42">
        <f>'Ciclo 1'!$O$117</f>
        <v>0</v>
      </c>
      <c r="X32" s="42">
        <f>'Ciclo 1'!$O$185</f>
        <v>0</v>
      </c>
      <c r="Y32" s="42">
        <f>'Ciclo 1'!$O$254</f>
        <v>0</v>
      </c>
      <c r="Z32" s="42">
        <f t="shared" si="5"/>
        <v>0</v>
      </c>
      <c r="AA32" s="42"/>
      <c r="AC32" s="33" t="s">
        <v>32</v>
      </c>
      <c r="AD32" s="42">
        <f>'Ciclo 1'!$T$64</f>
        <v>0</v>
      </c>
      <c r="AE32" s="42">
        <f>'Ciclo 1'!$T$117</f>
        <v>0</v>
      </c>
      <c r="AF32" s="42">
        <f>'Ciclo 1'!$T$185</f>
        <v>0</v>
      </c>
      <c r="AG32" s="42">
        <f>'Ciclo 1'!$T$254</f>
        <v>0</v>
      </c>
      <c r="AH32" s="42">
        <f t="shared" si="6"/>
        <v>0</v>
      </c>
      <c r="AI32" s="42"/>
      <c r="AJ32" s="5"/>
      <c r="AK32" s="33" t="s">
        <v>32</v>
      </c>
      <c r="AL32" s="42">
        <f>'Ciclo 1'!$Y$64</f>
        <v>0</v>
      </c>
      <c r="AM32" s="42">
        <f>'Ciclo 1'!$Y$117</f>
        <v>0</v>
      </c>
      <c r="AN32" s="42">
        <f>'Ciclo 1'!$Y$185</f>
        <v>0</v>
      </c>
      <c r="AO32" s="42">
        <f>'Ciclo 1'!$Y$254</f>
        <v>0</v>
      </c>
      <c r="AP32" s="42">
        <f t="shared" si="7"/>
        <v>0</v>
      </c>
      <c r="AQ32" s="42"/>
      <c r="AT32" s="5" t="s">
        <v>6</v>
      </c>
      <c r="AU32" s="47">
        <f t="shared" ref="AU32:AY32" si="9">AL35/(AL35+AD35+V35)</f>
        <v>0.3333333333</v>
      </c>
      <c r="AV32" s="47">
        <f t="shared" si="9"/>
        <v>0.2307692308</v>
      </c>
      <c r="AW32" s="47">
        <f t="shared" si="9"/>
        <v>0.3095238095</v>
      </c>
      <c r="AX32" s="47">
        <f t="shared" si="9"/>
        <v>0.2857142857</v>
      </c>
      <c r="AY32" s="47">
        <f t="shared" si="9"/>
        <v>0.2945205479</v>
      </c>
      <c r="AZ32" s="47"/>
    </row>
    <row r="33" ht="12.75" customHeight="1">
      <c r="A33" s="36" t="s">
        <v>33</v>
      </c>
      <c r="B33" s="42">
        <f>'Ciclo 1'!G254</f>
        <v>74</v>
      </c>
      <c r="C33" s="42">
        <f>'Ciclo 1'!I254</f>
        <v>135</v>
      </c>
      <c r="D33" s="42">
        <f>'Ciclo 1'!K254</f>
        <v>65</v>
      </c>
      <c r="E33" s="42">
        <f t="shared" si="2"/>
        <v>274</v>
      </c>
      <c r="F33" s="42"/>
      <c r="G33" s="42">
        <f>'Ciclo 1'!H254</f>
        <v>4850</v>
      </c>
      <c r="H33" s="42">
        <f>'Ciclo 1'!J254</f>
        <v>9425</v>
      </c>
      <c r="I33" s="42">
        <f>'Ciclo 1'!L254</f>
        <v>4530</v>
      </c>
      <c r="J33" s="42">
        <f t="shared" si="3"/>
        <v>18805</v>
      </c>
      <c r="K33" s="42">
        <f t="shared" si="4"/>
        <v>68.63138686</v>
      </c>
      <c r="L33" s="46">
        <f>K33/SUM('1RM'!$C$4:$C$6)</f>
        <v>0.2287712895</v>
      </c>
      <c r="M33" s="40">
        <f>G33/B33/'1RM'!C4</f>
        <v>0.6554054054</v>
      </c>
      <c r="N33" s="40">
        <f>H33/C33/'1RM'!C5</f>
        <v>0.6981481481</v>
      </c>
      <c r="O33" s="40">
        <f>I33/D33/'1RM'!C6</f>
        <v>0.6969230769</v>
      </c>
      <c r="P33" s="5"/>
      <c r="Q33" s="5"/>
      <c r="R33" s="5"/>
      <c r="S33" s="5"/>
      <c r="T33" s="5"/>
      <c r="U33" s="33" t="s">
        <v>34</v>
      </c>
      <c r="V33" s="42">
        <f>'Ciclo 1'!$P$64</f>
        <v>0</v>
      </c>
      <c r="W33" s="42">
        <f>'Ciclo 1'!$P$117</f>
        <v>0</v>
      </c>
      <c r="X33" s="42">
        <f>'Ciclo 1'!$P$185</f>
        <v>0</v>
      </c>
      <c r="Y33" s="42">
        <f>'Ciclo 1'!$P$254</f>
        <v>0</v>
      </c>
      <c r="Z33" s="42">
        <f t="shared" si="5"/>
        <v>0</v>
      </c>
      <c r="AA33" s="42"/>
      <c r="AC33" s="33" t="s">
        <v>34</v>
      </c>
      <c r="AD33" s="42">
        <f>'Ciclo 1'!$U$64</f>
        <v>0</v>
      </c>
      <c r="AE33" s="42">
        <f>'Ciclo 1'!$U$117</f>
        <v>0</v>
      </c>
      <c r="AF33" s="42">
        <f>'Ciclo 1'!$U$185</f>
        <v>0</v>
      </c>
      <c r="AG33" s="42">
        <f>'Ciclo 1'!$U$254</f>
        <v>0</v>
      </c>
      <c r="AH33" s="42">
        <f t="shared" si="6"/>
        <v>0</v>
      </c>
      <c r="AI33" s="42"/>
      <c r="AJ33" s="5"/>
      <c r="AK33" s="33" t="s">
        <v>34</v>
      </c>
      <c r="AL33" s="42">
        <f>'Ciclo 1'!$Z$64</f>
        <v>0</v>
      </c>
      <c r="AM33" s="42">
        <f>'Ciclo 1'!$Z$117</f>
        <v>0</v>
      </c>
      <c r="AN33" s="42">
        <f>'Ciclo 1'!$Z$185</f>
        <v>0</v>
      </c>
      <c r="AO33" s="42">
        <f>'Ciclo 1'!$Z$254</f>
        <v>0</v>
      </c>
      <c r="AP33" s="42">
        <f t="shared" si="7"/>
        <v>0</v>
      </c>
      <c r="AQ33" s="42"/>
    </row>
    <row r="34" ht="12.75" customHeight="1">
      <c r="A34" s="36" t="s">
        <v>7</v>
      </c>
      <c r="B34" s="42" t="str">
        <f t="shared" ref="B34:E34" si="10">SUM(B30:B33)</f>
        <v>#REF!</v>
      </c>
      <c r="C34" s="42" t="str">
        <f t="shared" si="10"/>
        <v>#REF!</v>
      </c>
      <c r="D34" s="42" t="str">
        <f t="shared" si="10"/>
        <v>#REF!</v>
      </c>
      <c r="E34" s="42" t="str">
        <f t="shared" si="10"/>
        <v>#REF!</v>
      </c>
      <c r="F34" s="42"/>
      <c r="G34" s="42">
        <f t="shared" ref="G34:J34" si="11">SUM(G30:G33)</f>
        <v>16160</v>
      </c>
      <c r="H34" s="42">
        <f t="shared" si="11"/>
        <v>33210</v>
      </c>
      <c r="I34" s="42">
        <f t="shared" si="11"/>
        <v>15955</v>
      </c>
      <c r="J34" s="42">
        <f t="shared" si="11"/>
        <v>65325</v>
      </c>
      <c r="K34" s="42" t="str">
        <f t="shared" si="4"/>
        <v>#REF!</v>
      </c>
      <c r="L34" s="46" t="str">
        <f>K34/SUM('1RM'!$C$4:$C$6)</f>
        <v>#REF!</v>
      </c>
      <c r="M34" s="40" t="str">
        <f>G34/B34/'1RM'!C4</f>
        <v>#REF!</v>
      </c>
      <c r="N34" s="40" t="str">
        <f>H34/C34/'1RM'!C5</f>
        <v>#REF!</v>
      </c>
      <c r="O34" s="40" t="str">
        <f>I34/D34/'1RM'!C6</f>
        <v>#REF!</v>
      </c>
      <c r="P34" s="5"/>
      <c r="Q34" s="5"/>
      <c r="R34" s="5"/>
      <c r="S34" s="5"/>
      <c r="T34" s="5"/>
      <c r="U34" s="33" t="s">
        <v>35</v>
      </c>
      <c r="V34" s="42">
        <f>'Ciclo 1'!$Q$64</f>
        <v>0</v>
      </c>
      <c r="W34" s="42">
        <f>'Ciclo 1'!$Q$117</f>
        <v>0</v>
      </c>
      <c r="X34" s="42">
        <f>'Ciclo 1'!$Q$185</f>
        <v>0</v>
      </c>
      <c r="Y34" s="42">
        <f>'Ciclo 1'!$Q$254</f>
        <v>0</v>
      </c>
      <c r="Z34" s="42">
        <f t="shared" si="5"/>
        <v>0</v>
      </c>
      <c r="AA34" s="42"/>
      <c r="AC34" s="33" t="s">
        <v>35</v>
      </c>
      <c r="AD34" s="42">
        <f>'Ciclo 1'!$V$64</f>
        <v>0</v>
      </c>
      <c r="AE34" s="42">
        <f>'Ciclo 1'!$V$117</f>
        <v>0</v>
      </c>
      <c r="AF34" s="42">
        <f>'Ciclo 1'!$V$185</f>
        <v>0</v>
      </c>
      <c r="AG34" s="42">
        <f>'Ciclo 1'!$V$254</f>
        <v>0</v>
      </c>
      <c r="AH34" s="42">
        <f t="shared" si="6"/>
        <v>0</v>
      </c>
      <c r="AI34" s="42"/>
      <c r="AJ34" s="5"/>
      <c r="AK34" s="33" t="s">
        <v>35</v>
      </c>
      <c r="AL34" s="42">
        <f>'Ciclo 1'!$AA$64</f>
        <v>0</v>
      </c>
      <c r="AM34" s="42">
        <f>'Ciclo 1'!$AA$117</f>
        <v>0</v>
      </c>
      <c r="AN34" s="42">
        <f>'Ciclo 1'!$AA$185</f>
        <v>0</v>
      </c>
      <c r="AO34" s="42">
        <f>'Ciclo 1'!$AA$254</f>
        <v>0</v>
      </c>
      <c r="AP34" s="42">
        <f t="shared" si="7"/>
        <v>0</v>
      </c>
      <c r="AQ34" s="42"/>
    </row>
    <row r="35" ht="12.75" customHeight="1">
      <c r="A35" s="36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5"/>
      <c r="M35" s="35"/>
      <c r="N35" s="35"/>
      <c r="O35" s="35"/>
      <c r="P35" s="5"/>
      <c r="Q35" s="5"/>
      <c r="R35" s="5"/>
      <c r="S35" s="5"/>
      <c r="T35" s="5"/>
      <c r="U35" s="33" t="s">
        <v>17</v>
      </c>
      <c r="V35" s="42">
        <f t="shared" ref="V35:Y35" si="12">SUM(V30:V34)</f>
        <v>6</v>
      </c>
      <c r="W35" s="42">
        <f t="shared" si="12"/>
        <v>5</v>
      </c>
      <c r="X35" s="42">
        <f t="shared" si="12"/>
        <v>8</v>
      </c>
      <c r="Y35" s="42">
        <f t="shared" si="12"/>
        <v>8</v>
      </c>
      <c r="Z35" s="42">
        <f t="shared" si="5"/>
        <v>27</v>
      </c>
      <c r="AA35" s="42"/>
      <c r="AC35" s="33" t="s">
        <v>17</v>
      </c>
      <c r="AD35" s="42">
        <f t="shared" ref="AD35:AG35" si="13">SUM(AD30:AD34)</f>
        <v>18</v>
      </c>
      <c r="AE35" s="42">
        <f t="shared" si="13"/>
        <v>15</v>
      </c>
      <c r="AF35" s="42">
        <f t="shared" si="13"/>
        <v>21</v>
      </c>
      <c r="AG35" s="42">
        <f t="shared" si="13"/>
        <v>22</v>
      </c>
      <c r="AH35" s="42">
        <f t="shared" si="6"/>
        <v>76</v>
      </c>
      <c r="AI35" s="42"/>
      <c r="AJ35" s="5"/>
      <c r="AK35" s="33" t="s">
        <v>17</v>
      </c>
      <c r="AL35" s="42">
        <f t="shared" ref="AL35:AO35" si="14">SUM(AL30:AL34)</f>
        <v>12</v>
      </c>
      <c r="AM35" s="42">
        <f t="shared" si="14"/>
        <v>6</v>
      </c>
      <c r="AN35" s="42">
        <f t="shared" si="14"/>
        <v>13</v>
      </c>
      <c r="AO35" s="42">
        <f t="shared" si="14"/>
        <v>12</v>
      </c>
      <c r="AP35" s="42">
        <f t="shared" si="7"/>
        <v>43</v>
      </c>
      <c r="AQ35" s="42"/>
    </row>
    <row r="36" ht="12.75" customHeight="1">
      <c r="A36" s="5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5"/>
      <c r="M36" s="35"/>
      <c r="N36" s="35"/>
      <c r="O36" s="35"/>
      <c r="P36" s="5"/>
      <c r="Q36" s="5"/>
      <c r="R36" s="5"/>
      <c r="S36" s="5"/>
      <c r="T36" s="5"/>
      <c r="U36" s="33" t="s">
        <v>36</v>
      </c>
      <c r="V36" s="40" t="str">
        <f>M30</f>
        <v>#REF!</v>
      </c>
      <c r="W36" s="40">
        <f>M31</f>
        <v>0.6110169492</v>
      </c>
      <c r="X36" s="40">
        <f>M32</f>
        <v>0.6612676056</v>
      </c>
      <c r="Y36" s="40">
        <f>M33</f>
        <v>0.6554054054</v>
      </c>
      <c r="Z36" s="40" t="str">
        <f>M34</f>
        <v>#REF!</v>
      </c>
      <c r="AA36" s="40"/>
      <c r="AC36" s="33" t="s">
        <v>36</v>
      </c>
      <c r="AD36" s="40" t="str">
        <f>N30</f>
        <v>#REF!</v>
      </c>
      <c r="AE36" s="40">
        <f>N31</f>
        <v>0.6833333333</v>
      </c>
      <c r="AF36" s="40">
        <f>N32</f>
        <v>0.6665467626</v>
      </c>
      <c r="AG36" s="40">
        <f>N33</f>
        <v>0.6981481481</v>
      </c>
      <c r="AH36" s="40" t="str">
        <f>N34</f>
        <v>#REF!</v>
      </c>
      <c r="AI36" s="40"/>
      <c r="AJ36" s="5"/>
      <c r="AK36" s="33" t="s">
        <v>36</v>
      </c>
      <c r="AL36" s="40" t="str">
        <f>O30</f>
        <v>#REF!</v>
      </c>
      <c r="AM36" s="40">
        <f>O31</f>
        <v>0.6640625</v>
      </c>
      <c r="AN36" s="40">
        <f>O32</f>
        <v>0.696</v>
      </c>
      <c r="AO36" s="40">
        <f>O33</f>
        <v>0.6969230769</v>
      </c>
      <c r="AP36" s="40" t="str">
        <f>O34</f>
        <v>#REF!</v>
      </c>
      <c r="AQ36" s="40"/>
    </row>
    <row r="37" ht="12.75" customHeight="1">
      <c r="A37" s="5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5"/>
      <c r="M37" s="35"/>
      <c r="N37" s="35"/>
      <c r="O37" s="35"/>
      <c r="P37" s="5"/>
      <c r="Q37" s="5"/>
      <c r="R37" s="5"/>
      <c r="S37" s="5"/>
      <c r="T37" s="5"/>
      <c r="AF37" s="5"/>
      <c r="AG37" s="5"/>
      <c r="AH37" s="5"/>
      <c r="AI37" s="5"/>
      <c r="AJ37" s="5"/>
    </row>
    <row r="38" ht="12.75" customHeight="1">
      <c r="A38" s="5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5"/>
      <c r="M38" s="35"/>
      <c r="N38" s="35"/>
      <c r="O38" s="35"/>
      <c r="P38" s="5"/>
      <c r="Q38" s="5"/>
      <c r="R38" s="5"/>
      <c r="S38" s="5"/>
      <c r="T38" s="5"/>
      <c r="AF38" s="5"/>
      <c r="AG38" s="5"/>
      <c r="AH38" s="5"/>
      <c r="AI38" s="5"/>
      <c r="AJ38" s="5"/>
    </row>
    <row r="39" ht="12.75" customHeight="1">
      <c r="A39" s="5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5"/>
      <c r="M39" s="35"/>
      <c r="N39" s="35"/>
      <c r="O39" s="35"/>
      <c r="P39" s="5"/>
      <c r="Q39" s="5"/>
      <c r="R39" s="5"/>
      <c r="S39" s="5"/>
      <c r="T39" s="5"/>
      <c r="AF39" s="5"/>
      <c r="AG39" s="5"/>
      <c r="AH39" s="5"/>
      <c r="AI39" s="5"/>
      <c r="AJ39" s="5"/>
    </row>
    <row r="40" ht="12.75" customHeight="1">
      <c r="A40" s="5"/>
      <c r="B40" s="37" t="s">
        <v>37</v>
      </c>
      <c r="C40" s="34"/>
      <c r="D40" s="34"/>
      <c r="E40" s="34"/>
      <c r="F40" s="34"/>
      <c r="G40" s="34"/>
      <c r="H40" s="34"/>
      <c r="I40" s="34"/>
      <c r="J40" s="34"/>
      <c r="K40" s="34"/>
      <c r="L40" s="5"/>
      <c r="M40" s="35"/>
      <c r="N40" s="35"/>
      <c r="O40" s="35"/>
      <c r="P40" s="5"/>
      <c r="Q40" s="5"/>
      <c r="R40" s="5"/>
      <c r="S40" s="5"/>
      <c r="T40" s="5"/>
      <c r="AF40" s="5"/>
      <c r="AG40" s="5"/>
      <c r="AH40" s="5"/>
      <c r="AI40" s="5"/>
      <c r="AJ40" s="5"/>
    </row>
    <row r="41" ht="12.75" customHeight="1">
      <c r="A41" s="5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5"/>
      <c r="M41" s="35"/>
      <c r="N41" s="35"/>
      <c r="O41" s="35"/>
      <c r="P41" s="5"/>
      <c r="Q41" s="5"/>
      <c r="R41" s="5"/>
      <c r="S41" s="5"/>
      <c r="T41" s="5"/>
      <c r="AF41" s="5"/>
      <c r="AG41" s="5"/>
      <c r="AH41" s="5"/>
      <c r="AI41" s="5"/>
      <c r="AJ41" s="5"/>
    </row>
    <row r="42" ht="12.75" customHeight="1">
      <c r="A42" s="5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5"/>
      <c r="M42" s="35"/>
      <c r="N42" s="35"/>
      <c r="O42" s="35"/>
      <c r="P42" s="5"/>
      <c r="Q42" s="5"/>
      <c r="R42" s="5"/>
      <c r="S42" s="5"/>
      <c r="T42" s="5"/>
      <c r="AF42" s="5"/>
      <c r="AG42" s="5"/>
      <c r="AH42" s="5"/>
      <c r="AI42" s="5"/>
      <c r="AJ42" s="5"/>
    </row>
    <row r="43" ht="12.75" customHeight="1">
      <c r="A43" s="5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5"/>
      <c r="M43" s="35"/>
      <c r="N43" s="35"/>
      <c r="O43" s="35"/>
      <c r="P43" s="5"/>
      <c r="Q43" s="5"/>
      <c r="R43" s="5"/>
      <c r="S43" s="5"/>
      <c r="T43" s="5"/>
      <c r="AF43" s="5"/>
      <c r="AG43" s="5"/>
      <c r="AH43" s="5"/>
      <c r="AI43" s="5"/>
      <c r="AJ43" s="5"/>
    </row>
    <row r="44" ht="12.75" customHeight="1">
      <c r="A44" s="5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5"/>
      <c r="M44" s="35"/>
      <c r="N44" s="35"/>
      <c r="O44" s="35"/>
      <c r="P44" s="5"/>
      <c r="Q44" s="5"/>
      <c r="R44" s="5"/>
      <c r="S44" s="5"/>
      <c r="T44" s="5"/>
      <c r="AF44" s="5"/>
      <c r="AG44" s="5"/>
      <c r="AH44" s="5"/>
      <c r="AI44" s="5"/>
      <c r="AJ44" s="5"/>
    </row>
    <row r="45" ht="12.75" customHeight="1">
      <c r="A45" s="5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5"/>
      <c r="M45" s="35"/>
      <c r="N45" s="35"/>
      <c r="O45" s="35"/>
      <c r="P45" s="5"/>
      <c r="Q45" s="5"/>
      <c r="R45" s="5"/>
      <c r="S45" s="5"/>
      <c r="T45" s="5"/>
      <c r="AF45" s="5"/>
      <c r="AG45" s="5"/>
      <c r="AH45" s="5"/>
      <c r="AI45" s="5"/>
      <c r="AJ45" s="5"/>
    </row>
    <row r="46" ht="12.75" customHeight="1">
      <c r="A46" s="5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5"/>
      <c r="M46" s="35"/>
      <c r="N46" s="35"/>
      <c r="O46" s="35"/>
      <c r="P46" s="5"/>
      <c r="Q46" s="5"/>
      <c r="R46" s="5"/>
      <c r="S46" s="5"/>
      <c r="T46" s="5"/>
      <c r="AF46" s="5"/>
      <c r="AG46" s="5"/>
      <c r="AH46" s="5"/>
      <c r="AI46" s="5"/>
      <c r="AJ46" s="5"/>
    </row>
    <row r="47" ht="12.75" customHeight="1">
      <c r="A47" s="5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5"/>
      <c r="M47" s="35"/>
      <c r="N47" s="35"/>
      <c r="O47" s="35"/>
      <c r="P47" s="5"/>
      <c r="Q47" s="5"/>
      <c r="R47" s="5"/>
      <c r="S47" s="5"/>
      <c r="T47" s="5"/>
      <c r="AF47" s="5"/>
      <c r="AG47" s="5"/>
      <c r="AH47" s="5"/>
      <c r="AI47" s="5"/>
      <c r="AJ47" s="5"/>
    </row>
    <row r="48" ht="12.75" customHeight="1">
      <c r="A48" s="5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5"/>
      <c r="M48" s="35"/>
      <c r="N48" s="35"/>
      <c r="O48" s="35"/>
      <c r="P48" s="5"/>
      <c r="Q48" s="5"/>
      <c r="R48" s="5"/>
      <c r="S48" s="5"/>
      <c r="T48" s="5"/>
      <c r="AF48" s="5"/>
      <c r="AG48" s="5"/>
      <c r="AH48" s="5"/>
      <c r="AI48" s="5"/>
      <c r="AJ48" s="5"/>
    </row>
    <row r="49" ht="12.75" customHeight="1">
      <c r="A49" s="5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5"/>
      <c r="M49" s="35"/>
      <c r="N49" s="35"/>
      <c r="O49" s="35"/>
      <c r="P49" s="5"/>
      <c r="Q49" s="5"/>
      <c r="R49" s="5"/>
      <c r="S49" s="5"/>
      <c r="T49" s="5"/>
      <c r="AF49" s="5"/>
      <c r="AG49" s="5"/>
      <c r="AH49" s="5"/>
      <c r="AI49" s="5"/>
      <c r="AJ49" s="5"/>
    </row>
    <row r="50" ht="12.75" customHeight="1">
      <c r="A50" s="5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5"/>
      <c r="M50" s="35"/>
      <c r="N50" s="35"/>
      <c r="O50" s="35"/>
      <c r="P50" s="5"/>
      <c r="Q50" s="5"/>
      <c r="R50" s="5"/>
      <c r="S50" s="5"/>
      <c r="T50" s="5"/>
      <c r="AF50" s="5"/>
      <c r="AG50" s="5"/>
      <c r="AH50" s="5"/>
      <c r="AI50" s="5"/>
      <c r="AJ50" s="5"/>
    </row>
    <row r="51" ht="12.75" customHeight="1">
      <c r="A51" s="5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5"/>
      <c r="M51" s="35"/>
      <c r="N51" s="35"/>
      <c r="O51" s="35"/>
      <c r="P51" s="5"/>
      <c r="Q51" s="5"/>
      <c r="R51" s="5"/>
      <c r="S51" s="5"/>
      <c r="T51" s="5"/>
      <c r="AF51" s="5"/>
      <c r="AG51" s="5"/>
      <c r="AH51" s="5"/>
      <c r="AI51" s="5"/>
      <c r="AJ51" s="5"/>
    </row>
    <row r="52" ht="12.75" customHeight="1">
      <c r="A52" s="5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5"/>
      <c r="M52" s="35"/>
      <c r="N52" s="35"/>
      <c r="O52" s="35"/>
      <c r="P52" s="5"/>
      <c r="Q52" s="5"/>
      <c r="R52" s="5"/>
      <c r="S52" s="5"/>
      <c r="T52" s="5"/>
      <c r="AF52" s="5"/>
      <c r="AG52" s="5"/>
      <c r="AH52" s="5"/>
      <c r="AI52" s="5"/>
      <c r="AJ52" s="5"/>
    </row>
    <row r="53" ht="12.75" customHeight="1">
      <c r="A53" s="5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5"/>
      <c r="M53" s="35"/>
      <c r="N53" s="35"/>
      <c r="O53" s="35"/>
      <c r="P53" s="5"/>
      <c r="Q53" s="5"/>
      <c r="R53" s="5"/>
      <c r="S53" s="5"/>
      <c r="T53" s="5"/>
      <c r="AF53" s="5"/>
      <c r="AG53" s="5"/>
      <c r="AH53" s="5"/>
      <c r="AI53" s="5"/>
      <c r="AJ53" s="5"/>
    </row>
    <row r="54" ht="12.75" customHeight="1">
      <c r="A54" s="5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5"/>
      <c r="M54" s="35"/>
      <c r="N54" s="35"/>
      <c r="O54" s="35"/>
      <c r="P54" s="5"/>
      <c r="Q54" s="5"/>
      <c r="R54" s="5"/>
      <c r="S54" s="5"/>
      <c r="T54" s="5"/>
      <c r="AF54" s="5"/>
      <c r="AG54" s="5"/>
      <c r="AH54" s="5"/>
      <c r="AI54" s="5"/>
      <c r="AJ54" s="5"/>
    </row>
    <row r="55" ht="12.75" customHeight="1">
      <c r="A55" s="36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5"/>
      <c r="M55" s="40"/>
      <c r="N55" s="40"/>
      <c r="O55" s="40"/>
      <c r="P55" s="5"/>
      <c r="Q55" s="5"/>
      <c r="R55" s="5"/>
      <c r="S55" s="5"/>
      <c r="T55" s="5"/>
      <c r="AF55" s="5"/>
      <c r="AG55" s="5"/>
      <c r="AH55" s="5"/>
      <c r="AI55" s="5"/>
      <c r="AJ55" s="5"/>
    </row>
    <row r="56" ht="12.75" customHeight="1">
      <c r="A56" s="5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5"/>
      <c r="M56" s="35"/>
      <c r="N56" s="35"/>
      <c r="O56" s="35"/>
      <c r="P56" s="5"/>
      <c r="Q56" s="5"/>
      <c r="R56" s="5"/>
      <c r="S56" s="5"/>
      <c r="T56" s="5"/>
      <c r="U56" s="33"/>
      <c r="V56" s="40"/>
      <c r="W56" s="40"/>
      <c r="X56" s="40"/>
      <c r="Y56" s="40"/>
      <c r="Z56" s="40"/>
      <c r="AA56" s="40"/>
      <c r="AB56" s="40"/>
      <c r="AC56" s="33"/>
      <c r="AD56" s="40"/>
      <c r="AE56" s="40"/>
      <c r="AF56" s="40"/>
      <c r="AG56" s="40"/>
      <c r="AH56" s="40"/>
      <c r="AI56" s="40"/>
      <c r="AJ56" s="40"/>
      <c r="AK56" s="33"/>
      <c r="AL56" s="40"/>
      <c r="AM56" s="40"/>
      <c r="AN56" s="40"/>
      <c r="AO56" s="40"/>
      <c r="AP56" s="40"/>
      <c r="AQ56" s="40"/>
      <c r="AR56" s="40"/>
    </row>
    <row r="57" ht="12.75" customHeight="1">
      <c r="A57" s="33"/>
      <c r="B57" s="43"/>
      <c r="C57" s="34"/>
      <c r="D57" s="34"/>
      <c r="E57" s="34"/>
      <c r="F57" s="34"/>
      <c r="G57" s="34"/>
      <c r="H57" s="34"/>
      <c r="I57" s="34"/>
      <c r="J57" s="34"/>
      <c r="K57" s="34"/>
      <c r="L57" s="5"/>
      <c r="M57" s="44"/>
      <c r="N57" s="35"/>
      <c r="O57" s="35"/>
      <c r="P57" s="5"/>
      <c r="Q57" s="5"/>
      <c r="R57" s="5"/>
      <c r="S57" s="5"/>
      <c r="T57" s="5"/>
      <c r="AF57" s="5"/>
      <c r="AG57" s="5"/>
      <c r="AH57" s="5"/>
      <c r="AI57" s="5"/>
      <c r="AJ57" s="5"/>
    </row>
    <row r="58" ht="12.75" customHeight="1">
      <c r="A58" s="5"/>
      <c r="B58" s="34"/>
      <c r="C58" s="34"/>
      <c r="D58" s="34"/>
      <c r="E58" s="34"/>
      <c r="F58" s="34"/>
      <c r="G58" s="43" t="s">
        <v>14</v>
      </c>
      <c r="H58" s="34"/>
      <c r="I58" s="34"/>
      <c r="J58" s="34"/>
      <c r="K58" s="34"/>
      <c r="L58" s="5"/>
      <c r="M58" s="35"/>
      <c r="N58" s="35"/>
      <c r="O58" s="35"/>
      <c r="P58" s="5"/>
      <c r="Q58" s="5"/>
      <c r="R58" s="5"/>
      <c r="S58" s="5"/>
      <c r="T58" s="5"/>
      <c r="U58" s="33" t="s">
        <v>4</v>
      </c>
      <c r="V58" s="33"/>
      <c r="W58" s="33"/>
      <c r="X58" s="33"/>
      <c r="Y58" s="33"/>
      <c r="Z58" s="33"/>
      <c r="AA58" s="33"/>
      <c r="AB58" s="33"/>
      <c r="AC58" s="33" t="s">
        <v>5</v>
      </c>
      <c r="AD58" s="33"/>
      <c r="AE58" s="33"/>
      <c r="AF58" s="33"/>
      <c r="AG58" s="33"/>
      <c r="AH58" s="33"/>
      <c r="AI58" s="33"/>
      <c r="AJ58" s="33"/>
      <c r="AK58" s="33" t="s">
        <v>6</v>
      </c>
      <c r="AL58" s="33"/>
      <c r="AM58" s="33"/>
      <c r="AN58" s="33"/>
      <c r="AO58" s="33"/>
      <c r="AP58" s="33"/>
      <c r="AQ58" s="33"/>
      <c r="AT58" s="33"/>
      <c r="AU58" s="33"/>
      <c r="AV58" s="33"/>
      <c r="AW58" s="33"/>
      <c r="AX58" s="33"/>
      <c r="AY58" s="33"/>
      <c r="AZ58" s="33"/>
    </row>
    <row r="59" ht="12.75" customHeight="1">
      <c r="A59" s="36" t="s">
        <v>38</v>
      </c>
      <c r="B59" s="45" t="s">
        <v>4</v>
      </c>
      <c r="C59" s="45" t="s">
        <v>5</v>
      </c>
      <c r="D59" s="45" t="s">
        <v>16</v>
      </c>
      <c r="E59" s="45" t="s">
        <v>17</v>
      </c>
      <c r="F59" s="34"/>
      <c r="G59" s="45" t="s">
        <v>4</v>
      </c>
      <c r="H59" s="45" t="s">
        <v>5</v>
      </c>
      <c r="I59" s="45" t="s">
        <v>16</v>
      </c>
      <c r="J59" s="34"/>
      <c r="K59" s="45" t="s">
        <v>18</v>
      </c>
      <c r="L59" s="45" t="s">
        <v>19</v>
      </c>
      <c r="M59" s="45" t="s">
        <v>4</v>
      </c>
      <c r="N59" s="45" t="s">
        <v>5</v>
      </c>
      <c r="O59" s="45" t="s">
        <v>16</v>
      </c>
      <c r="P59" s="5"/>
      <c r="Q59" s="5"/>
      <c r="R59" s="5"/>
      <c r="S59" s="5"/>
      <c r="T59" s="5"/>
      <c r="U59" s="33" t="s">
        <v>20</v>
      </c>
      <c r="V59" s="36" t="s">
        <v>21</v>
      </c>
      <c r="W59" s="36" t="s">
        <v>22</v>
      </c>
      <c r="X59" s="36" t="s">
        <v>23</v>
      </c>
      <c r="Y59" s="36" t="s">
        <v>24</v>
      </c>
      <c r="Z59" s="36" t="s">
        <v>39</v>
      </c>
      <c r="AA59" s="36" t="s">
        <v>40</v>
      </c>
      <c r="AB59" s="36" t="s">
        <v>41</v>
      </c>
      <c r="AC59" s="33" t="s">
        <v>20</v>
      </c>
      <c r="AD59" s="36" t="s">
        <v>21</v>
      </c>
      <c r="AE59" s="36" t="s">
        <v>22</v>
      </c>
      <c r="AF59" s="36" t="s">
        <v>23</v>
      </c>
      <c r="AG59" s="36" t="s">
        <v>24</v>
      </c>
      <c r="AH59" s="36" t="s">
        <v>39</v>
      </c>
      <c r="AI59" s="36" t="s">
        <v>40</v>
      </c>
      <c r="AJ59" s="36" t="s">
        <v>41</v>
      </c>
      <c r="AK59" s="33" t="s">
        <v>20</v>
      </c>
      <c r="AL59" s="36" t="s">
        <v>21</v>
      </c>
      <c r="AM59" s="36" t="s">
        <v>22</v>
      </c>
      <c r="AN59" s="36" t="s">
        <v>23</v>
      </c>
      <c r="AO59" s="36" t="s">
        <v>24</v>
      </c>
      <c r="AP59" s="36" t="s">
        <v>39</v>
      </c>
      <c r="AQ59" s="36" t="s">
        <v>40</v>
      </c>
      <c r="AR59" s="36" t="s">
        <v>41</v>
      </c>
      <c r="AT59" s="33" t="s">
        <v>26</v>
      </c>
      <c r="AU59" s="36" t="s">
        <v>21</v>
      </c>
      <c r="AV59" s="36" t="s">
        <v>22</v>
      </c>
      <c r="AW59" s="36" t="s">
        <v>23</v>
      </c>
      <c r="AX59" s="36" t="s">
        <v>24</v>
      </c>
      <c r="AY59" s="36" t="s">
        <v>39</v>
      </c>
      <c r="AZ59" s="36" t="s">
        <v>40</v>
      </c>
      <c r="BA59" s="36" t="s">
        <v>41</v>
      </c>
    </row>
    <row r="60" ht="12.75" customHeight="1">
      <c r="A60" s="36" t="s">
        <v>27</v>
      </c>
      <c r="B60" s="42">
        <f>'Ciclo 2'!G66</f>
        <v>81</v>
      </c>
      <c r="C60" s="42">
        <f>'Ciclo 2'!I66</f>
        <v>127</v>
      </c>
      <c r="D60" s="42">
        <f>'Ciclo 2'!K66</f>
        <v>59</v>
      </c>
      <c r="E60" s="42">
        <f t="shared" ref="E60:E65" si="16">SUM(B60:D60)</f>
        <v>267</v>
      </c>
      <c r="F60" s="42"/>
      <c r="G60" s="42">
        <f>'Ciclo 2'!H66</f>
        <v>5580</v>
      </c>
      <c r="H60" s="42">
        <f>'Ciclo 2'!J66</f>
        <v>8940</v>
      </c>
      <c r="I60" s="42">
        <f>'Ciclo 2'!L66</f>
        <v>4415</v>
      </c>
      <c r="J60" s="42">
        <f t="shared" ref="J60:J65" si="17">SUM(G60:I60)</f>
        <v>18935</v>
      </c>
      <c r="K60" s="42">
        <f t="shared" ref="K60:K66" si="18">J60/E60</f>
        <v>70.917603</v>
      </c>
      <c r="L60" s="46">
        <f>K60/SUM('1RM'!$C$4:$C$6)</f>
        <v>0.23639201</v>
      </c>
      <c r="M60" s="40">
        <f>G60/B60/'1RM'!C4</f>
        <v>0.6888888889</v>
      </c>
      <c r="N60" s="40">
        <f>H60/C60/'1RM'!C5</f>
        <v>0.7039370079</v>
      </c>
      <c r="O60" s="40">
        <f>I60/D60/'1RM'!C6</f>
        <v>0.7483050847</v>
      </c>
      <c r="P60" s="5"/>
      <c r="Q60" s="5"/>
      <c r="R60" s="5"/>
      <c r="S60" s="5"/>
      <c r="T60" s="5"/>
      <c r="U60" s="33" t="s">
        <v>28</v>
      </c>
      <c r="V60" s="42">
        <f>'Ciclo 2'!$M$66</f>
        <v>10</v>
      </c>
      <c r="W60" s="42">
        <f>'Ciclo 2'!$M$124</f>
        <v>13</v>
      </c>
      <c r="X60" s="42">
        <f>'Ciclo 2'!$M$186</f>
        <v>14</v>
      </c>
      <c r="Y60" s="42">
        <f>'Ciclo 2'!$M$247</f>
        <v>10</v>
      </c>
      <c r="Z60" s="42">
        <f>'Ciclo 2'!$M$319</f>
        <v>14</v>
      </c>
      <c r="AA60" s="42">
        <f>'Ciclo 2'!$M$383</f>
        <v>15</v>
      </c>
      <c r="AB60" s="42">
        <f t="shared" ref="AB60:AB64" si="19">SUM(V60:AA60)</f>
        <v>76</v>
      </c>
      <c r="AC60" s="33" t="s">
        <v>28</v>
      </c>
      <c r="AD60" s="42">
        <f>'Ciclo 2'!$R$66</f>
        <v>17</v>
      </c>
      <c r="AE60" s="42">
        <f>'Ciclo 2'!$R$124</f>
        <v>18</v>
      </c>
      <c r="AF60" s="42">
        <f>'Ciclo 2'!$R$186</f>
        <v>21</v>
      </c>
      <c r="AG60" s="42">
        <f>'Ciclo 2'!$R$247</f>
        <v>16</v>
      </c>
      <c r="AH60" s="42">
        <f>'Ciclo 2'!$R$319</f>
        <v>35</v>
      </c>
      <c r="AI60" s="42">
        <f>'Ciclo 2'!$R$383</f>
        <v>19</v>
      </c>
      <c r="AJ60" s="42">
        <f t="shared" ref="AJ60:AJ64" si="20">SUM(AD60:AI60)</f>
        <v>126</v>
      </c>
      <c r="AK60" s="33" t="s">
        <v>28</v>
      </c>
      <c r="AL60" s="42">
        <f>'Ciclo 2'!$W$66</f>
        <v>3</v>
      </c>
      <c r="AM60" s="42">
        <f>'Ciclo 2'!$W$124</f>
        <v>9</v>
      </c>
      <c r="AN60" s="42">
        <f>'Ciclo 2'!$W$186</f>
        <v>6</v>
      </c>
      <c r="AO60" s="42">
        <f>'Ciclo 2'!$W$247</f>
        <v>9</v>
      </c>
      <c r="AP60" s="42">
        <f>'Ciclo 2'!$W$319</f>
        <v>14</v>
      </c>
      <c r="AQ60" s="42">
        <f>'Ciclo 2'!$W$383</f>
        <v>13</v>
      </c>
      <c r="AR60" s="42">
        <f t="shared" ref="AR60:AR65" si="21">SUM(AL60:AQ60)</f>
        <v>54</v>
      </c>
      <c r="AT60" s="5" t="s">
        <v>4</v>
      </c>
      <c r="AU60" s="47">
        <f t="shared" ref="AU60:BA60" si="15">V65/(V65+AD65+AL65)</f>
        <v>0.3033707865</v>
      </c>
      <c r="AV60" s="47">
        <f t="shared" si="15"/>
        <v>0.3179916318</v>
      </c>
      <c r="AW60" s="47">
        <f t="shared" si="15"/>
        <v>0.3878205128</v>
      </c>
      <c r="AX60" s="47">
        <f t="shared" si="15"/>
        <v>0.3039647577</v>
      </c>
      <c r="AY60" s="47">
        <f t="shared" si="15"/>
        <v>0.3259052925</v>
      </c>
      <c r="AZ60" s="47">
        <f t="shared" si="15"/>
        <v>0.2776280323</v>
      </c>
      <c r="BA60" s="47">
        <f t="shared" si="15"/>
        <v>0.3194366197</v>
      </c>
    </row>
    <row r="61" ht="12.75" customHeight="1">
      <c r="A61" s="36" t="s">
        <v>29</v>
      </c>
      <c r="B61" s="42">
        <f>'Ciclo 2'!G124</f>
        <v>76</v>
      </c>
      <c r="C61" s="42">
        <f>'Ciclo 2'!I124</f>
        <v>115</v>
      </c>
      <c r="D61" s="42">
        <f>'Ciclo 2'!K124</f>
        <v>48</v>
      </c>
      <c r="E61" s="42">
        <f t="shared" si="16"/>
        <v>239</v>
      </c>
      <c r="F61" s="42"/>
      <c r="G61" s="42">
        <f>'Ciclo 2'!H124</f>
        <v>5480</v>
      </c>
      <c r="H61" s="42">
        <f>'Ciclo 2'!J124</f>
        <v>8325</v>
      </c>
      <c r="I61" s="42">
        <f>'Ciclo 2'!L124</f>
        <v>3170</v>
      </c>
      <c r="J61" s="42">
        <f t="shared" si="17"/>
        <v>16975</v>
      </c>
      <c r="K61" s="42">
        <f t="shared" si="18"/>
        <v>71.0251046</v>
      </c>
      <c r="L61" s="46">
        <f>K61/SUM('1RM'!$C$4:$C$6)</f>
        <v>0.2367503487</v>
      </c>
      <c r="M61" s="40">
        <f>G61/B61/'1RM'!C4</f>
        <v>0.7210526316</v>
      </c>
      <c r="N61" s="40">
        <f>H61/C61/'1RM'!C5</f>
        <v>0.7239130435</v>
      </c>
      <c r="O61" s="40">
        <f>I61/D61/'1RM'!C6</f>
        <v>0.6604166667</v>
      </c>
      <c r="P61" s="5"/>
      <c r="Q61" s="5"/>
      <c r="R61" s="5"/>
      <c r="S61" s="5"/>
      <c r="T61" s="5"/>
      <c r="U61" s="33" t="s">
        <v>30</v>
      </c>
      <c r="V61" s="42">
        <f>'Ciclo 2'!$N$66</f>
        <v>9</v>
      </c>
      <c r="W61" s="42">
        <f>'Ciclo 2'!$N$124</f>
        <v>11</v>
      </c>
      <c r="X61" s="42">
        <f>'Ciclo 2'!$N$186</f>
        <v>13</v>
      </c>
      <c r="Y61" s="42">
        <f>'Ciclo 2'!$N$247</f>
        <v>8</v>
      </c>
      <c r="Z61" s="42">
        <f>'Ciclo 2'!$N$319</f>
        <v>13</v>
      </c>
      <c r="AA61" s="42">
        <f>'Ciclo 2'!$N$383</f>
        <v>13</v>
      </c>
      <c r="AB61" s="42">
        <f t="shared" si="19"/>
        <v>67</v>
      </c>
      <c r="AC61" s="33" t="s">
        <v>30</v>
      </c>
      <c r="AD61" s="42">
        <f>'Ciclo 2'!$S$66</f>
        <v>18</v>
      </c>
      <c r="AE61" s="42">
        <f>'Ciclo 2'!$S$124</f>
        <v>15</v>
      </c>
      <c r="AF61" s="42">
        <f>'Ciclo 2'!$S$186</f>
        <v>19</v>
      </c>
      <c r="AG61" s="42">
        <f>'Ciclo 2'!$S$247</f>
        <v>14</v>
      </c>
      <c r="AH61" s="42">
        <f>'Ciclo 2'!$S$319</f>
        <v>28</v>
      </c>
      <c r="AI61" s="42">
        <f>'Ciclo 2'!$S$383</f>
        <v>17</v>
      </c>
      <c r="AJ61" s="42">
        <f t="shared" si="20"/>
        <v>111</v>
      </c>
      <c r="AK61" s="33" t="s">
        <v>30</v>
      </c>
      <c r="AL61" s="42">
        <f>'Ciclo 2'!$X$66</f>
        <v>9</v>
      </c>
      <c r="AM61" s="42">
        <f>'Ciclo 2'!$X$124</f>
        <v>9</v>
      </c>
      <c r="AN61" s="42">
        <f>'Ciclo 2'!$X$186</f>
        <v>7</v>
      </c>
      <c r="AO61" s="42">
        <f>'Ciclo 2'!$X$247</f>
        <v>12</v>
      </c>
      <c r="AP61" s="42">
        <f>'Ciclo 2'!$X$319</f>
        <v>14</v>
      </c>
      <c r="AQ61" s="42">
        <f>'Ciclo 2'!$X$383</f>
        <v>19</v>
      </c>
      <c r="AR61" s="42">
        <f t="shared" si="21"/>
        <v>70</v>
      </c>
      <c r="AT61" s="5" t="s">
        <v>5</v>
      </c>
      <c r="AU61" s="47">
        <f t="shared" ref="AU61:BA61" si="22">AD65/(V65+AD65+AL65)</f>
        <v>0.4756554307</v>
      </c>
      <c r="AV61" s="47">
        <f t="shared" si="22"/>
        <v>0.4811715481</v>
      </c>
      <c r="AW61" s="47">
        <f t="shared" si="22"/>
        <v>0.4326923077</v>
      </c>
      <c r="AX61" s="47">
        <f t="shared" si="22"/>
        <v>0.4537444934</v>
      </c>
      <c r="AY61" s="47">
        <f t="shared" si="22"/>
        <v>0.4233983287</v>
      </c>
      <c r="AZ61" s="47">
        <f t="shared" si="22"/>
        <v>0.4797843666</v>
      </c>
      <c r="BA61" s="47">
        <f t="shared" si="22"/>
        <v>0.4563380282</v>
      </c>
    </row>
    <row r="62" ht="12.75" customHeight="1">
      <c r="A62" s="36" t="s">
        <v>31</v>
      </c>
      <c r="B62" s="42">
        <f>'Ciclo 2'!G186</f>
        <v>121</v>
      </c>
      <c r="C62" s="42">
        <f>'Ciclo 2'!I186</f>
        <v>135</v>
      </c>
      <c r="D62" s="42">
        <f>'Ciclo 2'!K186</f>
        <v>59</v>
      </c>
      <c r="E62" s="42">
        <f t="shared" si="16"/>
        <v>315</v>
      </c>
      <c r="F62" s="42"/>
      <c r="G62" s="42">
        <f>'Ciclo 2'!H186</f>
        <v>8260</v>
      </c>
      <c r="H62" s="42">
        <f>'Ciclo 2'!J186</f>
        <v>9335</v>
      </c>
      <c r="I62" s="42">
        <f>'Ciclo 2'!L186</f>
        <v>4130</v>
      </c>
      <c r="J62" s="42">
        <f t="shared" si="17"/>
        <v>21725</v>
      </c>
      <c r="K62" s="42">
        <f t="shared" si="18"/>
        <v>68.96825397</v>
      </c>
      <c r="L62" s="46">
        <f>K62/SUM('1RM'!$C$4:$C$6)</f>
        <v>0.2298941799</v>
      </c>
      <c r="M62" s="40">
        <f>G62/B62/'1RM'!C4</f>
        <v>0.6826446281</v>
      </c>
      <c r="N62" s="40">
        <f>H62/C62/'1RM'!C5</f>
        <v>0.6914814815</v>
      </c>
      <c r="O62" s="40">
        <f>I62/D62/'1RM'!C6</f>
        <v>0.7</v>
      </c>
      <c r="P62" s="5"/>
      <c r="Q62" s="5"/>
      <c r="R62" s="5"/>
      <c r="S62" s="5"/>
      <c r="T62" s="5"/>
      <c r="U62" s="33" t="s">
        <v>32</v>
      </c>
      <c r="V62" s="42">
        <f>'Ciclo 2'!$O$66</f>
        <v>42</v>
      </c>
      <c r="W62" s="42">
        <f>'Ciclo 2'!$O$124</f>
        <v>9</v>
      </c>
      <c r="X62" s="42">
        <f>'Ciclo 2'!$O$186</f>
        <v>74</v>
      </c>
      <c r="Y62" s="42">
        <f>'Ciclo 2'!$O$247</f>
        <v>6</v>
      </c>
      <c r="Z62" s="42">
        <f>'Ciclo 2'!$O$319</f>
        <v>90</v>
      </c>
      <c r="AA62" s="42">
        <f>'Ciclo 2'!$O$383</f>
        <v>30</v>
      </c>
      <c r="AB62" s="42">
        <f t="shared" si="19"/>
        <v>251</v>
      </c>
      <c r="AC62" s="33" t="s">
        <v>32</v>
      </c>
      <c r="AD62" s="42">
        <f>'Ciclo 2'!$T$66</f>
        <v>52</v>
      </c>
      <c r="AE62" s="42">
        <f>'Ciclo 2'!$T$124</f>
        <v>25</v>
      </c>
      <c r="AF62" s="42">
        <f>'Ciclo 2'!$T$186</f>
        <v>57</v>
      </c>
      <c r="AG62" s="42">
        <f>'Ciclo 2'!$T$247</f>
        <v>12</v>
      </c>
      <c r="AH62" s="42">
        <f>'Ciclo 2'!$T$319</f>
        <v>36</v>
      </c>
      <c r="AI62" s="42">
        <f>'Ciclo 2'!$T$383</f>
        <v>117</v>
      </c>
      <c r="AJ62" s="42">
        <f t="shared" si="20"/>
        <v>299</v>
      </c>
      <c r="AK62" s="33" t="s">
        <v>32</v>
      </c>
      <c r="AL62" s="42">
        <f>'Ciclo 2'!$Y$66</f>
        <v>14</v>
      </c>
      <c r="AM62" s="42">
        <f>'Ciclo 2'!$Y$124</f>
        <v>30</v>
      </c>
      <c r="AN62" s="42">
        <f>'Ciclo 2'!$Y$186</f>
        <v>27</v>
      </c>
      <c r="AO62" s="42">
        <f>'Ciclo 2'!$Y$247</f>
        <v>17</v>
      </c>
      <c r="AP62" s="42">
        <f>'Ciclo 2'!$Y$319</f>
        <v>50</v>
      </c>
      <c r="AQ62" s="42">
        <f>'Ciclo 2'!$Y$383</f>
        <v>33</v>
      </c>
      <c r="AR62" s="42">
        <f t="shared" si="21"/>
        <v>171</v>
      </c>
      <c r="AT62" s="5" t="s">
        <v>6</v>
      </c>
      <c r="AU62" s="47">
        <f t="shared" ref="AU62:BA62" si="23">AL65/(AL65+AD65+V65)</f>
        <v>0.2209737828</v>
      </c>
      <c r="AV62" s="47">
        <f t="shared" si="23"/>
        <v>0.2008368201</v>
      </c>
      <c r="AW62" s="47">
        <f t="shared" si="23"/>
        <v>0.1794871795</v>
      </c>
      <c r="AX62" s="47">
        <f t="shared" si="23"/>
        <v>0.2422907489</v>
      </c>
      <c r="AY62" s="47">
        <f t="shared" si="23"/>
        <v>0.2506963788</v>
      </c>
      <c r="AZ62" s="47">
        <f t="shared" si="23"/>
        <v>0.2425876011</v>
      </c>
      <c r="BA62" s="47">
        <f t="shared" si="23"/>
        <v>0.2242253521</v>
      </c>
    </row>
    <row r="63" ht="12.75" customHeight="1">
      <c r="A63" s="36" t="s">
        <v>33</v>
      </c>
      <c r="B63" s="42">
        <f>'Ciclo 2'!G247</f>
        <v>69</v>
      </c>
      <c r="C63" s="42">
        <f>'Ciclo 2'!I247</f>
        <v>103</v>
      </c>
      <c r="D63" s="42">
        <f>'Ciclo 2'!K247</f>
        <v>63</v>
      </c>
      <c r="E63" s="42">
        <f t="shared" si="16"/>
        <v>235</v>
      </c>
      <c r="F63" s="42"/>
      <c r="G63" s="42">
        <f>'Ciclo 2'!H247</f>
        <v>5000</v>
      </c>
      <c r="H63" s="42">
        <f>'Ciclo 2'!J247</f>
        <v>7620</v>
      </c>
      <c r="I63" s="42">
        <f>'Ciclo 2'!L247</f>
        <v>4350</v>
      </c>
      <c r="J63" s="42">
        <f t="shared" si="17"/>
        <v>16970</v>
      </c>
      <c r="K63" s="42">
        <f t="shared" si="18"/>
        <v>72.21276596</v>
      </c>
      <c r="L63" s="46">
        <f>K63/SUM('1RM'!$C$4:$C$6)</f>
        <v>0.2407092199</v>
      </c>
      <c r="M63" s="40">
        <f>G63/B63/'1RM'!C4</f>
        <v>0.7246376812</v>
      </c>
      <c r="N63" s="40">
        <f>H63/C63/'1RM'!C5</f>
        <v>0.7398058252</v>
      </c>
      <c r="O63" s="40">
        <f>I63/D63/'1RM'!C6</f>
        <v>0.6904761905</v>
      </c>
      <c r="P63" s="5"/>
      <c r="Q63" s="5"/>
      <c r="R63" s="5"/>
      <c r="S63" s="5"/>
      <c r="T63" s="5"/>
      <c r="U63" s="33" t="s">
        <v>34</v>
      </c>
      <c r="V63" s="42">
        <f>'Ciclo 2'!$P$66</f>
        <v>20</v>
      </c>
      <c r="W63" s="42">
        <f>'Ciclo 2'!$P$124</f>
        <v>43</v>
      </c>
      <c r="X63" s="42">
        <f>'Ciclo 2'!$P$186</f>
        <v>20</v>
      </c>
      <c r="Y63" s="42">
        <f>'Ciclo 2'!$P$247</f>
        <v>45</v>
      </c>
      <c r="Z63" s="42">
        <f>'Ciclo 2'!$P$319</f>
        <v>0</v>
      </c>
      <c r="AA63" s="42">
        <f>'Ciclo 2'!$P$383</f>
        <v>45</v>
      </c>
      <c r="AB63" s="42">
        <f t="shared" si="19"/>
        <v>173</v>
      </c>
      <c r="AC63" s="33" t="s">
        <v>34</v>
      </c>
      <c r="AD63" s="42">
        <f>'Ciclo 2'!$U$66</f>
        <v>40</v>
      </c>
      <c r="AE63" s="42">
        <f>'Ciclo 2'!$U$124</f>
        <v>51</v>
      </c>
      <c r="AF63" s="42">
        <f>'Ciclo 2'!$U$186</f>
        <v>38</v>
      </c>
      <c r="AG63" s="42">
        <f>'Ciclo 2'!$U$247</f>
        <v>54</v>
      </c>
      <c r="AH63" s="42">
        <f>'Ciclo 2'!$U$319</f>
        <v>53</v>
      </c>
      <c r="AI63" s="42">
        <f>'Ciclo 2'!$U$383</f>
        <v>25</v>
      </c>
      <c r="AJ63" s="42">
        <f t="shared" si="20"/>
        <v>261</v>
      </c>
      <c r="AK63" s="33" t="s">
        <v>34</v>
      </c>
      <c r="AL63" s="42">
        <f>'Ciclo 2'!$Z$66</f>
        <v>33</v>
      </c>
      <c r="AM63" s="42">
        <f>'Ciclo 2'!$Z$124</f>
        <v>0</v>
      </c>
      <c r="AN63" s="42">
        <f>'Ciclo 2'!$Z$186</f>
        <v>16</v>
      </c>
      <c r="AO63" s="42">
        <f>'Ciclo 2'!$Z$247</f>
        <v>17</v>
      </c>
      <c r="AP63" s="42">
        <f>'Ciclo 2'!$Z$319</f>
        <v>12</v>
      </c>
      <c r="AQ63" s="42">
        <f>'Ciclo 2'!$Z$383</f>
        <v>25</v>
      </c>
      <c r="AR63" s="42">
        <f t="shared" si="21"/>
        <v>103</v>
      </c>
    </row>
    <row r="64" ht="12.75" customHeight="1">
      <c r="A64" s="36" t="s">
        <v>42</v>
      </c>
      <c r="B64" s="42">
        <f>'Ciclo 2'!G319</f>
        <v>117</v>
      </c>
      <c r="C64" s="42">
        <f>'Ciclo 2'!I319</f>
        <v>152</v>
      </c>
      <c r="D64" s="42">
        <f>'Ciclo 2'!K319</f>
        <v>90</v>
      </c>
      <c r="E64" s="42">
        <f t="shared" si="16"/>
        <v>359</v>
      </c>
      <c r="F64" s="42"/>
      <c r="G64" s="42">
        <f>'Ciclo 2'!H319</f>
        <v>7920</v>
      </c>
      <c r="H64" s="42">
        <f>'Ciclo 2'!J319</f>
        <v>10290</v>
      </c>
      <c r="I64" s="42">
        <f>'Ciclo 2'!L319</f>
        <v>6225</v>
      </c>
      <c r="J64" s="42">
        <f t="shared" si="17"/>
        <v>24435</v>
      </c>
      <c r="K64" s="42">
        <f t="shared" si="18"/>
        <v>68.06406685</v>
      </c>
      <c r="L64" s="46">
        <f>K64/SUM('1RM'!$C$4:$C$6)</f>
        <v>0.2268802228</v>
      </c>
      <c r="M64" s="40">
        <f>G64/B64/'1RM'!C4</f>
        <v>0.6769230769</v>
      </c>
      <c r="N64" s="40">
        <f>H64/C64/'1RM'!C5</f>
        <v>0.6769736842</v>
      </c>
      <c r="O64" s="40">
        <f>I64/D64/'1RM'!C6</f>
        <v>0.6916666667</v>
      </c>
      <c r="P64" s="5"/>
      <c r="Q64" s="5"/>
      <c r="R64" s="5"/>
      <c r="S64" s="5"/>
      <c r="T64" s="5"/>
      <c r="U64" s="33" t="s">
        <v>35</v>
      </c>
      <c r="V64" s="42">
        <f>'Ciclo 2'!$Q$66</f>
        <v>0</v>
      </c>
      <c r="W64" s="42">
        <f>'Ciclo 2'!$Q$124</f>
        <v>0</v>
      </c>
      <c r="X64" s="42">
        <f>'Ciclo 2'!$Q$186</f>
        <v>0</v>
      </c>
      <c r="Y64" s="42">
        <f>'Ciclo 2'!$Q$247</f>
        <v>0</v>
      </c>
      <c r="Z64" s="42">
        <f>'Ciclo 2'!$Q$319</f>
        <v>0</v>
      </c>
      <c r="AA64" s="42">
        <f>'Ciclo 2'!$Q$383</f>
        <v>0</v>
      </c>
      <c r="AB64" s="42">
        <f t="shared" si="19"/>
        <v>0</v>
      </c>
      <c r="AC64" s="33" t="s">
        <v>35</v>
      </c>
      <c r="AD64" s="42">
        <f>'Ciclo 2'!$V$66</f>
        <v>0</v>
      </c>
      <c r="AE64" s="42">
        <f>'Ciclo 2'!$V$124</f>
        <v>6</v>
      </c>
      <c r="AF64" s="42">
        <f>'Ciclo 2'!$V$186</f>
        <v>0</v>
      </c>
      <c r="AG64" s="42">
        <f>'Ciclo 2'!$V$247</f>
        <v>7</v>
      </c>
      <c r="AH64" s="42">
        <f>'Ciclo 2'!$V$319</f>
        <v>0</v>
      </c>
      <c r="AI64" s="42">
        <f>'Ciclo 2'!$V$383</f>
        <v>0</v>
      </c>
      <c r="AJ64" s="42">
        <f t="shared" si="20"/>
        <v>13</v>
      </c>
      <c r="AK64" s="33" t="s">
        <v>35</v>
      </c>
      <c r="AL64" s="42">
        <f>'Ciclo 2'!$AA$66</f>
        <v>0</v>
      </c>
      <c r="AM64" s="42">
        <f>'Ciclo 2'!$AA$124</f>
        <v>0</v>
      </c>
      <c r="AN64" s="42">
        <f>'Ciclo 2'!$AA$186</f>
        <v>0</v>
      </c>
      <c r="AO64" s="42">
        <f>'Ciclo 2'!$AA$247</f>
        <v>0</v>
      </c>
      <c r="AP64" s="42">
        <f>'Ciclo 2'!$AA$319</f>
        <v>0</v>
      </c>
      <c r="AQ64" s="42">
        <f>'Ciclo 2'!$AA$383</f>
        <v>0</v>
      </c>
      <c r="AR64" s="42">
        <f t="shared" si="21"/>
        <v>0</v>
      </c>
    </row>
    <row r="65" ht="12.75" customHeight="1">
      <c r="A65" s="36" t="s">
        <v>43</v>
      </c>
      <c r="B65" s="42">
        <f>'Ciclo 2'!G383</f>
        <v>69</v>
      </c>
      <c r="C65" s="42">
        <f>'Ciclo 2'!I383</f>
        <v>103</v>
      </c>
      <c r="D65" s="42">
        <f>'Ciclo 2'!K383</f>
        <v>63</v>
      </c>
      <c r="E65" s="42">
        <f t="shared" si="16"/>
        <v>235</v>
      </c>
      <c r="F65" s="42"/>
      <c r="G65" s="42">
        <f>'Ciclo 2'!H383</f>
        <v>5000</v>
      </c>
      <c r="H65" s="42">
        <f>'Ciclo 2'!J383</f>
        <v>7620</v>
      </c>
      <c r="I65" s="42">
        <f>'Ciclo 2'!L383</f>
        <v>4350</v>
      </c>
      <c r="J65" s="42">
        <f t="shared" si="17"/>
        <v>16970</v>
      </c>
      <c r="K65" s="42">
        <f t="shared" si="18"/>
        <v>72.21276596</v>
      </c>
      <c r="L65" s="46">
        <f>K65/SUM('1RM'!$C$4:$C$6)</f>
        <v>0.2407092199</v>
      </c>
      <c r="M65" s="40">
        <f>G65/B65/'1RM'!C4</f>
        <v>0.7246376812</v>
      </c>
      <c r="N65" s="40">
        <f>H65/C65/'1RM'!C5</f>
        <v>0.7398058252</v>
      </c>
      <c r="O65" s="40">
        <f>I65/D65/'1RM'!C6</f>
        <v>0.6904761905</v>
      </c>
      <c r="P65" s="5"/>
      <c r="Q65" s="5"/>
      <c r="R65" s="5"/>
      <c r="S65" s="5"/>
      <c r="T65" s="5"/>
      <c r="U65" s="33" t="s">
        <v>17</v>
      </c>
      <c r="V65" s="42">
        <f t="shared" ref="V65:AB65" si="24">SUM(V60:V64)</f>
        <v>81</v>
      </c>
      <c r="W65" s="42">
        <f t="shared" si="24"/>
        <v>76</v>
      </c>
      <c r="X65" s="42">
        <f t="shared" si="24"/>
        <v>121</v>
      </c>
      <c r="Y65" s="42">
        <f t="shared" si="24"/>
        <v>69</v>
      </c>
      <c r="Z65" s="42">
        <f t="shared" si="24"/>
        <v>117</v>
      </c>
      <c r="AA65" s="42">
        <f t="shared" si="24"/>
        <v>103</v>
      </c>
      <c r="AB65" s="42">
        <f t="shared" si="24"/>
        <v>567</v>
      </c>
      <c r="AC65" s="33" t="s">
        <v>17</v>
      </c>
      <c r="AD65" s="42">
        <f t="shared" ref="AD65:AJ65" si="25">SUM(AD60:AD64)</f>
        <v>127</v>
      </c>
      <c r="AE65" s="42">
        <f t="shared" si="25"/>
        <v>115</v>
      </c>
      <c r="AF65" s="42">
        <f t="shared" si="25"/>
        <v>135</v>
      </c>
      <c r="AG65" s="42">
        <f t="shared" si="25"/>
        <v>103</v>
      </c>
      <c r="AH65" s="42">
        <f t="shared" si="25"/>
        <v>152</v>
      </c>
      <c r="AI65" s="42">
        <f t="shared" si="25"/>
        <v>178</v>
      </c>
      <c r="AJ65" s="42">
        <f t="shared" si="25"/>
        <v>810</v>
      </c>
      <c r="AK65" s="33" t="s">
        <v>17</v>
      </c>
      <c r="AL65" s="42">
        <f t="shared" ref="AL65:AQ65" si="26">SUM(AL60:AL64)</f>
        <v>59</v>
      </c>
      <c r="AM65" s="42">
        <f t="shared" si="26"/>
        <v>48</v>
      </c>
      <c r="AN65" s="42">
        <f t="shared" si="26"/>
        <v>56</v>
      </c>
      <c r="AO65" s="42">
        <f t="shared" si="26"/>
        <v>55</v>
      </c>
      <c r="AP65" s="42">
        <f t="shared" si="26"/>
        <v>90</v>
      </c>
      <c r="AQ65" s="42">
        <f t="shared" si="26"/>
        <v>90</v>
      </c>
      <c r="AR65" s="42">
        <f t="shared" si="21"/>
        <v>398</v>
      </c>
    </row>
    <row r="66" ht="12.75" customHeight="1">
      <c r="A66" s="36" t="s">
        <v>7</v>
      </c>
      <c r="B66" s="42">
        <f>'Ciclo 2'!G386</f>
        <v>533</v>
      </c>
      <c r="C66" s="42">
        <f>'Ciclo 2'!I386</f>
        <v>735</v>
      </c>
      <c r="D66" s="42">
        <f>'Ciclo 2'!K386</f>
        <v>382</v>
      </c>
      <c r="E66" s="42">
        <f>SUM(E60:E65)</f>
        <v>1650</v>
      </c>
      <c r="F66" s="42"/>
      <c r="G66" s="42">
        <f t="shared" ref="G66:J66" si="27">SUM(G60:G65)</f>
        <v>37240</v>
      </c>
      <c r="H66" s="42">
        <f t="shared" si="27"/>
        <v>52130</v>
      </c>
      <c r="I66" s="42">
        <f t="shared" si="27"/>
        <v>26640</v>
      </c>
      <c r="J66" s="42">
        <f t="shared" si="27"/>
        <v>116010</v>
      </c>
      <c r="K66" s="42">
        <f t="shared" si="18"/>
        <v>70.30909091</v>
      </c>
      <c r="L66" s="46">
        <f>K66/SUM('1RM'!$C$4:$C$6)</f>
        <v>0.2343636364</v>
      </c>
      <c r="M66" s="40">
        <f>G66/B66/'1RM'!C4</f>
        <v>0.6986866792</v>
      </c>
      <c r="N66" s="40">
        <f>H66/C66/'1RM'!C5</f>
        <v>0.7092517007</v>
      </c>
      <c r="O66" s="40">
        <f>I66/D66/'1RM'!C6</f>
        <v>0.697382199</v>
      </c>
      <c r="P66" s="5"/>
      <c r="Q66" s="5"/>
      <c r="R66" s="5"/>
      <c r="S66" s="5"/>
      <c r="T66" s="5"/>
      <c r="U66" s="33" t="s">
        <v>36</v>
      </c>
      <c r="V66" s="40">
        <f>M60</f>
        <v>0.6888888889</v>
      </c>
      <c r="W66" s="40">
        <f>M61</f>
        <v>0.7210526316</v>
      </c>
      <c r="X66" s="40">
        <f>M62</f>
        <v>0.6826446281</v>
      </c>
      <c r="Y66" s="40">
        <f>M63</f>
        <v>0.7246376812</v>
      </c>
      <c r="Z66" s="40">
        <f>M64</f>
        <v>0.6769230769</v>
      </c>
      <c r="AA66" s="40">
        <f>M65</f>
        <v>0.7246376812</v>
      </c>
      <c r="AB66" s="40">
        <f>M66</f>
        <v>0.6986866792</v>
      </c>
      <c r="AC66" s="33" t="s">
        <v>36</v>
      </c>
      <c r="AD66" s="40">
        <f>N60</f>
        <v>0.7039370079</v>
      </c>
      <c r="AE66" s="40">
        <f>N61</f>
        <v>0.7239130435</v>
      </c>
      <c r="AF66" s="40">
        <f>N62</f>
        <v>0.6914814815</v>
      </c>
      <c r="AG66" s="40">
        <f>N63</f>
        <v>0.7398058252</v>
      </c>
      <c r="AH66" s="40">
        <f>N64</f>
        <v>0.6769736842</v>
      </c>
      <c r="AI66" s="40">
        <f>N65</f>
        <v>0.7398058252</v>
      </c>
      <c r="AJ66" s="40">
        <f>N66</f>
        <v>0.7092517007</v>
      </c>
      <c r="AK66" s="33" t="s">
        <v>36</v>
      </c>
      <c r="AL66" s="40">
        <f>O60</f>
        <v>0.7483050847</v>
      </c>
      <c r="AM66" s="40">
        <f>O61</f>
        <v>0.6604166667</v>
      </c>
      <c r="AN66" s="40">
        <f>O62</f>
        <v>0.7</v>
      </c>
      <c r="AO66" s="40">
        <f>O63</f>
        <v>0.6904761905</v>
      </c>
      <c r="AP66" s="40">
        <f>O64</f>
        <v>0.6916666667</v>
      </c>
      <c r="AQ66" s="40">
        <f>O65</f>
        <v>0.6904761905</v>
      </c>
      <c r="AR66" s="40">
        <f>O66</f>
        <v>0.697382199</v>
      </c>
    </row>
    <row r="67" ht="12.75" customHeight="1">
      <c r="A67" s="5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5"/>
      <c r="M67" s="35"/>
      <c r="N67" s="35"/>
      <c r="O67" s="35"/>
      <c r="P67" s="5"/>
      <c r="Q67" s="5"/>
      <c r="R67" s="5"/>
      <c r="S67" s="5"/>
      <c r="T67" s="5"/>
      <c r="AF67" s="5"/>
      <c r="AG67" s="5"/>
      <c r="AH67" s="5"/>
      <c r="AI67" s="5"/>
      <c r="AJ67" s="5"/>
    </row>
    <row r="68" ht="12.75" customHeight="1">
      <c r="A68" s="5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5"/>
      <c r="M68" s="35"/>
      <c r="N68" s="35"/>
      <c r="O68" s="35"/>
      <c r="P68" s="5"/>
      <c r="Q68" s="5"/>
      <c r="R68" s="5"/>
      <c r="S68" s="5"/>
      <c r="T68" s="5"/>
      <c r="AF68" s="5"/>
      <c r="AG68" s="5"/>
      <c r="AH68" s="5"/>
      <c r="AI68" s="5"/>
      <c r="AJ68" s="5"/>
    </row>
    <row r="69" ht="12.75" customHeight="1">
      <c r="A69" s="5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5"/>
      <c r="M69" s="35"/>
      <c r="N69" s="35"/>
      <c r="O69" s="35"/>
      <c r="P69" s="5"/>
      <c r="Q69" s="5"/>
      <c r="R69" s="5"/>
      <c r="S69" s="5"/>
      <c r="T69" s="5"/>
      <c r="AF69" s="5"/>
      <c r="AG69" s="5"/>
      <c r="AH69" s="5"/>
      <c r="AI69" s="5"/>
      <c r="AJ69" s="5"/>
    </row>
    <row r="70" ht="12.75" customHeight="1">
      <c r="A70" s="5"/>
      <c r="B70" s="37" t="s">
        <v>44</v>
      </c>
      <c r="C70" s="34"/>
      <c r="D70" s="34"/>
      <c r="E70" s="34"/>
      <c r="F70" s="34"/>
      <c r="G70" s="34"/>
      <c r="H70" s="34"/>
      <c r="I70" s="34"/>
      <c r="J70" s="34"/>
      <c r="K70" s="34"/>
      <c r="L70" s="5"/>
      <c r="M70" s="35"/>
      <c r="N70" s="35"/>
      <c r="O70" s="35"/>
      <c r="P70" s="5"/>
      <c r="Q70" s="5"/>
      <c r="R70" s="5"/>
      <c r="S70" s="5"/>
      <c r="T70" s="5"/>
      <c r="AF70" s="5"/>
      <c r="AG70" s="5"/>
      <c r="AH70" s="5"/>
      <c r="AI70" s="5"/>
      <c r="AJ70" s="5"/>
    </row>
    <row r="71" ht="12.75" customHeight="1">
      <c r="A71" s="5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5"/>
      <c r="M71" s="35"/>
      <c r="N71" s="35"/>
      <c r="O71" s="35"/>
      <c r="P71" s="5"/>
      <c r="Q71" s="5"/>
      <c r="R71" s="5"/>
      <c r="S71" s="5"/>
      <c r="T71" s="5"/>
      <c r="AF71" s="5"/>
      <c r="AG71" s="5"/>
      <c r="AH71" s="5"/>
      <c r="AI71" s="5"/>
      <c r="AJ71" s="5"/>
    </row>
    <row r="72" ht="12.75" customHeight="1">
      <c r="A72" s="5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5"/>
      <c r="M72" s="35"/>
      <c r="N72" s="35"/>
      <c r="O72" s="35"/>
      <c r="P72" s="5"/>
      <c r="Q72" s="5"/>
      <c r="R72" s="5"/>
      <c r="S72" s="5"/>
      <c r="T72" s="5"/>
      <c r="AF72" s="5"/>
      <c r="AG72" s="5"/>
      <c r="AH72" s="5"/>
      <c r="AI72" s="5"/>
      <c r="AJ72" s="5"/>
    </row>
    <row r="73" ht="12.75" customHeight="1">
      <c r="A73" s="5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5"/>
      <c r="M73" s="35"/>
      <c r="N73" s="35"/>
      <c r="O73" s="35"/>
      <c r="P73" s="5"/>
      <c r="Q73" s="5"/>
      <c r="R73" s="5"/>
      <c r="S73" s="5"/>
      <c r="T73" s="5"/>
      <c r="AF73" s="5"/>
      <c r="AG73" s="5"/>
      <c r="AH73" s="5"/>
      <c r="AI73" s="5"/>
      <c r="AJ73" s="5"/>
    </row>
    <row r="74" ht="12.75" customHeight="1">
      <c r="A74" s="5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5"/>
      <c r="M74" s="35"/>
      <c r="N74" s="35"/>
      <c r="O74" s="35"/>
      <c r="P74" s="5"/>
      <c r="Q74" s="5"/>
      <c r="R74" s="5"/>
      <c r="S74" s="5"/>
      <c r="T74" s="5"/>
      <c r="AF74" s="5"/>
      <c r="AG74" s="5"/>
      <c r="AH74" s="5"/>
      <c r="AI74" s="5"/>
      <c r="AJ74" s="5"/>
    </row>
    <row r="75" ht="12.75" customHeight="1">
      <c r="A75" s="5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5"/>
      <c r="M75" s="35"/>
      <c r="N75" s="35"/>
      <c r="O75" s="35"/>
      <c r="P75" s="5"/>
      <c r="Q75" s="5"/>
      <c r="R75" s="5"/>
      <c r="S75" s="5"/>
      <c r="T75" s="5"/>
      <c r="AF75" s="5"/>
      <c r="AG75" s="5"/>
      <c r="AH75" s="5"/>
      <c r="AI75" s="5"/>
      <c r="AJ75" s="5"/>
    </row>
    <row r="76" ht="12.75" customHeight="1">
      <c r="A76" s="5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5"/>
      <c r="M76" s="35"/>
      <c r="N76" s="35"/>
      <c r="O76" s="35"/>
      <c r="P76" s="5"/>
      <c r="Q76" s="5"/>
      <c r="R76" s="5"/>
      <c r="S76" s="5"/>
      <c r="T76" s="5"/>
      <c r="AF76" s="5"/>
      <c r="AG76" s="5"/>
      <c r="AH76" s="5"/>
      <c r="AI76" s="5"/>
      <c r="AJ76" s="5"/>
    </row>
    <row r="77" ht="12.75" customHeight="1">
      <c r="A77" s="5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5"/>
      <c r="M77" s="35"/>
      <c r="N77" s="35"/>
      <c r="O77" s="35"/>
      <c r="P77" s="5"/>
      <c r="Q77" s="5"/>
      <c r="R77" s="5"/>
      <c r="S77" s="5"/>
      <c r="T77" s="5"/>
      <c r="AF77" s="5"/>
      <c r="AG77" s="5"/>
      <c r="AH77" s="5"/>
      <c r="AI77" s="5"/>
      <c r="AJ77" s="5"/>
    </row>
    <row r="78" ht="12.75" customHeight="1">
      <c r="A78" s="5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5"/>
      <c r="M78" s="35"/>
      <c r="N78" s="35"/>
      <c r="O78" s="35"/>
      <c r="P78" s="5"/>
      <c r="Q78" s="5"/>
      <c r="R78" s="5"/>
      <c r="S78" s="5"/>
      <c r="T78" s="5"/>
      <c r="AF78" s="5"/>
      <c r="AG78" s="5"/>
      <c r="AH78" s="5"/>
      <c r="AI78" s="5"/>
      <c r="AJ78" s="5"/>
    </row>
    <row r="79" ht="12.75" customHeight="1">
      <c r="A79" s="5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5"/>
      <c r="M79" s="35"/>
      <c r="N79" s="35"/>
      <c r="O79" s="35"/>
      <c r="P79" s="5"/>
      <c r="Q79" s="5"/>
      <c r="R79" s="5"/>
      <c r="S79" s="5"/>
      <c r="T79" s="5"/>
      <c r="AF79" s="5"/>
      <c r="AG79" s="5"/>
      <c r="AH79" s="5"/>
      <c r="AI79" s="5"/>
      <c r="AJ79" s="5"/>
    </row>
    <row r="80" ht="12.75" customHeight="1">
      <c r="A80" s="5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5"/>
      <c r="M80" s="35"/>
      <c r="N80" s="35"/>
      <c r="O80" s="35"/>
      <c r="P80" s="5"/>
      <c r="Q80" s="5"/>
      <c r="R80" s="5"/>
      <c r="S80" s="5"/>
      <c r="T80" s="5"/>
      <c r="AF80" s="5"/>
      <c r="AG80" s="5"/>
      <c r="AH80" s="5"/>
      <c r="AI80" s="5"/>
      <c r="AJ80" s="5"/>
    </row>
    <row r="81" ht="12.75" customHeight="1">
      <c r="A81" s="5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5"/>
      <c r="M81" s="35"/>
      <c r="N81" s="35"/>
      <c r="O81" s="35"/>
      <c r="P81" s="5"/>
      <c r="Q81" s="5"/>
      <c r="R81" s="5"/>
      <c r="S81" s="5"/>
      <c r="T81" s="5"/>
      <c r="AF81" s="5"/>
      <c r="AG81" s="5"/>
      <c r="AH81" s="5"/>
      <c r="AI81" s="5"/>
      <c r="AJ81" s="5"/>
    </row>
    <row r="82" ht="12.75" customHeight="1">
      <c r="A82" s="5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5"/>
      <c r="M82" s="35"/>
      <c r="N82" s="35"/>
      <c r="O82" s="35"/>
      <c r="P82" s="5"/>
      <c r="Q82" s="5"/>
      <c r="R82" s="5"/>
      <c r="S82" s="5"/>
      <c r="T82" s="5"/>
      <c r="AF82" s="5"/>
      <c r="AG82" s="5"/>
      <c r="AH82" s="5"/>
      <c r="AI82" s="5"/>
      <c r="AJ82" s="5"/>
    </row>
    <row r="83" ht="12.75" customHeight="1">
      <c r="A83" s="5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5"/>
      <c r="M83" s="35"/>
      <c r="N83" s="35"/>
      <c r="O83" s="35"/>
      <c r="P83" s="5"/>
      <c r="Q83" s="5"/>
      <c r="R83" s="5"/>
      <c r="S83" s="5"/>
      <c r="T83" s="5"/>
      <c r="AF83" s="5"/>
      <c r="AG83" s="5"/>
      <c r="AH83" s="5"/>
      <c r="AI83" s="5"/>
      <c r="AJ83" s="5"/>
    </row>
    <row r="84" ht="12.75" customHeight="1">
      <c r="A84" s="5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5"/>
      <c r="M84" s="35"/>
      <c r="N84" s="35"/>
      <c r="O84" s="35"/>
      <c r="P84" s="5"/>
      <c r="Q84" s="5"/>
      <c r="R84" s="5"/>
      <c r="S84" s="5"/>
      <c r="T84" s="5"/>
      <c r="AF84" s="5"/>
      <c r="AG84" s="5"/>
      <c r="AH84" s="5"/>
      <c r="AI84" s="5"/>
      <c r="AJ84" s="5"/>
    </row>
    <row r="85" ht="12.75" customHeight="1">
      <c r="A85" s="36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5"/>
      <c r="M85" s="40"/>
      <c r="N85" s="40"/>
      <c r="O85" s="40"/>
      <c r="P85" s="5"/>
      <c r="Q85" s="5"/>
      <c r="R85" s="5"/>
      <c r="S85" s="5"/>
      <c r="T85" s="5"/>
      <c r="AF85" s="5"/>
      <c r="AG85" s="5"/>
      <c r="AH85" s="5"/>
      <c r="AI85" s="5"/>
      <c r="AJ85" s="5"/>
    </row>
    <row r="86" ht="12.75" customHeight="1">
      <c r="A86" s="5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5"/>
      <c r="M86" s="35"/>
      <c r="N86" s="35"/>
      <c r="O86" s="35"/>
      <c r="P86" s="5"/>
      <c r="Q86" s="5"/>
      <c r="R86" s="5"/>
      <c r="S86" s="5"/>
      <c r="T86" s="5"/>
      <c r="U86" s="33"/>
      <c r="V86" s="40"/>
      <c r="W86" s="40"/>
      <c r="X86" s="40"/>
      <c r="Y86" s="40"/>
      <c r="Z86" s="40"/>
      <c r="AA86" s="40"/>
      <c r="AB86" s="40"/>
      <c r="AC86" s="33"/>
      <c r="AD86" s="40"/>
      <c r="AE86" s="40"/>
      <c r="AF86" s="40"/>
      <c r="AG86" s="40"/>
      <c r="AH86" s="40"/>
      <c r="AI86" s="40"/>
      <c r="AJ86" s="40"/>
      <c r="AK86" s="33"/>
      <c r="AL86" s="40"/>
      <c r="AM86" s="40"/>
      <c r="AN86" s="40"/>
      <c r="AO86" s="40"/>
      <c r="AP86" s="40"/>
      <c r="AQ86" s="40"/>
      <c r="AR86" s="40"/>
    </row>
    <row r="87" ht="12.75" customHeight="1">
      <c r="A87" s="33"/>
      <c r="B87" s="43"/>
      <c r="C87" s="34"/>
      <c r="D87" s="34"/>
      <c r="E87" s="34"/>
      <c r="F87" s="34"/>
      <c r="G87" s="34"/>
      <c r="H87" s="34"/>
      <c r="I87" s="34"/>
      <c r="J87" s="34"/>
      <c r="K87" s="34"/>
      <c r="L87" s="5"/>
      <c r="M87" s="44"/>
      <c r="N87" s="35"/>
      <c r="O87" s="35"/>
      <c r="P87" s="5"/>
      <c r="Q87" s="5"/>
      <c r="R87" s="5"/>
      <c r="S87" s="5"/>
      <c r="T87" s="5"/>
      <c r="AF87" s="5"/>
      <c r="AG87" s="5"/>
      <c r="AH87" s="5"/>
      <c r="AI87" s="5"/>
      <c r="AJ87" s="5"/>
    </row>
    <row r="88" ht="12.75" customHeight="1">
      <c r="A88" s="5"/>
      <c r="B88" s="34"/>
      <c r="C88" s="34"/>
      <c r="D88" s="34"/>
      <c r="E88" s="34"/>
      <c r="F88" s="34"/>
      <c r="G88" s="43" t="s">
        <v>14</v>
      </c>
      <c r="H88" s="34"/>
      <c r="I88" s="34"/>
      <c r="J88" s="34"/>
      <c r="K88" s="34"/>
      <c r="L88" s="5"/>
      <c r="M88" s="35"/>
      <c r="N88" s="35"/>
      <c r="O88" s="35"/>
      <c r="P88" s="5"/>
      <c r="Q88" s="5"/>
      <c r="R88" s="5"/>
      <c r="S88" s="5"/>
      <c r="T88" s="5"/>
      <c r="U88" s="33" t="s">
        <v>4</v>
      </c>
      <c r="V88" s="33"/>
      <c r="W88" s="33"/>
      <c r="X88" s="33"/>
      <c r="Y88" s="33"/>
      <c r="Z88" s="33"/>
      <c r="AA88" s="33"/>
      <c r="AB88" s="33"/>
      <c r="AC88" s="33" t="s">
        <v>5</v>
      </c>
      <c r="AD88" s="33"/>
      <c r="AE88" s="33"/>
      <c r="AF88" s="33"/>
      <c r="AG88" s="33"/>
      <c r="AH88" s="33"/>
      <c r="AI88" s="33"/>
      <c r="AJ88" s="33"/>
      <c r="AK88" s="33" t="s">
        <v>6</v>
      </c>
      <c r="AL88" s="33"/>
      <c r="AM88" s="33"/>
      <c r="AN88" s="33"/>
      <c r="AO88" s="33"/>
      <c r="AP88" s="33"/>
      <c r="AQ88" s="33"/>
      <c r="AT88" s="33"/>
      <c r="AU88" s="33"/>
      <c r="AV88" s="33"/>
      <c r="AW88" s="33"/>
      <c r="AX88" s="33"/>
      <c r="AY88" s="33"/>
      <c r="AZ88" s="33"/>
    </row>
    <row r="89" ht="12.75" customHeight="1">
      <c r="A89" s="36" t="s">
        <v>45</v>
      </c>
      <c r="B89" s="45" t="s">
        <v>4</v>
      </c>
      <c r="C89" s="45" t="s">
        <v>5</v>
      </c>
      <c r="D89" s="45" t="s">
        <v>16</v>
      </c>
      <c r="E89" s="45" t="s">
        <v>17</v>
      </c>
      <c r="F89" s="34"/>
      <c r="G89" s="45" t="s">
        <v>4</v>
      </c>
      <c r="H89" s="45" t="s">
        <v>5</v>
      </c>
      <c r="I89" s="45" t="s">
        <v>16</v>
      </c>
      <c r="J89" s="34"/>
      <c r="K89" s="45" t="s">
        <v>18</v>
      </c>
      <c r="L89" s="45" t="s">
        <v>19</v>
      </c>
      <c r="M89" s="45" t="s">
        <v>4</v>
      </c>
      <c r="N89" s="45" t="s">
        <v>5</v>
      </c>
      <c r="O89" s="45" t="s">
        <v>16</v>
      </c>
      <c r="P89" s="5"/>
      <c r="Q89" s="5"/>
      <c r="R89" s="5"/>
      <c r="S89" s="5"/>
      <c r="T89" s="5"/>
      <c r="U89" s="33" t="s">
        <v>20</v>
      </c>
      <c r="V89" s="36" t="s">
        <v>21</v>
      </c>
      <c r="W89" s="36" t="s">
        <v>22</v>
      </c>
      <c r="X89" s="36" t="s">
        <v>23</v>
      </c>
      <c r="Y89" s="36" t="s">
        <v>24</v>
      </c>
      <c r="Z89" s="36" t="s">
        <v>39</v>
      </c>
      <c r="AA89" s="36" t="s">
        <v>41</v>
      </c>
      <c r="AC89" s="33" t="s">
        <v>20</v>
      </c>
      <c r="AD89" s="36" t="s">
        <v>21</v>
      </c>
      <c r="AE89" s="36" t="s">
        <v>22</v>
      </c>
      <c r="AF89" s="36" t="s">
        <v>23</v>
      </c>
      <c r="AG89" s="36" t="s">
        <v>24</v>
      </c>
      <c r="AH89" s="36" t="s">
        <v>39</v>
      </c>
      <c r="AI89" s="36" t="s">
        <v>41</v>
      </c>
      <c r="AJ89" s="5"/>
      <c r="AK89" s="33" t="s">
        <v>20</v>
      </c>
      <c r="AL89" s="36" t="s">
        <v>21</v>
      </c>
      <c r="AM89" s="36" t="s">
        <v>22</v>
      </c>
      <c r="AN89" s="36" t="s">
        <v>23</v>
      </c>
      <c r="AO89" s="36" t="s">
        <v>24</v>
      </c>
      <c r="AP89" s="36" t="s">
        <v>39</v>
      </c>
      <c r="AQ89" s="36" t="s">
        <v>41</v>
      </c>
      <c r="AT89" s="33" t="s">
        <v>26</v>
      </c>
      <c r="AU89" s="36" t="s">
        <v>21</v>
      </c>
      <c r="AV89" s="36" t="s">
        <v>22</v>
      </c>
      <c r="AW89" s="36" t="s">
        <v>23</v>
      </c>
      <c r="AX89" s="36" t="s">
        <v>24</v>
      </c>
      <c r="AY89" s="36" t="s">
        <v>39</v>
      </c>
      <c r="AZ89" s="36" t="s">
        <v>41</v>
      </c>
    </row>
    <row r="90" ht="12.75" customHeight="1">
      <c r="A90" s="36" t="s">
        <v>27</v>
      </c>
      <c r="B90" s="42">
        <f>'Ciclo 3'!G58</f>
        <v>67</v>
      </c>
      <c r="C90" s="42">
        <f>'Ciclo 3'!I58</f>
        <v>74</v>
      </c>
      <c r="D90" s="42">
        <f>'Ciclo 3'!K58</f>
        <v>35</v>
      </c>
      <c r="E90" s="42">
        <f t="shared" ref="E90:E94" si="29">SUM(B90:D90)</f>
        <v>176</v>
      </c>
      <c r="F90" s="42"/>
      <c r="G90" s="42">
        <f>'Ciclo 3'!H58</f>
        <v>4670</v>
      </c>
      <c r="H90" s="42">
        <f>'Ciclo 3'!J58</f>
        <v>5070</v>
      </c>
      <c r="I90" s="42">
        <f>'Ciclo 3'!L58</f>
        <v>2610</v>
      </c>
      <c r="J90" s="42">
        <f t="shared" ref="J90:J94" si="30">SUM(G90:I90)</f>
        <v>12350</v>
      </c>
      <c r="K90" s="42">
        <f t="shared" ref="K90:K95" si="31">J90/E90</f>
        <v>70.17045455</v>
      </c>
      <c r="L90" s="46">
        <f>K90/SUM('1RM'!$C$4:$C$6)</f>
        <v>0.2339015152</v>
      </c>
      <c r="M90" s="40">
        <f>G90/B90/'1RM'!C4</f>
        <v>0.6970149254</v>
      </c>
      <c r="N90" s="40">
        <f>H90/C90/'1RM'!C5</f>
        <v>0.6851351351</v>
      </c>
      <c r="O90" s="40">
        <f>I90/D90/'1RM'!C6</f>
        <v>0.7457142857</v>
      </c>
      <c r="P90" s="5"/>
      <c r="Q90" s="5"/>
      <c r="R90" s="5"/>
      <c r="S90" s="5"/>
      <c r="T90" s="5"/>
      <c r="U90" s="33" t="s">
        <v>28</v>
      </c>
      <c r="V90" s="42">
        <f>'Ciclo 3'!$M$58</f>
        <v>13</v>
      </c>
      <c r="W90" s="42">
        <f>'Ciclo 3'!$M$122</f>
        <v>15</v>
      </c>
      <c r="X90" s="42">
        <f>'Ciclo 3'!$M$187</f>
        <v>10</v>
      </c>
      <c r="Y90" s="42">
        <f>'Ciclo 3'!$M$253</f>
        <v>10</v>
      </c>
      <c r="Z90" s="42">
        <f>'Ciclo 3'!$M$314</f>
        <v>13</v>
      </c>
      <c r="AA90" s="42">
        <f t="shared" ref="AA90:AA95" si="32">SUM(V90:Z90)</f>
        <v>61</v>
      </c>
      <c r="AC90" s="33" t="s">
        <v>28</v>
      </c>
      <c r="AD90" s="42">
        <f>'Ciclo 3'!$R$58</f>
        <v>15</v>
      </c>
      <c r="AE90" s="42">
        <f>'Ciclo 3'!$R$122</f>
        <v>20</v>
      </c>
      <c r="AF90" s="42">
        <f>'Ciclo 3'!$R$187</f>
        <v>28</v>
      </c>
      <c r="AG90" s="42">
        <f>'Ciclo 3'!$R$253</f>
        <v>19</v>
      </c>
      <c r="AH90" s="42">
        <f>'Ciclo 3'!$R$314</f>
        <v>24</v>
      </c>
      <c r="AI90" s="42">
        <f t="shared" ref="AI90:AI95" si="33">SUM(AD90:AH90)</f>
        <v>106</v>
      </c>
      <c r="AJ90" s="5"/>
      <c r="AK90" s="33" t="s">
        <v>28</v>
      </c>
      <c r="AL90" s="42">
        <f>'Ciclo 3'!$W$58</f>
        <v>3</v>
      </c>
      <c r="AM90" s="42">
        <f>'Ciclo 3'!$W$122</f>
        <v>8</v>
      </c>
      <c r="AN90" s="42">
        <f>'Ciclo 3'!$W$187</f>
        <v>11</v>
      </c>
      <c r="AO90" s="42">
        <f>'Ciclo 3'!$W$253</f>
        <v>7</v>
      </c>
      <c r="AP90" s="42">
        <f>'Ciclo 3'!$W$314</f>
        <v>9</v>
      </c>
      <c r="AQ90" s="42">
        <f t="shared" ref="AQ90:AQ95" si="34">SUM(AL90:AP90)</f>
        <v>38</v>
      </c>
      <c r="AT90" s="5" t="s">
        <v>4</v>
      </c>
      <c r="AU90" s="47">
        <f t="shared" ref="AU90:AZ90" si="28">V95/(V95+AD95+AL95)</f>
        <v>0.3806818182</v>
      </c>
      <c r="AV90" s="47">
        <f t="shared" si="28"/>
        <v>0.312267658</v>
      </c>
      <c r="AW90" s="47">
        <f t="shared" si="28"/>
        <v>0.3006134969</v>
      </c>
      <c r="AX90" s="47">
        <f t="shared" si="28"/>
        <v>0.2972972973</v>
      </c>
      <c r="AY90" s="47">
        <f t="shared" si="28"/>
        <v>0.2814371257</v>
      </c>
      <c r="AZ90" s="47">
        <f t="shared" si="28"/>
        <v>0.3079178886</v>
      </c>
    </row>
    <row r="91" ht="12.75" customHeight="1">
      <c r="A91" s="36" t="s">
        <v>29</v>
      </c>
      <c r="B91" s="42">
        <f>'Ciclo 3'!G122</f>
        <v>84</v>
      </c>
      <c r="C91" s="42">
        <f>'Ciclo 3'!I122</f>
        <v>121</v>
      </c>
      <c r="D91" s="42">
        <f>'Ciclo 3'!K122</f>
        <v>64</v>
      </c>
      <c r="E91" s="42">
        <f t="shared" si="29"/>
        <v>269</v>
      </c>
      <c r="F91" s="42"/>
      <c r="G91" s="42">
        <f>'Ciclo 3'!H122</f>
        <v>5755</v>
      </c>
      <c r="H91" s="42">
        <f>'Ciclo 3'!J122</f>
        <v>8235</v>
      </c>
      <c r="I91" s="42">
        <f>'Ciclo 3'!L122</f>
        <v>4585</v>
      </c>
      <c r="J91" s="42">
        <f t="shared" si="30"/>
        <v>18575</v>
      </c>
      <c r="K91" s="42">
        <f t="shared" si="31"/>
        <v>69.05204461</v>
      </c>
      <c r="L91" s="46">
        <f>K91/SUM('1RM'!$C$4:$C$6)</f>
        <v>0.230173482</v>
      </c>
      <c r="M91" s="40">
        <f>G91/B91/'1RM'!C4</f>
        <v>0.6851190476</v>
      </c>
      <c r="N91" s="40">
        <f>H91/C91/'1RM'!C5</f>
        <v>0.6805785124</v>
      </c>
      <c r="O91" s="40">
        <f>I91/D91/'1RM'!C6</f>
        <v>0.71640625</v>
      </c>
      <c r="P91" s="5"/>
      <c r="Q91" s="5"/>
      <c r="R91" s="5"/>
      <c r="S91" s="5"/>
      <c r="T91" s="5"/>
      <c r="U91" s="33" t="s">
        <v>30</v>
      </c>
      <c r="V91" s="42">
        <f>'Ciclo 3'!$N$58</f>
        <v>11</v>
      </c>
      <c r="W91" s="42">
        <f>'Ciclo 3'!$N$122</f>
        <v>13</v>
      </c>
      <c r="X91" s="42">
        <f>'Ciclo 3'!$N$187</f>
        <v>60</v>
      </c>
      <c r="Y91" s="42">
        <f>'Ciclo 3'!$N$253</f>
        <v>9</v>
      </c>
      <c r="Z91" s="42">
        <f>'Ciclo 3'!$N$314</f>
        <v>11</v>
      </c>
      <c r="AA91" s="42">
        <f t="shared" si="32"/>
        <v>104</v>
      </c>
      <c r="AC91" s="33" t="s">
        <v>30</v>
      </c>
      <c r="AD91" s="42">
        <f>'Ciclo 3'!$S$58</f>
        <v>12</v>
      </c>
      <c r="AE91" s="42">
        <f>'Ciclo 3'!$S$122</f>
        <v>17</v>
      </c>
      <c r="AF91" s="42">
        <f>'Ciclo 3'!$S$187</f>
        <v>27</v>
      </c>
      <c r="AG91" s="42">
        <f>'Ciclo 3'!$S$253</f>
        <v>18</v>
      </c>
      <c r="AH91" s="42">
        <f>'Ciclo 3'!$S$314</f>
        <v>22</v>
      </c>
      <c r="AI91" s="42">
        <f t="shared" si="33"/>
        <v>96</v>
      </c>
      <c r="AJ91" s="5"/>
      <c r="AK91" s="33" t="s">
        <v>30</v>
      </c>
      <c r="AL91" s="42">
        <f>'Ciclo 3'!$X$58</f>
        <v>6</v>
      </c>
      <c r="AM91" s="42">
        <f>'Ciclo 3'!$X$122</f>
        <v>11</v>
      </c>
      <c r="AN91" s="42">
        <f>'Ciclo 3'!$X$187</f>
        <v>11</v>
      </c>
      <c r="AO91" s="42">
        <f>'Ciclo 3'!$X$253</f>
        <v>10</v>
      </c>
      <c r="AP91" s="42">
        <f>'Ciclo 3'!$X$314</f>
        <v>12</v>
      </c>
      <c r="AQ91" s="42">
        <f t="shared" si="34"/>
        <v>50</v>
      </c>
      <c r="AT91" s="5" t="s">
        <v>5</v>
      </c>
      <c r="AU91" s="47">
        <f t="shared" ref="AU91:AZ91" si="35">AD95/(V95+AD95+AL95)</f>
        <v>0.4204545455</v>
      </c>
      <c r="AV91" s="47">
        <f t="shared" si="35"/>
        <v>0.4498141264</v>
      </c>
      <c r="AW91" s="47">
        <f t="shared" si="35"/>
        <v>0.5</v>
      </c>
      <c r="AX91" s="47">
        <f t="shared" si="35"/>
        <v>0.4942084942</v>
      </c>
      <c r="AY91" s="47">
        <f t="shared" si="35"/>
        <v>0.502994012</v>
      </c>
      <c r="AZ91" s="47">
        <f t="shared" si="35"/>
        <v>0.4794721408</v>
      </c>
    </row>
    <row r="92" ht="12.75" customHeight="1">
      <c r="A92" s="36" t="s">
        <v>31</v>
      </c>
      <c r="B92" s="42">
        <f>'Ciclo 3'!G187</f>
        <v>98</v>
      </c>
      <c r="C92" s="42">
        <f>'Ciclo 3'!I187</f>
        <v>163</v>
      </c>
      <c r="D92" s="42">
        <f>'Ciclo 3'!K187</f>
        <v>65</v>
      </c>
      <c r="E92" s="42">
        <f t="shared" si="29"/>
        <v>326</v>
      </c>
      <c r="F92" s="42"/>
      <c r="G92" s="42">
        <f>'Ciclo 3'!H187</f>
        <v>6565</v>
      </c>
      <c r="H92" s="42">
        <f>'Ciclo 3'!J187</f>
        <v>11340</v>
      </c>
      <c r="I92" s="42">
        <f>'Ciclo 3'!L187</f>
        <v>4320</v>
      </c>
      <c r="J92" s="42">
        <f t="shared" si="30"/>
        <v>22225</v>
      </c>
      <c r="K92" s="42">
        <f t="shared" si="31"/>
        <v>68.17484663</v>
      </c>
      <c r="L92" s="46">
        <f>K92/SUM('1RM'!$C$4:$C$6)</f>
        <v>0.2272494888</v>
      </c>
      <c r="M92" s="40">
        <f>G92/B92/'1RM'!C4</f>
        <v>0.6698979592</v>
      </c>
      <c r="N92" s="40">
        <f>H92/C92/'1RM'!C5</f>
        <v>0.6957055215</v>
      </c>
      <c r="O92" s="40">
        <f>I92/D92/'1RM'!C6</f>
        <v>0.6646153846</v>
      </c>
      <c r="P92" s="5"/>
      <c r="Q92" s="5"/>
      <c r="R92" s="5"/>
      <c r="S92" s="5"/>
      <c r="T92" s="5"/>
      <c r="U92" s="33" t="s">
        <v>32</v>
      </c>
      <c r="V92" s="42">
        <f>'Ciclo 3'!$O$58</f>
        <v>25</v>
      </c>
      <c r="W92" s="42">
        <f>'Ciclo 3'!$O$122</f>
        <v>34</v>
      </c>
      <c r="X92" s="42">
        <f>'Ciclo 3'!$O$187</f>
        <v>3</v>
      </c>
      <c r="Y92" s="42">
        <f>'Ciclo 3'!$O$253</f>
        <v>42</v>
      </c>
      <c r="Z92" s="42">
        <f>'Ciclo 3'!$O$314</f>
        <v>30</v>
      </c>
      <c r="AA92" s="42">
        <f t="shared" si="32"/>
        <v>134</v>
      </c>
      <c r="AC92" s="33" t="s">
        <v>32</v>
      </c>
      <c r="AD92" s="42">
        <f>'Ciclo 3'!$T$58</f>
        <v>25</v>
      </c>
      <c r="AE92" s="42">
        <f>'Ciclo 3'!$T$122</f>
        <v>77</v>
      </c>
      <c r="AF92" s="42">
        <f>'Ciclo 3'!$T$187</f>
        <v>34</v>
      </c>
      <c r="AG92" s="42">
        <f>'Ciclo 3'!$T$253</f>
        <v>61</v>
      </c>
      <c r="AH92" s="42">
        <f>'Ciclo 3'!$T$314</f>
        <v>102</v>
      </c>
      <c r="AI92" s="42">
        <f t="shared" si="33"/>
        <v>299</v>
      </c>
      <c r="AJ92" s="5"/>
      <c r="AK92" s="33" t="s">
        <v>32</v>
      </c>
      <c r="AL92" s="42">
        <f>'Ciclo 3'!$Y$58</f>
        <v>14</v>
      </c>
      <c r="AM92" s="42">
        <f>'Ciclo 3'!$Y$122</f>
        <v>22</v>
      </c>
      <c r="AN92" s="42">
        <f>'Ciclo 3'!$Y$187</f>
        <v>43</v>
      </c>
      <c r="AO92" s="42">
        <f>'Ciclo 3'!$Y$253</f>
        <v>9</v>
      </c>
      <c r="AP92" s="42">
        <f>'Ciclo 3'!$Y$314</f>
        <v>29</v>
      </c>
      <c r="AQ92" s="42">
        <f t="shared" si="34"/>
        <v>117</v>
      </c>
      <c r="AT92" s="5" t="s">
        <v>6</v>
      </c>
      <c r="AU92" s="47">
        <f t="shared" ref="AU92:AZ92" si="36">AL95/(AL95+AD95+V95)</f>
        <v>0.1988636364</v>
      </c>
      <c r="AV92" s="47">
        <f t="shared" si="36"/>
        <v>0.2379182156</v>
      </c>
      <c r="AW92" s="47">
        <f t="shared" si="36"/>
        <v>0.1993865031</v>
      </c>
      <c r="AX92" s="47">
        <f t="shared" si="36"/>
        <v>0.2084942085</v>
      </c>
      <c r="AY92" s="47">
        <f t="shared" si="36"/>
        <v>0.2155688623</v>
      </c>
      <c r="AZ92" s="47">
        <f t="shared" si="36"/>
        <v>0.2126099707</v>
      </c>
    </row>
    <row r="93" ht="12.75" customHeight="1">
      <c r="A93" s="36" t="s">
        <v>33</v>
      </c>
      <c r="B93" s="42">
        <f>'Ciclo 3'!G253</f>
        <v>77</v>
      </c>
      <c r="C93" s="42">
        <f>'Ciclo 3'!I253</f>
        <v>128</v>
      </c>
      <c r="D93" s="42">
        <f>'Ciclo 3'!K253</f>
        <v>54</v>
      </c>
      <c r="E93" s="42">
        <f t="shared" si="29"/>
        <v>259</v>
      </c>
      <c r="F93" s="42"/>
      <c r="G93" s="42">
        <f>'Ciclo 3'!H253</f>
        <v>5280</v>
      </c>
      <c r="H93" s="42">
        <f>'Ciclo 3'!J253</f>
        <v>9005</v>
      </c>
      <c r="I93" s="42">
        <f>'Ciclo 3'!L253</f>
        <v>3970</v>
      </c>
      <c r="J93" s="42">
        <f t="shared" si="30"/>
        <v>18255</v>
      </c>
      <c r="K93" s="42">
        <f t="shared" si="31"/>
        <v>70.48262548</v>
      </c>
      <c r="L93" s="46">
        <f>K93/SUM('1RM'!$C$4:$C$6)</f>
        <v>0.2349420849</v>
      </c>
      <c r="M93" s="40">
        <f>G93/B93/'1RM'!C4</f>
        <v>0.6857142857</v>
      </c>
      <c r="N93" s="40">
        <f>H93/C93/'1RM'!C5</f>
        <v>0.703515625</v>
      </c>
      <c r="O93" s="40">
        <f>I93/D93/'1RM'!C6</f>
        <v>0.7351851852</v>
      </c>
      <c r="P93" s="5"/>
      <c r="Q93" s="5"/>
      <c r="R93" s="5"/>
      <c r="S93" s="5"/>
      <c r="T93" s="5"/>
      <c r="U93" s="33" t="s">
        <v>34</v>
      </c>
      <c r="V93" s="42">
        <f>'Ciclo 3'!$P$58</f>
        <v>18</v>
      </c>
      <c r="W93" s="42">
        <f>'Ciclo 3'!$P$122</f>
        <v>17</v>
      </c>
      <c r="X93" s="42">
        <f>'Ciclo 3'!$P$187</f>
        <v>25</v>
      </c>
      <c r="Y93" s="42">
        <f>'Ciclo 3'!$P$253</f>
        <v>16</v>
      </c>
      <c r="Z93" s="42">
        <f>'Ciclo 3'!$P$314</f>
        <v>40</v>
      </c>
      <c r="AA93" s="42">
        <f t="shared" si="32"/>
        <v>116</v>
      </c>
      <c r="AC93" s="33" t="s">
        <v>34</v>
      </c>
      <c r="AD93" s="42">
        <f>'Ciclo 3'!$U$58</f>
        <v>22</v>
      </c>
      <c r="AE93" s="42">
        <f>'Ciclo 3'!$U$122</f>
        <v>2</v>
      </c>
      <c r="AF93" s="42">
        <f>'Ciclo 3'!$U$187</f>
        <v>74</v>
      </c>
      <c r="AG93" s="42">
        <f>'Ciclo 3'!$U$253</f>
        <v>24</v>
      </c>
      <c r="AH93" s="42">
        <f>'Ciclo 3'!$U$314</f>
        <v>20</v>
      </c>
      <c r="AI93" s="42">
        <f t="shared" si="33"/>
        <v>142</v>
      </c>
      <c r="AJ93" s="5"/>
      <c r="AK93" s="33" t="s">
        <v>34</v>
      </c>
      <c r="AL93" s="42">
        <f>'Ciclo 3'!$Z$58</f>
        <v>6</v>
      </c>
      <c r="AM93" s="42">
        <f>'Ciclo 3'!$Z$122</f>
        <v>18</v>
      </c>
      <c r="AN93" s="42">
        <f>'Ciclo 3'!$Z$187</f>
        <v>0</v>
      </c>
      <c r="AO93" s="42">
        <f>'Ciclo 3'!$Z$253</f>
        <v>22</v>
      </c>
      <c r="AP93" s="42">
        <f>'Ciclo 3'!$Z$314</f>
        <v>15</v>
      </c>
      <c r="AQ93" s="42">
        <f t="shared" si="34"/>
        <v>61</v>
      </c>
    </row>
    <row r="94" ht="12.75" customHeight="1">
      <c r="A94" s="36" t="s">
        <v>42</v>
      </c>
      <c r="B94" s="42">
        <f>'Ciclo 3'!G314</f>
        <v>94</v>
      </c>
      <c r="C94" s="42">
        <f>'Ciclo 3'!I314</f>
        <v>168</v>
      </c>
      <c r="D94" s="42">
        <f>'Ciclo 3'!K314</f>
        <v>72</v>
      </c>
      <c r="E94" s="42">
        <f t="shared" si="29"/>
        <v>334</v>
      </c>
      <c r="F94" s="42"/>
      <c r="G94" s="42">
        <f>'Ciclo 3'!H314</f>
        <v>6760</v>
      </c>
      <c r="H94" s="42">
        <f>'Ciclo 3'!J314</f>
        <v>11300</v>
      </c>
      <c r="I94" s="42">
        <f>'Ciclo 3'!L314</f>
        <v>5225</v>
      </c>
      <c r="J94" s="42">
        <f t="shared" si="30"/>
        <v>23285</v>
      </c>
      <c r="K94" s="42">
        <f t="shared" si="31"/>
        <v>69.71556886</v>
      </c>
      <c r="L94" s="46">
        <f>K94/SUM('1RM'!$C$4:$C$6)</f>
        <v>0.2323852295</v>
      </c>
      <c r="M94" s="40">
        <f>G94/B94/'1RM'!C4</f>
        <v>0.7191489362</v>
      </c>
      <c r="N94" s="40">
        <f>H94/C94/'1RM'!C5</f>
        <v>0.6726190476</v>
      </c>
      <c r="O94" s="40">
        <f>I94/D94/'1RM'!C6</f>
        <v>0.7256944444</v>
      </c>
      <c r="P94" s="5"/>
      <c r="Q94" s="5"/>
      <c r="R94" s="5"/>
      <c r="S94" s="5"/>
      <c r="T94" s="5"/>
      <c r="U94" s="33" t="s">
        <v>35</v>
      </c>
      <c r="V94" s="42">
        <f>'Ciclo 3'!$Q$58</f>
        <v>0</v>
      </c>
      <c r="W94" s="42">
        <f>'Ciclo 3'!$Q$122</f>
        <v>5</v>
      </c>
      <c r="X94" s="42">
        <f>'Ciclo 3'!$Q$187</f>
        <v>0</v>
      </c>
      <c r="Y94" s="42">
        <f>'Ciclo 3'!$Q$253</f>
        <v>0</v>
      </c>
      <c r="Z94" s="42">
        <f>'Ciclo 3'!$Q$314</f>
        <v>0</v>
      </c>
      <c r="AA94" s="42">
        <f t="shared" si="32"/>
        <v>5</v>
      </c>
      <c r="AC94" s="33" t="s">
        <v>35</v>
      </c>
      <c r="AD94" s="42">
        <f>'Ciclo 3'!$V$58</f>
        <v>0</v>
      </c>
      <c r="AE94" s="42">
        <f>'Ciclo 3'!$V$122</f>
        <v>5</v>
      </c>
      <c r="AF94" s="42">
        <f>'Ciclo 3'!$V$187</f>
        <v>0</v>
      </c>
      <c r="AG94" s="42">
        <f>'Ciclo 3'!$V$253</f>
        <v>6</v>
      </c>
      <c r="AH94" s="42">
        <f>'Ciclo 3'!$V$314</f>
        <v>0</v>
      </c>
      <c r="AI94" s="42">
        <f t="shared" si="33"/>
        <v>11</v>
      </c>
      <c r="AJ94" s="5"/>
      <c r="AK94" s="33" t="s">
        <v>35</v>
      </c>
      <c r="AL94" s="42">
        <f>'Ciclo 3'!$AA$58</f>
        <v>6</v>
      </c>
      <c r="AM94" s="42">
        <f>'Ciclo 3'!$AA$122</f>
        <v>5</v>
      </c>
      <c r="AN94" s="42">
        <f>'Ciclo 3'!$AA$187</f>
        <v>0</v>
      </c>
      <c r="AO94" s="42">
        <f>'Ciclo 3'!$AA$253</f>
        <v>6</v>
      </c>
      <c r="AP94" s="42">
        <f>'Ciclo 3'!$AA$314</f>
        <v>7</v>
      </c>
      <c r="AQ94" s="42">
        <f t="shared" si="34"/>
        <v>24</v>
      </c>
    </row>
    <row r="95" ht="12.75" customHeight="1">
      <c r="A95" s="36" t="s">
        <v>7</v>
      </c>
      <c r="B95" s="42">
        <f t="shared" ref="B95:E95" si="37">SUM(B90:B94)</f>
        <v>420</v>
      </c>
      <c r="C95" s="42">
        <f t="shared" si="37"/>
        <v>654</v>
      </c>
      <c r="D95" s="42">
        <f t="shared" si="37"/>
        <v>290</v>
      </c>
      <c r="E95" s="42">
        <f t="shared" si="37"/>
        <v>1364</v>
      </c>
      <c r="F95" s="42"/>
      <c r="G95" s="42">
        <f t="shared" ref="G95:J95" si="38">SUM(G90:G94)</f>
        <v>29030</v>
      </c>
      <c r="H95" s="42">
        <f t="shared" si="38"/>
        <v>44950</v>
      </c>
      <c r="I95" s="42">
        <f t="shared" si="38"/>
        <v>20710</v>
      </c>
      <c r="J95" s="42">
        <f t="shared" si="38"/>
        <v>94690</v>
      </c>
      <c r="K95" s="42">
        <f t="shared" si="31"/>
        <v>69.42082111</v>
      </c>
      <c r="L95" s="46">
        <f>K95/SUM('1RM'!$C$4:$C$6)</f>
        <v>0.231402737</v>
      </c>
      <c r="M95" s="40">
        <f>G95/B95/'1RM'!C4</f>
        <v>0.6911904762</v>
      </c>
      <c r="N95" s="40">
        <f>H95/C95/'1RM'!C5</f>
        <v>0.6873088685</v>
      </c>
      <c r="O95" s="40">
        <f>I95/D95/'1RM'!C6</f>
        <v>0.714137931</v>
      </c>
      <c r="P95" s="5"/>
      <c r="Q95" s="5"/>
      <c r="R95" s="5"/>
      <c r="S95" s="5"/>
      <c r="T95" s="5"/>
      <c r="U95" s="33" t="s">
        <v>17</v>
      </c>
      <c r="V95" s="42">
        <f t="shared" ref="V95:Z95" si="39">SUM(V90:V94)</f>
        <v>67</v>
      </c>
      <c r="W95" s="42">
        <f t="shared" si="39"/>
        <v>84</v>
      </c>
      <c r="X95" s="42">
        <f t="shared" si="39"/>
        <v>98</v>
      </c>
      <c r="Y95" s="42">
        <f t="shared" si="39"/>
        <v>77</v>
      </c>
      <c r="Z95" s="42">
        <f t="shared" si="39"/>
        <v>94</v>
      </c>
      <c r="AA95" s="42">
        <f t="shared" si="32"/>
        <v>420</v>
      </c>
      <c r="AC95" s="33" t="s">
        <v>17</v>
      </c>
      <c r="AD95" s="42">
        <f t="shared" ref="AD95:AH95" si="40">SUM(AD90:AD94)</f>
        <v>74</v>
      </c>
      <c r="AE95" s="42">
        <f t="shared" si="40"/>
        <v>121</v>
      </c>
      <c r="AF95" s="42">
        <f t="shared" si="40"/>
        <v>163</v>
      </c>
      <c r="AG95" s="42">
        <f t="shared" si="40"/>
        <v>128</v>
      </c>
      <c r="AH95" s="42">
        <f t="shared" si="40"/>
        <v>168</v>
      </c>
      <c r="AI95" s="42">
        <f t="shared" si="33"/>
        <v>654</v>
      </c>
      <c r="AJ95" s="5"/>
      <c r="AK95" s="33" t="s">
        <v>17</v>
      </c>
      <c r="AL95" s="42">
        <f t="shared" ref="AL95:AP95" si="41">SUM(AL90:AL94)</f>
        <v>35</v>
      </c>
      <c r="AM95" s="42">
        <f t="shared" si="41"/>
        <v>64</v>
      </c>
      <c r="AN95" s="42">
        <f t="shared" si="41"/>
        <v>65</v>
      </c>
      <c r="AO95" s="42">
        <f t="shared" si="41"/>
        <v>54</v>
      </c>
      <c r="AP95" s="42">
        <f t="shared" si="41"/>
        <v>72</v>
      </c>
      <c r="AQ95" s="42">
        <f t="shared" si="34"/>
        <v>290</v>
      </c>
    </row>
    <row r="96" ht="12.75" customHeight="1">
      <c r="A96" s="5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46"/>
      <c r="M96" s="35"/>
      <c r="N96" s="35"/>
      <c r="O96" s="35"/>
      <c r="P96" s="5"/>
      <c r="Q96" s="5"/>
      <c r="R96" s="5"/>
      <c r="S96" s="5"/>
      <c r="T96" s="5"/>
      <c r="U96" s="33" t="s">
        <v>36</v>
      </c>
      <c r="V96" s="40">
        <f>M90</f>
        <v>0.6970149254</v>
      </c>
      <c r="W96" s="40">
        <f>M91</f>
        <v>0.6851190476</v>
      </c>
      <c r="X96" s="40">
        <f>M92</f>
        <v>0.6698979592</v>
      </c>
      <c r="Y96" s="40">
        <f>M93</f>
        <v>0.6857142857</v>
      </c>
      <c r="Z96" s="40">
        <f>M94</f>
        <v>0.7191489362</v>
      </c>
      <c r="AA96" s="40">
        <f>M95</f>
        <v>0.6911904762</v>
      </c>
      <c r="AC96" s="33" t="s">
        <v>36</v>
      </c>
      <c r="AD96" s="40">
        <f>N90</f>
        <v>0.6851351351</v>
      </c>
      <c r="AE96" s="40">
        <f>N91</f>
        <v>0.6805785124</v>
      </c>
      <c r="AF96" s="40">
        <f>N92</f>
        <v>0.6957055215</v>
      </c>
      <c r="AG96" s="40">
        <f>N93</f>
        <v>0.703515625</v>
      </c>
      <c r="AH96" s="40">
        <f>N94</f>
        <v>0.6726190476</v>
      </c>
      <c r="AI96" s="40">
        <f>N95</f>
        <v>0.6873088685</v>
      </c>
      <c r="AJ96" s="5"/>
      <c r="AK96" s="33" t="s">
        <v>36</v>
      </c>
      <c r="AL96" s="40">
        <f>O90</f>
        <v>0.7457142857</v>
      </c>
      <c r="AM96" s="40">
        <f>O91</f>
        <v>0.71640625</v>
      </c>
      <c r="AN96" s="40">
        <f>O92</f>
        <v>0.6646153846</v>
      </c>
      <c r="AO96" s="40">
        <f>O93</f>
        <v>0.7351851852</v>
      </c>
      <c r="AP96" s="40">
        <f>O94</f>
        <v>0.7256944444</v>
      </c>
      <c r="AQ96" s="40">
        <f>O95</f>
        <v>0.714137931</v>
      </c>
    </row>
    <row r="97" ht="12.75" customHeight="1">
      <c r="A97" s="5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5"/>
      <c r="M97" s="35"/>
      <c r="N97" s="35"/>
      <c r="O97" s="35"/>
      <c r="P97" s="5"/>
      <c r="Q97" s="5"/>
      <c r="R97" s="5"/>
      <c r="S97" s="5"/>
      <c r="T97" s="5"/>
      <c r="AF97" s="5"/>
      <c r="AG97" s="5"/>
      <c r="AH97" s="5"/>
      <c r="AI97" s="5"/>
      <c r="AJ97" s="5"/>
    </row>
    <row r="98" ht="12.75" customHeight="1">
      <c r="A98" s="5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5"/>
      <c r="M98" s="35"/>
      <c r="N98" s="35"/>
      <c r="O98" s="35"/>
      <c r="P98" s="5"/>
      <c r="Q98" s="5"/>
      <c r="R98" s="5"/>
      <c r="S98" s="5"/>
      <c r="T98" s="5"/>
      <c r="AF98" s="5"/>
      <c r="AG98" s="5"/>
      <c r="AH98" s="5"/>
      <c r="AI98" s="5"/>
      <c r="AJ98" s="5"/>
    </row>
    <row r="99" ht="12.75" customHeight="1">
      <c r="A99" s="5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5"/>
      <c r="M99" s="35"/>
      <c r="N99" s="35"/>
      <c r="O99" s="35"/>
      <c r="P99" s="5"/>
      <c r="Q99" s="5"/>
      <c r="R99" s="5"/>
      <c r="S99" s="5"/>
      <c r="T99" s="5"/>
      <c r="AF99" s="5"/>
      <c r="AG99" s="5"/>
      <c r="AH99" s="5"/>
      <c r="AI99" s="5"/>
      <c r="AJ99" s="5"/>
    </row>
    <row r="100" ht="12.75" customHeight="1">
      <c r="A100" s="5"/>
      <c r="B100" s="37" t="s">
        <v>46</v>
      </c>
      <c r="C100" s="34"/>
      <c r="D100" s="34"/>
      <c r="E100" s="34"/>
      <c r="F100" s="34"/>
      <c r="G100" s="34"/>
      <c r="H100" s="34"/>
      <c r="I100" s="34"/>
      <c r="J100" s="34"/>
      <c r="K100" s="34"/>
      <c r="L100" s="5"/>
      <c r="M100" s="35"/>
      <c r="N100" s="35"/>
      <c r="O100" s="35"/>
      <c r="P100" s="5"/>
      <c r="Q100" s="5"/>
      <c r="R100" s="5"/>
      <c r="S100" s="5"/>
      <c r="T100" s="5"/>
      <c r="AF100" s="5"/>
      <c r="AG100" s="5"/>
      <c r="AH100" s="5"/>
      <c r="AI100" s="5"/>
      <c r="AJ100" s="5"/>
    </row>
    <row r="101" ht="12.75" customHeight="1">
      <c r="A101" s="5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5"/>
      <c r="M101" s="35"/>
      <c r="N101" s="35"/>
      <c r="O101" s="35"/>
      <c r="P101" s="5"/>
      <c r="Q101" s="5"/>
      <c r="R101" s="5"/>
      <c r="S101" s="5"/>
      <c r="T101" s="5"/>
      <c r="AF101" s="5"/>
      <c r="AG101" s="5"/>
      <c r="AH101" s="5"/>
      <c r="AI101" s="5"/>
      <c r="AJ101" s="5"/>
    </row>
    <row r="102" ht="12.75" customHeight="1">
      <c r="A102" s="5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5"/>
      <c r="M102" s="35"/>
      <c r="N102" s="35"/>
      <c r="O102" s="35"/>
      <c r="P102" s="5"/>
      <c r="Q102" s="5"/>
      <c r="R102" s="5"/>
      <c r="S102" s="5"/>
      <c r="T102" s="5"/>
      <c r="AF102" s="5"/>
      <c r="AG102" s="5"/>
      <c r="AH102" s="5"/>
      <c r="AI102" s="5"/>
      <c r="AJ102" s="5"/>
    </row>
    <row r="103" ht="12.75" customHeight="1">
      <c r="A103" s="5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5"/>
      <c r="M103" s="35"/>
      <c r="N103" s="35"/>
      <c r="O103" s="35"/>
      <c r="P103" s="5"/>
      <c r="Q103" s="5"/>
      <c r="R103" s="5"/>
      <c r="S103" s="5"/>
      <c r="T103" s="5"/>
      <c r="AF103" s="5"/>
      <c r="AG103" s="5"/>
      <c r="AH103" s="5"/>
      <c r="AI103" s="5"/>
      <c r="AJ103" s="5"/>
    </row>
    <row r="104" ht="12.75" customHeight="1">
      <c r="A104" s="5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5"/>
      <c r="M104" s="35"/>
      <c r="N104" s="35"/>
      <c r="O104" s="35"/>
      <c r="P104" s="5"/>
      <c r="Q104" s="5"/>
      <c r="R104" s="5"/>
      <c r="S104" s="5"/>
      <c r="T104" s="5"/>
      <c r="AF104" s="5"/>
      <c r="AG104" s="5"/>
      <c r="AH104" s="5"/>
      <c r="AI104" s="5"/>
      <c r="AJ104" s="5"/>
    </row>
    <row r="105" ht="12.75" customHeight="1">
      <c r="A105" s="5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5"/>
      <c r="M105" s="35"/>
      <c r="N105" s="35"/>
      <c r="O105" s="35"/>
      <c r="P105" s="5"/>
      <c r="Q105" s="5"/>
      <c r="R105" s="5"/>
      <c r="S105" s="5"/>
      <c r="T105" s="5"/>
      <c r="AF105" s="5"/>
      <c r="AG105" s="5"/>
      <c r="AH105" s="5"/>
      <c r="AI105" s="5"/>
      <c r="AJ105" s="5"/>
    </row>
    <row r="106" ht="12.75" customHeight="1">
      <c r="A106" s="5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5"/>
      <c r="M106" s="35"/>
      <c r="N106" s="35"/>
      <c r="O106" s="35"/>
      <c r="P106" s="5"/>
      <c r="Q106" s="5"/>
      <c r="R106" s="5"/>
      <c r="S106" s="5"/>
      <c r="T106" s="5"/>
      <c r="AF106" s="5"/>
      <c r="AG106" s="5"/>
      <c r="AH106" s="5"/>
      <c r="AI106" s="5"/>
      <c r="AJ106" s="5"/>
    </row>
    <row r="107" ht="12.75" customHeight="1">
      <c r="A107" s="5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5"/>
      <c r="M107" s="35"/>
      <c r="N107" s="35"/>
      <c r="O107" s="35"/>
      <c r="P107" s="5"/>
      <c r="Q107" s="5"/>
      <c r="R107" s="5"/>
      <c r="S107" s="5"/>
      <c r="T107" s="5"/>
      <c r="AF107" s="5"/>
      <c r="AG107" s="5"/>
      <c r="AH107" s="5"/>
      <c r="AI107" s="5"/>
      <c r="AJ107" s="5"/>
    </row>
    <row r="108" ht="12.75" customHeight="1">
      <c r="A108" s="5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5"/>
      <c r="M108" s="35"/>
      <c r="N108" s="35"/>
      <c r="O108" s="35"/>
      <c r="P108" s="5"/>
      <c r="Q108" s="5"/>
      <c r="R108" s="5"/>
      <c r="S108" s="5"/>
      <c r="T108" s="5"/>
      <c r="AF108" s="5"/>
      <c r="AG108" s="5"/>
      <c r="AH108" s="5"/>
      <c r="AI108" s="5"/>
      <c r="AJ108" s="5"/>
    </row>
    <row r="109" ht="12.75" customHeight="1">
      <c r="A109" s="5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5"/>
      <c r="M109" s="35"/>
      <c r="N109" s="35"/>
      <c r="O109" s="35"/>
      <c r="P109" s="5"/>
      <c r="Q109" s="5"/>
      <c r="R109" s="5"/>
      <c r="S109" s="5"/>
      <c r="T109" s="5"/>
      <c r="AF109" s="5"/>
      <c r="AG109" s="5"/>
      <c r="AH109" s="5"/>
      <c r="AI109" s="5"/>
      <c r="AJ109" s="5"/>
    </row>
    <row r="110" ht="12.75" customHeight="1">
      <c r="A110" s="5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5"/>
      <c r="M110" s="35"/>
      <c r="N110" s="35"/>
      <c r="O110" s="35"/>
      <c r="P110" s="5"/>
      <c r="Q110" s="5"/>
      <c r="R110" s="5"/>
      <c r="S110" s="5"/>
      <c r="T110" s="5"/>
      <c r="AF110" s="5"/>
      <c r="AG110" s="5"/>
      <c r="AH110" s="5"/>
      <c r="AI110" s="5"/>
      <c r="AJ110" s="5"/>
    </row>
    <row r="111" ht="12.75" customHeight="1">
      <c r="A111" s="5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5"/>
      <c r="M111" s="35"/>
      <c r="N111" s="35"/>
      <c r="O111" s="35"/>
      <c r="P111" s="5"/>
      <c r="Q111" s="5"/>
      <c r="R111" s="5"/>
      <c r="S111" s="5"/>
      <c r="T111" s="5"/>
      <c r="AF111" s="5"/>
      <c r="AG111" s="5"/>
      <c r="AH111" s="5"/>
      <c r="AI111" s="5"/>
      <c r="AJ111" s="5"/>
    </row>
    <row r="112" ht="12.75" customHeight="1">
      <c r="A112" s="5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5"/>
      <c r="M112" s="35"/>
      <c r="N112" s="35"/>
      <c r="O112" s="35"/>
      <c r="P112" s="5"/>
      <c r="Q112" s="5"/>
      <c r="R112" s="5"/>
      <c r="S112" s="5"/>
      <c r="T112" s="5"/>
      <c r="AF112" s="5"/>
      <c r="AG112" s="5"/>
      <c r="AH112" s="5"/>
      <c r="AI112" s="5"/>
      <c r="AJ112" s="5"/>
    </row>
    <row r="113" ht="12.75" customHeight="1">
      <c r="A113" s="5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5"/>
      <c r="M113" s="35"/>
      <c r="N113" s="35"/>
      <c r="O113" s="35"/>
      <c r="P113" s="5"/>
      <c r="Q113" s="5"/>
      <c r="R113" s="5"/>
      <c r="S113" s="5"/>
      <c r="T113" s="5"/>
      <c r="AF113" s="5"/>
      <c r="AG113" s="5"/>
      <c r="AH113" s="5"/>
      <c r="AI113" s="5"/>
      <c r="AJ113" s="5"/>
    </row>
    <row r="114" ht="12.75" customHeight="1">
      <c r="A114" s="5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5"/>
      <c r="M114" s="35"/>
      <c r="N114" s="35"/>
      <c r="O114" s="35"/>
      <c r="P114" s="5"/>
      <c r="Q114" s="5"/>
      <c r="R114" s="5"/>
      <c r="S114" s="5"/>
      <c r="T114" s="5"/>
      <c r="AF114" s="5"/>
      <c r="AG114" s="5"/>
      <c r="AH114" s="5"/>
      <c r="AI114" s="5"/>
      <c r="AJ114" s="5"/>
    </row>
    <row r="115" ht="12.75" customHeight="1">
      <c r="A115" s="36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5"/>
      <c r="M115" s="40"/>
      <c r="N115" s="40"/>
      <c r="O115" s="40"/>
      <c r="P115" s="5"/>
      <c r="Q115" s="5"/>
      <c r="R115" s="5"/>
      <c r="S115" s="5"/>
      <c r="T115" s="5"/>
      <c r="AF115" s="5"/>
      <c r="AG115" s="5"/>
      <c r="AH115" s="5"/>
      <c r="AI115" s="5"/>
      <c r="AJ115" s="5"/>
    </row>
    <row r="116" ht="12.75" customHeight="1">
      <c r="A116" s="5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5"/>
      <c r="M116" s="35"/>
      <c r="N116" s="35"/>
      <c r="O116" s="35"/>
      <c r="P116" s="5"/>
      <c r="Q116" s="5"/>
      <c r="R116" s="5"/>
      <c r="S116" s="5"/>
      <c r="T116" s="5"/>
      <c r="U116" s="33"/>
      <c r="V116" s="40"/>
      <c r="W116" s="40"/>
      <c r="X116" s="40"/>
      <c r="Y116" s="40"/>
      <c r="Z116" s="40"/>
      <c r="AA116" s="40"/>
      <c r="AB116" s="40"/>
      <c r="AC116" s="33"/>
      <c r="AD116" s="40"/>
      <c r="AE116" s="40"/>
      <c r="AF116" s="40"/>
      <c r="AG116" s="40"/>
      <c r="AH116" s="40"/>
      <c r="AI116" s="40"/>
      <c r="AJ116" s="40"/>
      <c r="AK116" s="33"/>
      <c r="AL116" s="40"/>
      <c r="AM116" s="40"/>
      <c r="AN116" s="40"/>
      <c r="AO116" s="40"/>
      <c r="AP116" s="40"/>
      <c r="AQ116" s="40"/>
      <c r="AR116" s="40"/>
    </row>
    <row r="117" ht="12.75" customHeight="1">
      <c r="A117" s="33"/>
      <c r="B117" s="43"/>
      <c r="C117" s="34"/>
      <c r="D117" s="34"/>
      <c r="E117" s="34"/>
      <c r="F117" s="34"/>
      <c r="G117" s="34"/>
      <c r="H117" s="34"/>
      <c r="I117" s="34"/>
      <c r="J117" s="34"/>
      <c r="K117" s="34"/>
      <c r="L117" s="5"/>
      <c r="M117" s="44"/>
      <c r="N117" s="35"/>
      <c r="O117" s="35"/>
      <c r="P117" s="5"/>
      <c r="Q117" s="5"/>
      <c r="R117" s="5"/>
      <c r="S117" s="5"/>
      <c r="T117" s="5"/>
      <c r="AF117" s="5"/>
      <c r="AG117" s="5"/>
      <c r="AH117" s="5"/>
      <c r="AI117" s="5"/>
      <c r="AJ117" s="5"/>
    </row>
    <row r="118" ht="12.75" customHeight="1">
      <c r="A118" s="5"/>
      <c r="B118" s="34"/>
      <c r="C118" s="34"/>
      <c r="D118" s="34"/>
      <c r="E118" s="34"/>
      <c r="F118" s="34"/>
      <c r="G118" s="43" t="s">
        <v>14</v>
      </c>
      <c r="H118" s="34"/>
      <c r="I118" s="34"/>
      <c r="J118" s="34"/>
      <c r="K118" s="34"/>
      <c r="L118" s="5"/>
      <c r="M118" s="35"/>
      <c r="N118" s="35"/>
      <c r="O118" s="35"/>
      <c r="P118" s="5"/>
      <c r="Q118" s="5"/>
      <c r="R118" s="5"/>
      <c r="S118" s="5"/>
      <c r="T118" s="5"/>
      <c r="U118" s="33" t="s">
        <v>4</v>
      </c>
      <c r="V118" s="33"/>
      <c r="W118" s="33"/>
      <c r="X118" s="33"/>
      <c r="Y118" s="33"/>
      <c r="Z118" s="33"/>
      <c r="AA118" s="33"/>
      <c r="AB118" s="33"/>
      <c r="AC118" s="33" t="s">
        <v>5</v>
      </c>
      <c r="AD118" s="33"/>
      <c r="AE118" s="33"/>
      <c r="AF118" s="33"/>
      <c r="AG118" s="33"/>
      <c r="AH118" s="33"/>
      <c r="AI118" s="33"/>
      <c r="AJ118" s="33"/>
      <c r="AK118" s="33" t="s">
        <v>6</v>
      </c>
      <c r="AL118" s="33"/>
      <c r="AM118" s="33"/>
      <c r="AN118" s="33"/>
      <c r="AO118" s="33"/>
      <c r="AP118" s="33"/>
      <c r="AQ118" s="33"/>
      <c r="AT118" s="33"/>
      <c r="AU118" s="33"/>
      <c r="AV118" s="33"/>
      <c r="AW118" s="33"/>
      <c r="AX118" s="33"/>
      <c r="AY118" s="33"/>
      <c r="AZ118" s="33"/>
    </row>
    <row r="119" ht="12.75" customHeight="1">
      <c r="A119" s="36" t="s">
        <v>47</v>
      </c>
      <c r="B119" s="45" t="s">
        <v>4</v>
      </c>
      <c r="C119" s="45" t="s">
        <v>5</v>
      </c>
      <c r="D119" s="45" t="s">
        <v>16</v>
      </c>
      <c r="E119" s="45" t="s">
        <v>17</v>
      </c>
      <c r="F119" s="34"/>
      <c r="G119" s="45" t="s">
        <v>4</v>
      </c>
      <c r="H119" s="45" t="s">
        <v>5</v>
      </c>
      <c r="I119" s="45" t="s">
        <v>16</v>
      </c>
      <c r="J119" s="34"/>
      <c r="K119" s="45" t="s">
        <v>18</v>
      </c>
      <c r="L119" s="45" t="s">
        <v>19</v>
      </c>
      <c r="M119" s="45" t="s">
        <v>4</v>
      </c>
      <c r="N119" s="45" t="s">
        <v>5</v>
      </c>
      <c r="O119" s="45" t="s">
        <v>16</v>
      </c>
      <c r="P119" s="5"/>
      <c r="Q119" s="5"/>
      <c r="R119" s="5"/>
      <c r="S119" s="5"/>
      <c r="T119" s="5"/>
      <c r="U119" s="33" t="s">
        <v>20</v>
      </c>
      <c r="V119" s="36" t="s">
        <v>21</v>
      </c>
      <c r="W119" s="36" t="s">
        <v>22</v>
      </c>
      <c r="X119" s="36" t="s">
        <v>23</v>
      </c>
      <c r="Y119" s="36" t="s">
        <v>24</v>
      </c>
      <c r="Z119" s="36" t="s">
        <v>39</v>
      </c>
      <c r="AA119" s="36" t="s">
        <v>25</v>
      </c>
      <c r="AC119" s="33" t="s">
        <v>20</v>
      </c>
      <c r="AD119" s="36" t="s">
        <v>21</v>
      </c>
      <c r="AE119" s="36" t="s">
        <v>22</v>
      </c>
      <c r="AF119" s="36" t="s">
        <v>23</v>
      </c>
      <c r="AG119" s="36" t="s">
        <v>24</v>
      </c>
      <c r="AH119" s="36" t="s">
        <v>39</v>
      </c>
      <c r="AI119" s="36" t="s">
        <v>25</v>
      </c>
      <c r="AJ119" s="5"/>
      <c r="AK119" s="33" t="s">
        <v>20</v>
      </c>
      <c r="AL119" s="36" t="s">
        <v>21</v>
      </c>
      <c r="AM119" s="36" t="s">
        <v>22</v>
      </c>
      <c r="AN119" s="36" t="s">
        <v>23</v>
      </c>
      <c r="AO119" s="36" t="s">
        <v>24</v>
      </c>
      <c r="AP119" s="36" t="s">
        <v>39</v>
      </c>
      <c r="AQ119" s="36" t="s">
        <v>25</v>
      </c>
      <c r="AT119" s="33" t="s">
        <v>26</v>
      </c>
      <c r="AU119" s="36" t="s">
        <v>21</v>
      </c>
      <c r="AV119" s="36" t="s">
        <v>22</v>
      </c>
      <c r="AW119" s="36" t="s">
        <v>23</v>
      </c>
      <c r="AX119" s="36" t="s">
        <v>24</v>
      </c>
      <c r="AY119" s="36" t="s">
        <v>39</v>
      </c>
      <c r="AZ119" s="36" t="s">
        <v>25</v>
      </c>
    </row>
    <row r="120" ht="12.75" customHeight="1">
      <c r="A120" s="36" t="s">
        <v>27</v>
      </c>
      <c r="B120" s="42">
        <f>'Ciclo 4'!G62</f>
        <v>40</v>
      </c>
      <c r="C120" s="42">
        <f>'Ciclo 4'!I62</f>
        <v>85</v>
      </c>
      <c r="D120" s="42">
        <f>'Ciclo 4'!K62</f>
        <v>38</v>
      </c>
      <c r="E120" s="42">
        <f t="shared" ref="E120:E124" si="43">SUM(B120:D120)</f>
        <v>163</v>
      </c>
      <c r="F120" s="42"/>
      <c r="G120" s="42">
        <f>'Ciclo 4'!H62</f>
        <v>2775</v>
      </c>
      <c r="H120" s="42">
        <f>'Ciclo 4'!J62</f>
        <v>5960</v>
      </c>
      <c r="I120" s="42">
        <f>'Ciclo 4'!L62</f>
        <v>2685</v>
      </c>
      <c r="J120" s="42">
        <f t="shared" ref="J120:J124" si="44">SUM(G120:I120)</f>
        <v>11420</v>
      </c>
      <c r="K120" s="42">
        <f t="shared" ref="K120:K125" si="45">J120/E120</f>
        <v>70.06134969</v>
      </c>
      <c r="L120" s="46">
        <f>K120/SUM('1RM'!$C$4:$C$6)</f>
        <v>0.2335378323</v>
      </c>
      <c r="M120" s="40">
        <f>G120/B120/'1RM'!C4</f>
        <v>0.69375</v>
      </c>
      <c r="N120" s="40">
        <f>H120/C120/'1RM'!C5</f>
        <v>0.7011764706</v>
      </c>
      <c r="O120" s="40">
        <f>I120/D120/'1RM'!C6</f>
        <v>0.7065789474</v>
      </c>
      <c r="P120" s="5"/>
      <c r="Q120" s="5"/>
      <c r="R120" s="5"/>
      <c r="S120" s="5"/>
      <c r="T120" s="5"/>
      <c r="U120" s="33" t="s">
        <v>28</v>
      </c>
      <c r="V120" s="42">
        <f>'Ciclo 4'!$M$62</f>
        <v>8</v>
      </c>
      <c r="W120" s="42">
        <f>'Ciclo 4'!$M$117</f>
        <v>6</v>
      </c>
      <c r="X120" s="42">
        <f>'Ciclo 4'!$M$169</f>
        <v>6</v>
      </c>
      <c r="Y120" s="42">
        <f>'Ciclo 4'!$M$208</f>
        <v>6</v>
      </c>
      <c r="Z120" s="42">
        <f>'Ciclo 4'!$M$230</f>
        <v>3</v>
      </c>
      <c r="AA120" s="42">
        <f t="shared" ref="AA120:AA125" si="46">SUM(V120:Z120)</f>
        <v>29</v>
      </c>
      <c r="AC120" s="33" t="s">
        <v>28</v>
      </c>
      <c r="AD120" s="42">
        <f>'Ciclo 4'!$R$62</f>
        <v>18</v>
      </c>
      <c r="AE120" s="42">
        <f>'Ciclo 4'!$R$117</f>
        <v>9</v>
      </c>
      <c r="AF120" s="42">
        <f>'Ciclo 4'!$R$169</f>
        <v>9</v>
      </c>
      <c r="AG120" s="42">
        <f>'Ciclo 4'!$R$208</f>
        <v>9</v>
      </c>
      <c r="AH120" s="42">
        <f>'Ciclo 4'!$R$230</f>
        <v>6</v>
      </c>
      <c r="AI120" s="42">
        <f t="shared" ref="AI120:AI124" si="47">SUM(AD120:AH120)</f>
        <v>51</v>
      </c>
      <c r="AJ120" s="5"/>
      <c r="AK120" s="33" t="s">
        <v>28</v>
      </c>
      <c r="AL120" s="42">
        <f>'Ciclo 4'!$W$62</f>
        <v>6</v>
      </c>
      <c r="AM120" s="42">
        <f>'Ciclo 4'!$W$117</f>
        <v>6</v>
      </c>
      <c r="AN120" s="42">
        <f>'Ciclo 4'!$W$169</f>
        <v>9</v>
      </c>
      <c r="AO120" s="42">
        <f>'Ciclo 4'!$W$208</f>
        <v>2</v>
      </c>
      <c r="AP120" s="42">
        <f>'Ciclo 4'!$W$230</f>
        <v>3</v>
      </c>
      <c r="AQ120" s="42">
        <f t="shared" ref="AQ120:AQ124" si="48">SUM(AL120:AP120)</f>
        <v>26</v>
      </c>
      <c r="AT120" s="5" t="s">
        <v>4</v>
      </c>
      <c r="AU120" s="47">
        <f t="shared" ref="AU120:AZ120" si="42">V125/(V125+AD125+AL125)</f>
        <v>0.245398773</v>
      </c>
      <c r="AV120" s="47">
        <f t="shared" si="42"/>
        <v>0.2830188679</v>
      </c>
      <c r="AW120" s="47">
        <f t="shared" si="42"/>
        <v>0.2313432836</v>
      </c>
      <c r="AX120" s="47">
        <f t="shared" si="42"/>
        <v>0.3571428571</v>
      </c>
      <c r="AY120" s="47">
        <f t="shared" si="42"/>
        <v>0.1777777778</v>
      </c>
      <c r="AZ120" s="47">
        <f t="shared" si="42"/>
        <v>0.2612781955</v>
      </c>
    </row>
    <row r="121" ht="12.75" customHeight="1">
      <c r="A121" s="36" t="s">
        <v>29</v>
      </c>
      <c r="B121" s="42">
        <f>'Ciclo 4'!G117</f>
        <v>30</v>
      </c>
      <c r="C121" s="42">
        <f>'Ciclo 4'!I117</f>
        <v>47</v>
      </c>
      <c r="D121" s="42">
        <f>'Ciclo 4'!K117</f>
        <v>29</v>
      </c>
      <c r="E121" s="42">
        <f t="shared" si="43"/>
        <v>106</v>
      </c>
      <c r="F121" s="42"/>
      <c r="G121" s="42">
        <f>'Ciclo 4'!H117</f>
        <v>2065</v>
      </c>
      <c r="H121" s="42">
        <f>'Ciclo 4'!J117</f>
        <v>3205</v>
      </c>
      <c r="I121" s="42">
        <f>'Ciclo 4'!L117</f>
        <v>1995</v>
      </c>
      <c r="J121" s="42">
        <f t="shared" si="44"/>
        <v>7265</v>
      </c>
      <c r="K121" s="42">
        <f t="shared" si="45"/>
        <v>68.53773585</v>
      </c>
      <c r="L121" s="46">
        <f>K121/SUM('1RM'!$C$4:$C$6)</f>
        <v>0.2284591195</v>
      </c>
      <c r="M121" s="40">
        <f>G121/B121/'1RM'!C4</f>
        <v>0.6883333333</v>
      </c>
      <c r="N121" s="40">
        <f>H121/C121/'1RM'!C5</f>
        <v>0.6819148936</v>
      </c>
      <c r="O121" s="40">
        <f>I121/D121/'1RM'!C6</f>
        <v>0.6879310345</v>
      </c>
      <c r="P121" s="5"/>
      <c r="Q121" s="5"/>
      <c r="R121" s="5"/>
      <c r="S121" s="5"/>
      <c r="T121" s="5"/>
      <c r="U121" s="33" t="s">
        <v>30</v>
      </c>
      <c r="V121" s="42">
        <f>'Ciclo 4'!$N$62</f>
        <v>7</v>
      </c>
      <c r="W121" s="42">
        <f>'Ciclo 4'!$N$117</f>
        <v>6</v>
      </c>
      <c r="X121" s="42">
        <f>'Ciclo 4'!$N$169</f>
        <v>6</v>
      </c>
      <c r="Y121" s="42">
        <f>'Ciclo 4'!$N$208</f>
        <v>6</v>
      </c>
      <c r="Z121" s="42">
        <f>'Ciclo 4'!$N$230</f>
        <v>2</v>
      </c>
      <c r="AA121" s="42">
        <f t="shared" si="46"/>
        <v>27</v>
      </c>
      <c r="AC121" s="33" t="s">
        <v>30</v>
      </c>
      <c r="AD121" s="42">
        <f>'Ciclo 4'!$S$62</f>
        <v>15</v>
      </c>
      <c r="AE121" s="42">
        <f>'Ciclo 4'!$S$117</f>
        <v>9</v>
      </c>
      <c r="AF121" s="42">
        <f>'Ciclo 4'!$S$169</f>
        <v>9</v>
      </c>
      <c r="AG121" s="42">
        <f>'Ciclo 4'!$S$208</f>
        <v>9</v>
      </c>
      <c r="AH121" s="42">
        <f>'Ciclo 4'!$S$230</f>
        <v>6</v>
      </c>
      <c r="AI121" s="42">
        <f t="shared" si="47"/>
        <v>48</v>
      </c>
      <c r="AJ121" s="5"/>
      <c r="AK121" s="33" t="s">
        <v>30</v>
      </c>
      <c r="AL121" s="42">
        <f>'Ciclo 4'!$X$62</f>
        <v>9</v>
      </c>
      <c r="AM121" s="42">
        <f>'Ciclo 4'!$X$117</f>
        <v>6</v>
      </c>
      <c r="AN121" s="42">
        <f>'Ciclo 4'!$X$169</f>
        <v>9</v>
      </c>
      <c r="AO121" s="42">
        <f>'Ciclo 4'!$X$208</f>
        <v>2</v>
      </c>
      <c r="AP121" s="42">
        <f>'Ciclo 4'!$X$230</f>
        <v>3</v>
      </c>
      <c r="AQ121" s="42">
        <f t="shared" si="48"/>
        <v>29</v>
      </c>
      <c r="AT121" s="5" t="s">
        <v>5</v>
      </c>
      <c r="AU121" s="47">
        <f t="shared" ref="AU121:AZ121" si="49">AD125/(V125+AD125+AL125)</f>
        <v>0.5214723926</v>
      </c>
      <c r="AV121" s="47">
        <f t="shared" si="49"/>
        <v>0.4433962264</v>
      </c>
      <c r="AW121" s="47">
        <f t="shared" si="49"/>
        <v>0.4179104478</v>
      </c>
      <c r="AX121" s="47">
        <f t="shared" si="49"/>
        <v>0.5238095238</v>
      </c>
      <c r="AY121" s="47">
        <f t="shared" si="49"/>
        <v>0.5555555556</v>
      </c>
      <c r="AZ121" s="47">
        <f t="shared" si="49"/>
        <v>0.4830827068</v>
      </c>
    </row>
    <row r="122" ht="12.75" customHeight="1">
      <c r="A122" s="36" t="s">
        <v>31</v>
      </c>
      <c r="B122" s="42">
        <f>'Ciclo 4'!G169</f>
        <v>31</v>
      </c>
      <c r="C122" s="42">
        <f>'Ciclo 4'!I169</f>
        <v>56</v>
      </c>
      <c r="D122" s="42">
        <f>'Ciclo 4'!K169</f>
        <v>47</v>
      </c>
      <c r="E122" s="42">
        <f t="shared" si="43"/>
        <v>134</v>
      </c>
      <c r="F122" s="42"/>
      <c r="G122" s="42">
        <f>'Ciclo 4'!H169</f>
        <v>2180</v>
      </c>
      <c r="H122" s="42">
        <f>'Ciclo 4'!J169</f>
        <v>3955</v>
      </c>
      <c r="I122" s="42">
        <f>'Ciclo 4'!L169</f>
        <v>3265</v>
      </c>
      <c r="J122" s="42">
        <f t="shared" si="44"/>
        <v>9400</v>
      </c>
      <c r="K122" s="42">
        <f t="shared" si="45"/>
        <v>70.14925373</v>
      </c>
      <c r="L122" s="46">
        <f>K122/SUM('1RM'!$C$4:$C$6)</f>
        <v>0.2338308458</v>
      </c>
      <c r="M122" s="40">
        <f>G122/B122/'1RM'!C4</f>
        <v>0.7032258065</v>
      </c>
      <c r="N122" s="40">
        <f>H122/C122/'1RM'!C5</f>
        <v>0.70625</v>
      </c>
      <c r="O122" s="40">
        <f>I122/D122/'1RM'!C6</f>
        <v>0.6946808511</v>
      </c>
      <c r="P122" s="5"/>
      <c r="Q122" s="5"/>
      <c r="R122" s="5"/>
      <c r="S122" s="5"/>
      <c r="T122" s="5"/>
      <c r="U122" s="33" t="s">
        <v>32</v>
      </c>
      <c r="V122" s="42">
        <f>'Ciclo 4'!$O$62</f>
        <v>6</v>
      </c>
      <c r="W122" s="42">
        <f>'Ciclo 4'!$O$117</f>
        <v>12</v>
      </c>
      <c r="X122" s="42">
        <f>'Ciclo 4'!$O$169</f>
        <v>7</v>
      </c>
      <c r="Y122" s="42">
        <f>'Ciclo 4'!$O$208</f>
        <v>10</v>
      </c>
      <c r="Z122" s="42">
        <f>'Ciclo 4'!$O$230</f>
        <v>3</v>
      </c>
      <c r="AA122" s="42">
        <f t="shared" si="46"/>
        <v>38</v>
      </c>
      <c r="AC122" s="33" t="s">
        <v>32</v>
      </c>
      <c r="AD122" s="42">
        <f>'Ciclo 4'!$T$62</f>
        <v>12</v>
      </c>
      <c r="AE122" s="42">
        <f>'Ciclo 4'!$T$117</f>
        <v>23</v>
      </c>
      <c r="AF122" s="42">
        <f>'Ciclo 4'!$T$169</f>
        <v>9</v>
      </c>
      <c r="AG122" s="42">
        <f>'Ciclo 4'!$T$208</f>
        <v>15</v>
      </c>
      <c r="AH122" s="42">
        <f>'Ciclo 4'!$T$230</f>
        <v>13</v>
      </c>
      <c r="AI122" s="42">
        <f t="shared" si="47"/>
        <v>72</v>
      </c>
      <c r="AJ122" s="5"/>
      <c r="AK122" s="33" t="s">
        <v>32</v>
      </c>
      <c r="AL122" s="42">
        <f>'Ciclo 4'!$Y$62</f>
        <v>10</v>
      </c>
      <c r="AM122" s="42">
        <f>'Ciclo 4'!$Y$117</f>
        <v>11</v>
      </c>
      <c r="AN122" s="42">
        <f>'Ciclo 4'!$Y$169</f>
        <v>15</v>
      </c>
      <c r="AO122" s="42">
        <f>'Ciclo 4'!$Y$208</f>
        <v>6</v>
      </c>
      <c r="AP122" s="42">
        <f>'Ciclo 4'!$Y$230</f>
        <v>6</v>
      </c>
      <c r="AQ122" s="42">
        <f t="shared" si="48"/>
        <v>48</v>
      </c>
      <c r="AT122" s="5" t="s">
        <v>6</v>
      </c>
      <c r="AU122" s="47">
        <f t="shared" ref="AU122:AZ122" si="50">AL125/(AL125+AD125+V125)</f>
        <v>0.2331288344</v>
      </c>
      <c r="AV122" s="47">
        <f t="shared" si="50"/>
        <v>0.2735849057</v>
      </c>
      <c r="AW122" s="47">
        <f t="shared" si="50"/>
        <v>0.3507462687</v>
      </c>
      <c r="AX122" s="47">
        <f t="shared" si="50"/>
        <v>0.119047619</v>
      </c>
      <c r="AY122" s="47">
        <f t="shared" si="50"/>
        <v>0.2666666667</v>
      </c>
      <c r="AZ122" s="47">
        <f t="shared" si="50"/>
        <v>0.2556390977</v>
      </c>
    </row>
    <row r="123" ht="12.75" customHeight="1">
      <c r="A123" s="36" t="s">
        <v>33</v>
      </c>
      <c r="B123" s="42">
        <f>'Ciclo 4'!G208</f>
        <v>30</v>
      </c>
      <c r="C123" s="42">
        <f>'Ciclo 4'!I208</f>
        <v>44</v>
      </c>
      <c r="D123" s="42">
        <f>'Ciclo 4'!K208</f>
        <v>10</v>
      </c>
      <c r="E123" s="42">
        <f t="shared" si="43"/>
        <v>84</v>
      </c>
      <c r="F123" s="42"/>
      <c r="G123" s="42">
        <f>'Ciclo 4'!H208</f>
        <v>2015</v>
      </c>
      <c r="H123" s="42">
        <f>'Ciclo 4'!J208</f>
        <v>2965</v>
      </c>
      <c r="I123" s="42">
        <f>'Ciclo 4'!L208</f>
        <v>640</v>
      </c>
      <c r="J123" s="42">
        <f t="shared" si="44"/>
        <v>5620</v>
      </c>
      <c r="K123" s="42">
        <f t="shared" si="45"/>
        <v>66.9047619</v>
      </c>
      <c r="L123" s="46">
        <f>K123/SUM('1RM'!$C$4:$C$6)</f>
        <v>0.223015873</v>
      </c>
      <c r="M123" s="40">
        <f>G123/B123/'1RM'!C4</f>
        <v>0.6716666667</v>
      </c>
      <c r="N123" s="40">
        <f>H123/C123/'1RM'!C5</f>
        <v>0.6738636364</v>
      </c>
      <c r="O123" s="40">
        <f>I123/D123/'1RM'!C6</f>
        <v>0.64</v>
      </c>
      <c r="P123" s="5"/>
      <c r="Q123" s="5"/>
      <c r="R123" s="5"/>
      <c r="S123" s="5"/>
      <c r="T123" s="5"/>
      <c r="U123" s="33" t="s">
        <v>34</v>
      </c>
      <c r="V123" s="42">
        <f>'Ciclo 4'!$P$62</f>
        <v>19</v>
      </c>
      <c r="W123" s="42">
        <f>'Ciclo 4'!$P$117</f>
        <v>2</v>
      </c>
      <c r="X123" s="42">
        <f>'Ciclo 4'!$P$169</f>
        <v>12</v>
      </c>
      <c r="Y123" s="42">
        <f>'Ciclo 4'!$P$208</f>
        <v>8</v>
      </c>
      <c r="Z123" s="42">
        <f>'Ciclo 4'!$P$230</f>
        <v>0</v>
      </c>
      <c r="AA123" s="42">
        <f t="shared" si="46"/>
        <v>41</v>
      </c>
      <c r="AC123" s="33" t="s">
        <v>34</v>
      </c>
      <c r="AD123" s="42">
        <f>'Ciclo 4'!$U$62</f>
        <v>40</v>
      </c>
      <c r="AE123" s="42">
        <f>'Ciclo 4'!$U$117</f>
        <v>2</v>
      </c>
      <c r="AF123" s="42">
        <f>'Ciclo 4'!$U$169</f>
        <v>29</v>
      </c>
      <c r="AG123" s="42">
        <f>'Ciclo 4'!$U$208</f>
        <v>11</v>
      </c>
      <c r="AH123" s="42">
        <f>'Ciclo 4'!$U$230</f>
        <v>0</v>
      </c>
      <c r="AI123" s="42">
        <f t="shared" si="47"/>
        <v>82</v>
      </c>
      <c r="AJ123" s="5"/>
      <c r="AK123" s="33" t="s">
        <v>34</v>
      </c>
      <c r="AL123" s="42">
        <f>'Ciclo 4'!$Z$62</f>
        <v>10</v>
      </c>
      <c r="AM123" s="42">
        <f>'Ciclo 4'!$Z$117</f>
        <v>2</v>
      </c>
      <c r="AN123" s="42">
        <f>'Ciclo 4'!$Z$169</f>
        <v>14</v>
      </c>
      <c r="AO123" s="42">
        <f>'Ciclo 4'!$Z$208</f>
        <v>0</v>
      </c>
      <c r="AP123" s="42">
        <f>'Ciclo 4'!$Z$230</f>
        <v>0</v>
      </c>
      <c r="AQ123" s="42">
        <f t="shared" si="48"/>
        <v>26</v>
      </c>
    </row>
    <row r="124" ht="12.75" customHeight="1">
      <c r="A124" s="36" t="s">
        <v>42</v>
      </c>
      <c r="B124" s="42">
        <f>'Ciclo 4'!G230</f>
        <v>8</v>
      </c>
      <c r="C124" s="42">
        <f>'Ciclo 4'!I230</f>
        <v>25</v>
      </c>
      <c r="D124" s="42">
        <f>'Ciclo 4'!K230</f>
        <v>12</v>
      </c>
      <c r="E124" s="42">
        <f t="shared" si="43"/>
        <v>45</v>
      </c>
      <c r="F124" s="42"/>
      <c r="G124" s="42">
        <f>'Ciclo 4'!H230</f>
        <v>480</v>
      </c>
      <c r="H124" s="42">
        <f>'Ciclo 4'!J230</f>
        <v>1585</v>
      </c>
      <c r="I124" s="42">
        <f>'Ciclo 4'!L230</f>
        <v>750</v>
      </c>
      <c r="J124" s="42">
        <f t="shared" si="44"/>
        <v>2815</v>
      </c>
      <c r="K124" s="42">
        <f t="shared" si="45"/>
        <v>62.55555556</v>
      </c>
      <c r="L124" s="46">
        <f>K124/SUM('1RM'!$C$4:$C$6)</f>
        <v>0.2085185185</v>
      </c>
      <c r="M124" s="40">
        <f>G124/B124/'1RM'!C4</f>
        <v>0.6</v>
      </c>
      <c r="N124" s="40">
        <f>H124/C124/'1RM'!C5</f>
        <v>0.634</v>
      </c>
      <c r="O124" s="40">
        <f>I124/D124/'1RM'!C6</f>
        <v>0.625</v>
      </c>
      <c r="P124" s="5"/>
      <c r="Q124" s="5"/>
      <c r="R124" s="5"/>
      <c r="S124" s="5"/>
      <c r="T124" s="5"/>
      <c r="U124" s="33" t="s">
        <v>35</v>
      </c>
      <c r="V124" s="42">
        <f>'Ciclo 4'!$Q$62</f>
        <v>0</v>
      </c>
      <c r="W124" s="42">
        <f>'Ciclo 4'!$Q$117</f>
        <v>4</v>
      </c>
      <c r="X124" s="42">
        <f>'Ciclo 4'!$Q$169</f>
        <v>0</v>
      </c>
      <c r="Y124" s="42">
        <f>'Ciclo 4'!$Q$208</f>
        <v>0</v>
      </c>
      <c r="Z124" s="42">
        <f>'Ciclo 4'!$Q$230</f>
        <v>0</v>
      </c>
      <c r="AA124" s="42">
        <f t="shared" si="46"/>
        <v>4</v>
      </c>
      <c r="AC124" s="33" t="s">
        <v>35</v>
      </c>
      <c r="AD124" s="42">
        <f>'Ciclo 4'!$V$62</f>
        <v>0</v>
      </c>
      <c r="AE124" s="42">
        <f>'Ciclo 4'!$V$117</f>
        <v>4</v>
      </c>
      <c r="AF124" s="42">
        <f>'Ciclo 4'!$V$169</f>
        <v>0</v>
      </c>
      <c r="AG124" s="42">
        <f>'Ciclo 4'!$V$208</f>
        <v>0</v>
      </c>
      <c r="AH124" s="42">
        <f>'Ciclo 4'!$V$230</f>
        <v>0</v>
      </c>
      <c r="AI124" s="42">
        <f t="shared" si="47"/>
        <v>4</v>
      </c>
      <c r="AJ124" s="5"/>
      <c r="AK124" s="33" t="s">
        <v>35</v>
      </c>
      <c r="AL124" s="42">
        <f>'Ciclo 4'!$AA$62</f>
        <v>3</v>
      </c>
      <c r="AM124" s="42">
        <f>'Ciclo 4'!$AA$117</f>
        <v>4</v>
      </c>
      <c r="AN124" s="42">
        <f>'Ciclo 4'!$AA$169</f>
        <v>0</v>
      </c>
      <c r="AO124" s="42">
        <f>'Ciclo 4'!$AA$208</f>
        <v>0</v>
      </c>
      <c r="AP124" s="42">
        <f>'Ciclo 4'!$AA$230</f>
        <v>0</v>
      </c>
      <c r="AQ124" s="42">
        <f t="shared" si="48"/>
        <v>7</v>
      </c>
    </row>
    <row r="125" ht="12.75" customHeight="1">
      <c r="A125" s="36" t="s">
        <v>7</v>
      </c>
      <c r="B125" s="42">
        <f>'Ciclo 4'!G232</f>
        <v>139</v>
      </c>
      <c r="C125" s="42">
        <f>'Ciclo 4'!I232</f>
        <v>257</v>
      </c>
      <c r="D125" s="42">
        <f>'Ciclo 4'!K232</f>
        <v>136</v>
      </c>
      <c r="E125" s="42">
        <f>SUM(E120:E124)</f>
        <v>532</v>
      </c>
      <c r="F125" s="42"/>
      <c r="G125" s="42">
        <f t="shared" ref="G125:J125" si="51">SUM(G120:G124)</f>
        <v>9515</v>
      </c>
      <c r="H125" s="42">
        <f t="shared" si="51"/>
        <v>17670</v>
      </c>
      <c r="I125" s="42">
        <f t="shared" si="51"/>
        <v>9335</v>
      </c>
      <c r="J125" s="42">
        <f t="shared" si="51"/>
        <v>36520</v>
      </c>
      <c r="K125" s="42">
        <f t="shared" si="45"/>
        <v>68.64661654</v>
      </c>
      <c r="L125" s="46">
        <f>K125/SUM('1RM'!$C$4:$C$6)</f>
        <v>0.2288220551</v>
      </c>
      <c r="M125" s="40">
        <f>G125/B125/'1RM'!C4</f>
        <v>0.6845323741</v>
      </c>
      <c r="N125" s="40">
        <f>H125/C125/'1RM'!C5</f>
        <v>0.6875486381</v>
      </c>
      <c r="O125" s="40">
        <f>I125/D125/'1RM'!C6</f>
        <v>0.6863970588</v>
      </c>
      <c r="P125" s="5"/>
      <c r="Q125" s="5"/>
      <c r="R125" s="5"/>
      <c r="S125" s="5"/>
      <c r="T125" s="5"/>
      <c r="U125" s="33" t="s">
        <v>17</v>
      </c>
      <c r="V125" s="42">
        <f t="shared" ref="V125:Z125" si="52">SUM(V120:V124)</f>
        <v>40</v>
      </c>
      <c r="W125" s="42">
        <f t="shared" si="52"/>
        <v>30</v>
      </c>
      <c r="X125" s="42">
        <f t="shared" si="52"/>
        <v>31</v>
      </c>
      <c r="Y125" s="42">
        <f t="shared" si="52"/>
        <v>30</v>
      </c>
      <c r="Z125" s="42">
        <f t="shared" si="52"/>
        <v>8</v>
      </c>
      <c r="AA125" s="42">
        <f t="shared" si="46"/>
        <v>139</v>
      </c>
      <c r="AC125" s="33" t="s">
        <v>17</v>
      </c>
      <c r="AD125" s="42">
        <f t="shared" ref="AD125:AI125" si="53">SUM(AD120:AD124)</f>
        <v>85</v>
      </c>
      <c r="AE125" s="42">
        <f t="shared" si="53"/>
        <v>47</v>
      </c>
      <c r="AF125" s="42">
        <f t="shared" si="53"/>
        <v>56</v>
      </c>
      <c r="AG125" s="42">
        <f t="shared" si="53"/>
        <v>44</v>
      </c>
      <c r="AH125" s="42">
        <f t="shared" si="53"/>
        <v>25</v>
      </c>
      <c r="AI125" s="42">
        <f t="shared" si="53"/>
        <v>257</v>
      </c>
      <c r="AJ125" s="5"/>
      <c r="AK125" s="33" t="s">
        <v>17</v>
      </c>
      <c r="AL125" s="42">
        <f t="shared" ref="AL125:AQ125" si="54">SUM(AL120:AL124)</f>
        <v>38</v>
      </c>
      <c r="AM125" s="42">
        <f t="shared" si="54"/>
        <v>29</v>
      </c>
      <c r="AN125" s="42">
        <f t="shared" si="54"/>
        <v>47</v>
      </c>
      <c r="AO125" s="42">
        <f t="shared" si="54"/>
        <v>10</v>
      </c>
      <c r="AP125" s="42">
        <f t="shared" si="54"/>
        <v>12</v>
      </c>
      <c r="AQ125" s="42">
        <f t="shared" si="54"/>
        <v>136</v>
      </c>
    </row>
    <row r="126" ht="12.75" customHeight="1">
      <c r="A126" s="5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5"/>
      <c r="M126" s="35"/>
      <c r="N126" s="35"/>
      <c r="O126" s="35"/>
      <c r="P126" s="5"/>
      <c r="Q126" s="5"/>
      <c r="R126" s="5"/>
      <c r="S126" s="5"/>
      <c r="T126" s="5"/>
      <c r="U126" s="33" t="s">
        <v>36</v>
      </c>
      <c r="V126" s="40">
        <f>M120</f>
        <v>0.69375</v>
      </c>
      <c r="W126" s="40">
        <f>M121</f>
        <v>0.6883333333</v>
      </c>
      <c r="X126" s="40">
        <f>M122</f>
        <v>0.7032258065</v>
      </c>
      <c r="Y126" s="40">
        <f>M123</f>
        <v>0.6716666667</v>
      </c>
      <c r="Z126" s="40">
        <f>M124</f>
        <v>0.6</v>
      </c>
      <c r="AA126" s="40">
        <f>M125</f>
        <v>0.6845323741</v>
      </c>
      <c r="AC126" s="33" t="s">
        <v>36</v>
      </c>
      <c r="AD126" s="40">
        <f>N120</f>
        <v>0.7011764706</v>
      </c>
      <c r="AE126" s="40">
        <f>N121</f>
        <v>0.6819148936</v>
      </c>
      <c r="AF126" s="40">
        <f>N122</f>
        <v>0.70625</v>
      </c>
      <c r="AG126" s="40">
        <f>N123</f>
        <v>0.6738636364</v>
      </c>
      <c r="AH126" s="40">
        <f>N124</f>
        <v>0.634</v>
      </c>
      <c r="AI126" s="40">
        <f>N125</f>
        <v>0.6875486381</v>
      </c>
      <c r="AJ126" s="5"/>
      <c r="AK126" s="33" t="s">
        <v>36</v>
      </c>
      <c r="AL126" s="40">
        <f>O120</f>
        <v>0.7065789474</v>
      </c>
      <c r="AM126" s="40">
        <f>O121</f>
        <v>0.6879310345</v>
      </c>
      <c r="AN126" s="40">
        <f>O122</f>
        <v>0.6946808511</v>
      </c>
      <c r="AO126" s="40">
        <f>O123</f>
        <v>0.64</v>
      </c>
      <c r="AP126" s="40">
        <f>O124</f>
        <v>0.625</v>
      </c>
      <c r="AQ126" s="40">
        <f>O125</f>
        <v>0.6863970588</v>
      </c>
    </row>
    <row r="127" ht="12.75" customHeight="1">
      <c r="A127" s="5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5"/>
      <c r="M127" s="35"/>
      <c r="N127" s="35"/>
      <c r="O127" s="35"/>
      <c r="P127" s="5"/>
      <c r="Q127" s="5"/>
      <c r="R127" s="5"/>
      <c r="S127" s="5"/>
      <c r="T127" s="5"/>
      <c r="AF127" s="5"/>
      <c r="AG127" s="5"/>
      <c r="AH127" s="5"/>
      <c r="AI127" s="5"/>
      <c r="AJ127" s="5"/>
    </row>
    <row r="128" ht="12.75" customHeight="1">
      <c r="A128" s="5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5"/>
      <c r="M128" s="35"/>
      <c r="N128" s="35"/>
      <c r="O128" s="35"/>
      <c r="P128" s="5"/>
      <c r="Q128" s="5"/>
      <c r="R128" s="5"/>
      <c r="S128" s="5"/>
      <c r="T128" s="5"/>
      <c r="AF128" s="5"/>
      <c r="AG128" s="5"/>
      <c r="AH128" s="5"/>
      <c r="AI128" s="5"/>
      <c r="AJ128" s="5"/>
    </row>
    <row r="129" ht="12.75" customHeight="1">
      <c r="A129" s="5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5"/>
      <c r="M129" s="35"/>
      <c r="N129" s="35"/>
      <c r="O129" s="35"/>
      <c r="P129" s="5"/>
      <c r="Q129" s="5"/>
      <c r="R129" s="5"/>
      <c r="S129" s="5"/>
      <c r="T129" s="5"/>
      <c r="AF129" s="5"/>
      <c r="AG129" s="5"/>
      <c r="AH129" s="5"/>
      <c r="AI129" s="5"/>
      <c r="AJ129" s="5"/>
    </row>
    <row r="130" ht="12.75" customHeight="1">
      <c r="A130" s="5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5"/>
      <c r="M130" s="35"/>
      <c r="N130" s="35"/>
      <c r="O130" s="35"/>
      <c r="P130" s="5"/>
      <c r="Q130" s="5"/>
      <c r="R130" s="5"/>
      <c r="S130" s="5"/>
      <c r="T130" s="5"/>
      <c r="AF130" s="5"/>
      <c r="AG130" s="5"/>
      <c r="AH130" s="5"/>
      <c r="AI130" s="5"/>
      <c r="AJ130" s="5"/>
    </row>
    <row r="131" ht="12.75" customHeight="1">
      <c r="A131" s="5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5"/>
      <c r="M131" s="35"/>
      <c r="N131" s="35"/>
      <c r="O131" s="35"/>
      <c r="P131" s="5"/>
      <c r="Q131" s="5"/>
      <c r="R131" s="5"/>
      <c r="S131" s="5"/>
      <c r="T131" s="5"/>
      <c r="AF131" s="5"/>
      <c r="AG131" s="5"/>
      <c r="AH131" s="5"/>
      <c r="AI131" s="5"/>
      <c r="AJ131" s="5"/>
    </row>
    <row r="132" ht="12.75" customHeight="1">
      <c r="A132" s="5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5"/>
      <c r="M132" s="35"/>
      <c r="N132" s="35"/>
      <c r="O132" s="35"/>
      <c r="P132" s="5"/>
      <c r="Q132" s="5"/>
      <c r="R132" s="5"/>
      <c r="S132" s="5"/>
      <c r="T132" s="5"/>
      <c r="AF132" s="5"/>
      <c r="AG132" s="5"/>
      <c r="AH132" s="5"/>
      <c r="AI132" s="5"/>
      <c r="AJ132" s="5"/>
    </row>
    <row r="133" ht="12.75" customHeight="1">
      <c r="A133" s="5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5"/>
      <c r="M133" s="35"/>
      <c r="N133" s="35"/>
      <c r="O133" s="35"/>
      <c r="P133" s="5"/>
      <c r="Q133" s="5"/>
      <c r="R133" s="5"/>
      <c r="S133" s="5"/>
      <c r="T133" s="5"/>
      <c r="AF133" s="5"/>
      <c r="AG133" s="5"/>
      <c r="AH133" s="5"/>
      <c r="AI133" s="5"/>
      <c r="AJ133" s="5"/>
    </row>
    <row r="134" ht="12.75" customHeight="1">
      <c r="A134" s="5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5"/>
      <c r="M134" s="35"/>
      <c r="N134" s="35"/>
      <c r="O134" s="35"/>
      <c r="P134" s="5"/>
      <c r="Q134" s="5"/>
      <c r="R134" s="5"/>
      <c r="S134" s="5"/>
      <c r="T134" s="5"/>
      <c r="AF134" s="5"/>
      <c r="AG134" s="5"/>
      <c r="AH134" s="5"/>
      <c r="AI134" s="5"/>
      <c r="AJ134" s="5"/>
    </row>
    <row r="135" ht="12.75" customHeight="1">
      <c r="A135" s="5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5"/>
      <c r="M135" s="35"/>
      <c r="N135" s="35"/>
      <c r="O135" s="35"/>
      <c r="P135" s="5"/>
      <c r="Q135" s="5"/>
      <c r="R135" s="5"/>
      <c r="S135" s="5"/>
      <c r="T135" s="5"/>
      <c r="AF135" s="5"/>
      <c r="AG135" s="5"/>
      <c r="AH135" s="5"/>
      <c r="AI135" s="5"/>
      <c r="AJ135" s="5"/>
    </row>
    <row r="136" ht="12.75" customHeight="1">
      <c r="A136" s="5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5"/>
      <c r="M136" s="35"/>
      <c r="N136" s="35"/>
      <c r="O136" s="35"/>
      <c r="P136" s="5"/>
      <c r="Q136" s="5"/>
      <c r="R136" s="5"/>
      <c r="S136" s="5"/>
      <c r="T136" s="5"/>
      <c r="AF136" s="5"/>
      <c r="AG136" s="5"/>
      <c r="AH136" s="5"/>
      <c r="AI136" s="5"/>
      <c r="AJ136" s="5"/>
    </row>
    <row r="137" ht="12.75" customHeight="1">
      <c r="A137" s="5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5"/>
      <c r="M137" s="35"/>
      <c r="N137" s="35"/>
      <c r="O137" s="35"/>
      <c r="P137" s="5"/>
      <c r="Q137" s="5"/>
      <c r="R137" s="5"/>
      <c r="S137" s="5"/>
      <c r="T137" s="5"/>
      <c r="AF137" s="5"/>
      <c r="AG137" s="5"/>
      <c r="AH137" s="5"/>
      <c r="AI137" s="5"/>
      <c r="AJ137" s="5"/>
    </row>
    <row r="138" ht="12.75" customHeight="1">
      <c r="A138" s="36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5"/>
      <c r="M138" s="35"/>
      <c r="N138" s="35"/>
      <c r="O138" s="35"/>
      <c r="P138" s="5"/>
      <c r="Q138" s="5"/>
      <c r="R138" s="5"/>
      <c r="S138" s="5"/>
      <c r="T138" s="5"/>
      <c r="AF138" s="5"/>
      <c r="AG138" s="5"/>
      <c r="AH138" s="5"/>
      <c r="AI138" s="5"/>
      <c r="AJ138" s="5"/>
    </row>
    <row r="139" ht="12.75" customHeight="1">
      <c r="A139" s="5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5"/>
      <c r="M139" s="35"/>
      <c r="N139" s="35"/>
      <c r="O139" s="35"/>
      <c r="P139" s="5"/>
      <c r="Q139" s="5"/>
      <c r="R139" s="5"/>
      <c r="S139" s="5"/>
      <c r="T139" s="5"/>
      <c r="AF139" s="5"/>
      <c r="AG139" s="5"/>
      <c r="AH139" s="5"/>
      <c r="AI139" s="5"/>
      <c r="AJ139" s="5"/>
    </row>
    <row r="140" ht="12.75" customHeight="1">
      <c r="A140" s="5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5"/>
      <c r="M140" s="35"/>
      <c r="N140" s="35"/>
      <c r="O140" s="35"/>
      <c r="P140" s="5"/>
      <c r="Q140" s="5"/>
      <c r="R140" s="5"/>
      <c r="S140" s="5"/>
      <c r="T140" s="5"/>
      <c r="AF140" s="5"/>
      <c r="AG140" s="5"/>
      <c r="AH140" s="5"/>
      <c r="AI140" s="5"/>
      <c r="AJ140" s="5"/>
    </row>
    <row r="141" ht="12.75" customHeight="1">
      <c r="A141" s="5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5"/>
      <c r="M141" s="35"/>
      <c r="N141" s="35"/>
      <c r="O141" s="35"/>
      <c r="P141" s="5"/>
      <c r="Q141" s="5"/>
      <c r="R141" s="5"/>
      <c r="S141" s="5"/>
      <c r="T141" s="5"/>
      <c r="AF141" s="5"/>
      <c r="AG141" s="5"/>
      <c r="AH141" s="5"/>
      <c r="AI141" s="5"/>
      <c r="AJ141" s="5"/>
    </row>
    <row r="142" ht="12.75" customHeight="1">
      <c r="A142" s="5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5"/>
      <c r="M142" s="35"/>
      <c r="N142" s="35"/>
      <c r="O142" s="35"/>
      <c r="P142" s="5"/>
      <c r="Q142" s="5"/>
      <c r="R142" s="5"/>
      <c r="S142" s="5"/>
      <c r="T142" s="5"/>
      <c r="AF142" s="5"/>
      <c r="AG142" s="5"/>
      <c r="AH142" s="5"/>
      <c r="AI142" s="5"/>
      <c r="AJ142" s="5"/>
    </row>
    <row r="143" ht="12.75" customHeight="1">
      <c r="A143" s="5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5"/>
      <c r="M143" s="35"/>
      <c r="N143" s="35"/>
      <c r="O143" s="35"/>
      <c r="P143" s="5"/>
      <c r="Q143" s="5"/>
      <c r="R143" s="5"/>
      <c r="S143" s="5"/>
      <c r="T143" s="5"/>
      <c r="AF143" s="5"/>
      <c r="AG143" s="5"/>
      <c r="AH143" s="5"/>
      <c r="AI143" s="5"/>
      <c r="AJ143" s="5"/>
    </row>
    <row r="144" ht="12.75" customHeight="1">
      <c r="A144" s="5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5"/>
      <c r="M144" s="35"/>
      <c r="N144" s="35"/>
      <c r="O144" s="35"/>
      <c r="P144" s="5"/>
      <c r="Q144" s="5"/>
      <c r="R144" s="5"/>
      <c r="S144" s="5"/>
      <c r="T144" s="5"/>
      <c r="AF144" s="5"/>
      <c r="AG144" s="5"/>
      <c r="AH144" s="5"/>
      <c r="AI144" s="5"/>
      <c r="AJ144" s="5"/>
    </row>
    <row r="145" ht="12.75" customHeight="1">
      <c r="A145" s="5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5"/>
      <c r="M145" s="35"/>
      <c r="N145" s="35"/>
      <c r="O145" s="35"/>
      <c r="P145" s="5"/>
      <c r="Q145" s="5"/>
      <c r="R145" s="5"/>
      <c r="S145" s="5"/>
      <c r="T145" s="5"/>
      <c r="AF145" s="5"/>
      <c r="AG145" s="5"/>
      <c r="AH145" s="5"/>
      <c r="AI145" s="5"/>
      <c r="AJ145" s="5"/>
    </row>
    <row r="146" ht="12.75" customHeight="1">
      <c r="A146" s="5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5"/>
      <c r="M146" s="35"/>
      <c r="N146" s="35"/>
      <c r="O146" s="35"/>
      <c r="P146" s="5"/>
      <c r="Q146" s="5"/>
      <c r="R146" s="5"/>
      <c r="S146" s="5"/>
      <c r="T146" s="5"/>
      <c r="AF146" s="5"/>
      <c r="AG146" s="5"/>
      <c r="AH146" s="5"/>
      <c r="AI146" s="5"/>
      <c r="AJ146" s="5"/>
    </row>
    <row r="147" ht="12.75" customHeight="1">
      <c r="A147" s="5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5"/>
      <c r="M147" s="35"/>
      <c r="N147" s="35"/>
      <c r="O147" s="35"/>
      <c r="P147" s="5"/>
      <c r="Q147" s="5"/>
      <c r="R147" s="5"/>
      <c r="S147" s="5"/>
      <c r="T147" s="5"/>
      <c r="AF147" s="5"/>
      <c r="AG147" s="5"/>
      <c r="AH147" s="5"/>
      <c r="AI147" s="5"/>
      <c r="AJ147" s="5"/>
    </row>
    <row r="148" ht="12.75" customHeight="1">
      <c r="A148" s="5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5"/>
      <c r="M148" s="35"/>
      <c r="N148" s="35"/>
      <c r="O148" s="35"/>
      <c r="P148" s="5"/>
      <c r="Q148" s="5"/>
      <c r="R148" s="5"/>
      <c r="S148" s="5"/>
      <c r="T148" s="5"/>
      <c r="AF148" s="5"/>
      <c r="AG148" s="5"/>
      <c r="AH148" s="5"/>
      <c r="AI148" s="5"/>
      <c r="AJ148" s="5"/>
    </row>
    <row r="149" ht="12.75" customHeight="1">
      <c r="A149" s="5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5"/>
      <c r="M149" s="35"/>
      <c r="N149" s="35"/>
      <c r="O149" s="35"/>
      <c r="P149" s="5"/>
      <c r="Q149" s="5"/>
      <c r="R149" s="5"/>
      <c r="S149" s="5"/>
      <c r="T149" s="5"/>
      <c r="AF149" s="5"/>
      <c r="AG149" s="5"/>
      <c r="AH149" s="5"/>
      <c r="AI149" s="5"/>
      <c r="AJ149" s="5"/>
    </row>
    <row r="150" ht="12.75" customHeight="1">
      <c r="A150" s="5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5"/>
      <c r="M150" s="35"/>
      <c r="N150" s="35"/>
      <c r="O150" s="35"/>
      <c r="P150" s="5"/>
      <c r="Q150" s="5"/>
      <c r="R150" s="5"/>
      <c r="S150" s="5"/>
      <c r="T150" s="5"/>
      <c r="AF150" s="5"/>
      <c r="AG150" s="5"/>
      <c r="AH150" s="5"/>
      <c r="AI150" s="5"/>
      <c r="AJ150" s="5"/>
    </row>
    <row r="151" ht="12.75" customHeight="1">
      <c r="A151" s="5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5"/>
      <c r="M151" s="35"/>
      <c r="N151" s="35"/>
      <c r="O151" s="35"/>
      <c r="P151" s="5"/>
      <c r="Q151" s="5"/>
      <c r="R151" s="5"/>
      <c r="S151" s="5"/>
      <c r="T151" s="5"/>
      <c r="AF151" s="5"/>
      <c r="AG151" s="5"/>
      <c r="AH151" s="5"/>
      <c r="AI151" s="5"/>
      <c r="AJ151" s="5"/>
    </row>
    <row r="152" ht="12.75" customHeight="1">
      <c r="A152" s="5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5"/>
      <c r="M152" s="35"/>
      <c r="N152" s="35"/>
      <c r="O152" s="35"/>
      <c r="P152" s="5"/>
      <c r="Q152" s="5"/>
      <c r="R152" s="5"/>
      <c r="S152" s="5"/>
      <c r="T152" s="5"/>
      <c r="AF152" s="5"/>
      <c r="AG152" s="5"/>
      <c r="AH152" s="5"/>
      <c r="AI152" s="5"/>
      <c r="AJ152" s="5"/>
    </row>
    <row r="153" ht="12.75" customHeight="1">
      <c r="A153" s="5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5"/>
      <c r="M153" s="35"/>
      <c r="N153" s="35"/>
      <c r="O153" s="35"/>
      <c r="P153" s="5"/>
      <c r="Q153" s="5"/>
      <c r="R153" s="5"/>
      <c r="S153" s="5"/>
      <c r="T153" s="5"/>
      <c r="AF153" s="5"/>
      <c r="AG153" s="5"/>
      <c r="AH153" s="5"/>
      <c r="AI153" s="5"/>
      <c r="AJ153" s="5"/>
    </row>
    <row r="154" ht="12.75" customHeight="1">
      <c r="A154" s="5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5"/>
      <c r="M154" s="35"/>
      <c r="N154" s="35"/>
      <c r="O154" s="35"/>
      <c r="P154" s="5"/>
      <c r="Q154" s="5"/>
      <c r="R154" s="5"/>
      <c r="S154" s="5"/>
      <c r="T154" s="5"/>
      <c r="AF154" s="5"/>
      <c r="AG154" s="5"/>
      <c r="AH154" s="5"/>
      <c r="AI154" s="5"/>
      <c r="AJ154" s="5"/>
    </row>
    <row r="155" ht="12.75" customHeight="1">
      <c r="A155" s="5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5"/>
      <c r="M155" s="35"/>
      <c r="N155" s="35"/>
      <c r="O155" s="35"/>
      <c r="P155" s="5"/>
      <c r="Q155" s="5"/>
      <c r="R155" s="5"/>
      <c r="S155" s="5"/>
      <c r="T155" s="5"/>
      <c r="AF155" s="5"/>
      <c r="AG155" s="5"/>
      <c r="AH155" s="5"/>
      <c r="AI155" s="5"/>
      <c r="AJ155" s="5"/>
    </row>
    <row r="156" ht="12.75" customHeight="1">
      <c r="A156" s="5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5"/>
      <c r="M156" s="35"/>
      <c r="N156" s="35"/>
      <c r="O156" s="35"/>
      <c r="P156" s="5"/>
      <c r="Q156" s="5"/>
      <c r="R156" s="5"/>
      <c r="S156" s="5"/>
      <c r="T156" s="5"/>
      <c r="AF156" s="5"/>
      <c r="AG156" s="5"/>
      <c r="AH156" s="5"/>
      <c r="AI156" s="5"/>
      <c r="AJ156" s="5"/>
    </row>
    <row r="157" ht="12.75" customHeight="1">
      <c r="A157" s="5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5"/>
      <c r="M157" s="35"/>
      <c r="N157" s="35"/>
      <c r="O157" s="35"/>
      <c r="P157" s="5"/>
      <c r="Q157" s="5"/>
      <c r="R157" s="5"/>
      <c r="S157" s="5"/>
      <c r="T157" s="5"/>
      <c r="AF157" s="5"/>
      <c r="AG157" s="5"/>
      <c r="AH157" s="5"/>
      <c r="AI157" s="5"/>
      <c r="AJ157" s="5"/>
    </row>
    <row r="158" ht="12.75" customHeight="1">
      <c r="A158" s="5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5"/>
      <c r="M158" s="35"/>
      <c r="N158" s="35"/>
      <c r="O158" s="35"/>
      <c r="P158" s="5"/>
      <c r="Q158" s="5"/>
      <c r="R158" s="5"/>
      <c r="S158" s="5"/>
      <c r="T158" s="5"/>
      <c r="AF158" s="5"/>
      <c r="AG158" s="5"/>
      <c r="AH158" s="5"/>
      <c r="AI158" s="5"/>
      <c r="AJ158" s="5"/>
    </row>
    <row r="159" ht="12.75" customHeight="1">
      <c r="A159" s="5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5"/>
      <c r="M159" s="35"/>
      <c r="N159" s="35"/>
      <c r="O159" s="35"/>
      <c r="P159" s="5"/>
      <c r="Q159" s="5"/>
      <c r="R159" s="5"/>
      <c r="S159" s="5"/>
      <c r="T159" s="5"/>
      <c r="AF159" s="5"/>
      <c r="AG159" s="5"/>
      <c r="AH159" s="5"/>
      <c r="AI159" s="5"/>
      <c r="AJ159" s="5"/>
    </row>
    <row r="160" ht="12.75" customHeight="1">
      <c r="A160" s="5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5"/>
      <c r="M160" s="35"/>
      <c r="N160" s="35"/>
      <c r="O160" s="35"/>
      <c r="P160" s="5"/>
      <c r="Q160" s="5"/>
      <c r="R160" s="5"/>
      <c r="S160" s="5"/>
      <c r="T160" s="5"/>
      <c r="AF160" s="5"/>
      <c r="AG160" s="5"/>
      <c r="AH160" s="5"/>
      <c r="AI160" s="5"/>
      <c r="AJ160" s="5"/>
    </row>
    <row r="161" ht="12.75" customHeight="1">
      <c r="A161" s="5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5"/>
      <c r="M161" s="35"/>
      <c r="N161" s="35"/>
      <c r="O161" s="35"/>
      <c r="P161" s="5"/>
      <c r="Q161" s="5"/>
      <c r="R161" s="5"/>
      <c r="S161" s="5"/>
      <c r="T161" s="5"/>
      <c r="AF161" s="5"/>
      <c r="AG161" s="5"/>
      <c r="AH161" s="5"/>
      <c r="AI161" s="5"/>
      <c r="AJ161" s="5"/>
    </row>
    <row r="162" ht="12.75" customHeight="1">
      <c r="A162" s="5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5"/>
      <c r="M162" s="35"/>
      <c r="N162" s="35"/>
      <c r="O162" s="35"/>
      <c r="P162" s="5"/>
      <c r="Q162" s="5"/>
      <c r="R162" s="5"/>
      <c r="S162" s="5"/>
      <c r="T162" s="5"/>
      <c r="AF162" s="5"/>
      <c r="AG162" s="5"/>
      <c r="AH162" s="5"/>
      <c r="AI162" s="5"/>
      <c r="AJ162" s="5"/>
    </row>
    <row r="163" ht="12.75" customHeight="1">
      <c r="A163" s="5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5"/>
      <c r="M163" s="35"/>
      <c r="N163" s="35"/>
      <c r="O163" s="35"/>
      <c r="P163" s="5"/>
      <c r="Q163" s="5"/>
      <c r="R163" s="5"/>
      <c r="S163" s="5"/>
      <c r="T163" s="5"/>
      <c r="AF163" s="5"/>
      <c r="AG163" s="5"/>
      <c r="AH163" s="5"/>
      <c r="AI163" s="5"/>
      <c r="AJ163" s="5"/>
    </row>
    <row r="164" ht="12.75" customHeight="1">
      <c r="A164" s="5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5"/>
      <c r="M164" s="35"/>
      <c r="N164" s="35"/>
      <c r="O164" s="35"/>
      <c r="P164" s="5"/>
      <c r="Q164" s="5"/>
      <c r="R164" s="5"/>
      <c r="S164" s="5"/>
      <c r="T164" s="5"/>
      <c r="AF164" s="5"/>
      <c r="AG164" s="5"/>
      <c r="AH164" s="5"/>
      <c r="AI164" s="5"/>
      <c r="AJ164" s="5"/>
    </row>
    <row r="165" ht="12.75" customHeight="1">
      <c r="A165" s="5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5"/>
      <c r="M165" s="35"/>
      <c r="N165" s="35"/>
      <c r="O165" s="35"/>
      <c r="P165" s="5"/>
      <c r="Q165" s="5"/>
      <c r="R165" s="5"/>
      <c r="S165" s="5"/>
      <c r="T165" s="5"/>
      <c r="AF165" s="5"/>
      <c r="AG165" s="5"/>
      <c r="AH165" s="5"/>
      <c r="AI165" s="5"/>
      <c r="AJ165" s="5"/>
    </row>
    <row r="166" ht="12.75" customHeight="1">
      <c r="A166" s="5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5"/>
      <c r="M166" s="35"/>
      <c r="N166" s="35"/>
      <c r="O166" s="35"/>
      <c r="P166" s="5"/>
      <c r="Q166" s="5"/>
      <c r="R166" s="5"/>
      <c r="S166" s="5"/>
      <c r="T166" s="5"/>
      <c r="AF166" s="5"/>
      <c r="AG166" s="5"/>
      <c r="AH166" s="5"/>
      <c r="AI166" s="5"/>
      <c r="AJ166" s="5"/>
    </row>
    <row r="167" ht="12.75" customHeight="1">
      <c r="A167" s="5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5"/>
      <c r="M167" s="35"/>
      <c r="N167" s="35"/>
      <c r="O167" s="35"/>
      <c r="P167" s="5"/>
      <c r="Q167" s="5"/>
      <c r="R167" s="5"/>
      <c r="S167" s="5"/>
      <c r="T167" s="5"/>
      <c r="AF167" s="5"/>
      <c r="AG167" s="5"/>
      <c r="AH167" s="5"/>
      <c r="AI167" s="5"/>
      <c r="AJ167" s="5"/>
    </row>
    <row r="168" ht="12.75" customHeight="1">
      <c r="A168" s="5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5"/>
      <c r="M168" s="35"/>
      <c r="N168" s="35"/>
      <c r="O168" s="35"/>
      <c r="P168" s="5"/>
      <c r="Q168" s="5"/>
      <c r="R168" s="5"/>
      <c r="S168" s="5"/>
      <c r="T168" s="5"/>
      <c r="AF168" s="5"/>
      <c r="AG168" s="5"/>
      <c r="AH168" s="5"/>
      <c r="AI168" s="5"/>
      <c r="AJ168" s="5"/>
    </row>
    <row r="169" ht="12.75" customHeight="1">
      <c r="A169" s="5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5"/>
      <c r="M169" s="35"/>
      <c r="N169" s="35"/>
      <c r="O169" s="35"/>
      <c r="P169" s="5"/>
      <c r="Q169" s="5"/>
      <c r="R169" s="5"/>
      <c r="S169" s="5"/>
      <c r="T169" s="5"/>
      <c r="AF169" s="5"/>
      <c r="AG169" s="5"/>
      <c r="AH169" s="5"/>
      <c r="AI169" s="5"/>
      <c r="AJ169" s="5"/>
    </row>
    <row r="170" ht="12.75" customHeight="1">
      <c r="A170" s="5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5"/>
      <c r="M170" s="35"/>
      <c r="N170" s="35"/>
      <c r="O170" s="35"/>
      <c r="P170" s="5"/>
      <c r="Q170" s="5"/>
      <c r="R170" s="5"/>
      <c r="S170" s="5"/>
      <c r="T170" s="5"/>
      <c r="AF170" s="5"/>
      <c r="AG170" s="5"/>
      <c r="AH170" s="5"/>
      <c r="AI170" s="5"/>
      <c r="AJ170" s="5"/>
    </row>
    <row r="171" ht="12.75" customHeight="1">
      <c r="A171" s="5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5"/>
      <c r="M171" s="35"/>
      <c r="N171" s="35"/>
      <c r="O171" s="35"/>
      <c r="P171" s="5"/>
      <c r="Q171" s="5"/>
      <c r="R171" s="5"/>
      <c r="S171" s="5"/>
      <c r="T171" s="5"/>
      <c r="AF171" s="5"/>
      <c r="AG171" s="5"/>
      <c r="AH171" s="5"/>
      <c r="AI171" s="5"/>
      <c r="AJ171" s="5"/>
    </row>
    <row r="172" ht="12.75" customHeight="1">
      <c r="A172" s="5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5"/>
      <c r="M172" s="35"/>
      <c r="N172" s="35"/>
      <c r="O172" s="35"/>
      <c r="P172" s="5"/>
      <c r="Q172" s="5"/>
      <c r="R172" s="5"/>
      <c r="S172" s="5"/>
      <c r="T172" s="5"/>
      <c r="AF172" s="5"/>
      <c r="AG172" s="5"/>
      <c r="AH172" s="5"/>
      <c r="AI172" s="5"/>
      <c r="AJ172" s="5"/>
    </row>
    <row r="173" ht="12.75" customHeight="1">
      <c r="A173" s="5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5"/>
      <c r="M173" s="35"/>
      <c r="N173" s="35"/>
      <c r="O173" s="35"/>
      <c r="P173" s="5"/>
      <c r="Q173" s="5"/>
      <c r="R173" s="5"/>
      <c r="S173" s="5"/>
      <c r="T173" s="5"/>
      <c r="AF173" s="5"/>
      <c r="AG173" s="5"/>
      <c r="AH173" s="5"/>
      <c r="AI173" s="5"/>
      <c r="AJ173" s="5"/>
    </row>
    <row r="174" ht="12.75" customHeight="1">
      <c r="A174" s="5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5"/>
      <c r="M174" s="35"/>
      <c r="N174" s="35"/>
      <c r="O174" s="35"/>
      <c r="P174" s="5"/>
      <c r="Q174" s="5"/>
      <c r="R174" s="5"/>
      <c r="S174" s="5"/>
      <c r="T174" s="5"/>
      <c r="AF174" s="5"/>
      <c r="AG174" s="5"/>
      <c r="AH174" s="5"/>
      <c r="AI174" s="5"/>
      <c r="AJ174" s="5"/>
    </row>
    <row r="175" ht="12.75" customHeight="1">
      <c r="A175" s="5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5"/>
      <c r="M175" s="35"/>
      <c r="N175" s="35"/>
      <c r="O175" s="35"/>
      <c r="P175" s="5"/>
      <c r="Q175" s="5"/>
      <c r="R175" s="5"/>
      <c r="S175" s="5"/>
      <c r="T175" s="5"/>
      <c r="AF175" s="5"/>
      <c r="AG175" s="5"/>
      <c r="AH175" s="5"/>
      <c r="AI175" s="5"/>
      <c r="AJ175" s="5"/>
    </row>
    <row r="176" ht="12.75" customHeight="1">
      <c r="A176" s="5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5"/>
      <c r="M176" s="35"/>
      <c r="N176" s="35"/>
      <c r="O176" s="35"/>
      <c r="P176" s="5"/>
      <c r="Q176" s="5"/>
      <c r="R176" s="5"/>
      <c r="S176" s="5"/>
      <c r="T176" s="5"/>
      <c r="AF176" s="5"/>
      <c r="AG176" s="5"/>
      <c r="AH176" s="5"/>
      <c r="AI176" s="5"/>
      <c r="AJ176" s="5"/>
    </row>
    <row r="177" ht="12.75" customHeight="1">
      <c r="A177" s="5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5"/>
      <c r="M177" s="35"/>
      <c r="N177" s="35"/>
      <c r="O177" s="35"/>
      <c r="P177" s="5"/>
      <c r="Q177" s="5"/>
      <c r="R177" s="5"/>
      <c r="S177" s="5"/>
      <c r="T177" s="5"/>
      <c r="AF177" s="5"/>
      <c r="AG177" s="5"/>
      <c r="AH177" s="5"/>
      <c r="AI177" s="5"/>
      <c r="AJ177" s="5"/>
    </row>
    <row r="178" ht="12.75" customHeight="1">
      <c r="A178" s="5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5"/>
      <c r="M178" s="35"/>
      <c r="N178" s="35"/>
      <c r="O178" s="35"/>
      <c r="P178" s="5"/>
      <c r="Q178" s="5"/>
      <c r="R178" s="5"/>
      <c r="S178" s="5"/>
      <c r="T178" s="5"/>
      <c r="AF178" s="5"/>
      <c r="AG178" s="5"/>
      <c r="AH178" s="5"/>
      <c r="AI178" s="5"/>
      <c r="AJ178" s="5"/>
    </row>
    <row r="179" ht="12.75" customHeight="1">
      <c r="A179" s="5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5"/>
      <c r="M179" s="35"/>
      <c r="N179" s="35"/>
      <c r="O179" s="35"/>
      <c r="P179" s="5"/>
      <c r="Q179" s="5"/>
      <c r="R179" s="5"/>
      <c r="S179" s="5"/>
      <c r="T179" s="5"/>
      <c r="AF179" s="5"/>
      <c r="AG179" s="5"/>
      <c r="AH179" s="5"/>
      <c r="AI179" s="5"/>
      <c r="AJ179" s="5"/>
    </row>
    <row r="180" ht="12.75" customHeight="1">
      <c r="A180" s="5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5"/>
      <c r="M180" s="35"/>
      <c r="N180" s="35"/>
      <c r="O180" s="35"/>
      <c r="P180" s="5"/>
      <c r="Q180" s="5"/>
      <c r="R180" s="5"/>
      <c r="S180" s="5"/>
      <c r="T180" s="5"/>
      <c r="AF180" s="5"/>
      <c r="AG180" s="5"/>
      <c r="AH180" s="5"/>
      <c r="AI180" s="5"/>
      <c r="AJ180" s="5"/>
    </row>
    <row r="181" ht="12.75" customHeight="1">
      <c r="A181" s="5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5"/>
      <c r="M181" s="35"/>
      <c r="N181" s="35"/>
      <c r="O181" s="35"/>
      <c r="P181" s="5"/>
      <c r="Q181" s="5"/>
      <c r="R181" s="5"/>
      <c r="S181" s="5"/>
      <c r="T181" s="5"/>
      <c r="AF181" s="5"/>
      <c r="AG181" s="5"/>
      <c r="AH181" s="5"/>
      <c r="AI181" s="5"/>
      <c r="AJ181" s="5"/>
    </row>
    <row r="182" ht="12.75" customHeight="1">
      <c r="A182" s="5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5"/>
      <c r="M182" s="35"/>
      <c r="N182" s="35"/>
      <c r="O182" s="35"/>
      <c r="P182" s="5"/>
      <c r="Q182" s="5"/>
      <c r="R182" s="5"/>
      <c r="S182" s="5"/>
      <c r="T182" s="5"/>
      <c r="AF182" s="5"/>
      <c r="AG182" s="5"/>
      <c r="AH182" s="5"/>
      <c r="AI182" s="5"/>
      <c r="AJ182" s="5"/>
    </row>
    <row r="183" ht="12.75" customHeight="1">
      <c r="A183" s="5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5"/>
      <c r="M183" s="35"/>
      <c r="N183" s="35"/>
      <c r="O183" s="35"/>
      <c r="P183" s="5"/>
      <c r="Q183" s="5"/>
      <c r="R183" s="5"/>
      <c r="S183" s="5"/>
      <c r="T183" s="5"/>
      <c r="AF183" s="5"/>
      <c r="AG183" s="5"/>
      <c r="AH183" s="5"/>
      <c r="AI183" s="5"/>
      <c r="AJ183" s="5"/>
    </row>
    <row r="184" ht="12.75" customHeight="1">
      <c r="A184" s="5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5"/>
      <c r="M184" s="35"/>
      <c r="N184" s="35"/>
      <c r="O184" s="35"/>
      <c r="P184" s="5"/>
      <c r="Q184" s="5"/>
      <c r="R184" s="5"/>
      <c r="S184" s="5"/>
      <c r="T184" s="5"/>
      <c r="AF184" s="5"/>
      <c r="AG184" s="5"/>
      <c r="AH184" s="5"/>
      <c r="AI184" s="5"/>
      <c r="AJ184" s="5"/>
    </row>
    <row r="185" ht="12.75" customHeight="1">
      <c r="A185" s="5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5"/>
      <c r="M185" s="35"/>
      <c r="N185" s="35"/>
      <c r="O185" s="35"/>
      <c r="P185" s="5"/>
      <c r="Q185" s="5"/>
      <c r="R185" s="5"/>
      <c r="S185" s="5"/>
      <c r="T185" s="5"/>
      <c r="AF185" s="5"/>
      <c r="AG185" s="5"/>
      <c r="AH185" s="5"/>
      <c r="AI185" s="5"/>
      <c r="AJ185" s="5"/>
    </row>
    <row r="186" ht="12.75" customHeight="1">
      <c r="A186" s="5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5"/>
      <c r="M186" s="35"/>
      <c r="N186" s="35"/>
      <c r="O186" s="35"/>
      <c r="P186" s="5"/>
      <c r="Q186" s="5"/>
      <c r="R186" s="5"/>
      <c r="S186" s="5"/>
      <c r="T186" s="5"/>
      <c r="AF186" s="5"/>
      <c r="AG186" s="5"/>
      <c r="AH186" s="5"/>
      <c r="AI186" s="5"/>
      <c r="AJ186" s="5"/>
    </row>
    <row r="187" ht="12.75" customHeight="1">
      <c r="A187" s="5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5"/>
      <c r="M187" s="35"/>
      <c r="N187" s="35"/>
      <c r="O187" s="35"/>
      <c r="P187" s="5"/>
      <c r="Q187" s="5"/>
      <c r="R187" s="5"/>
      <c r="S187" s="5"/>
      <c r="T187" s="5"/>
      <c r="AF187" s="5"/>
      <c r="AG187" s="5"/>
      <c r="AH187" s="5"/>
      <c r="AI187" s="5"/>
      <c r="AJ187" s="5"/>
    </row>
    <row r="188" ht="12.75" customHeight="1">
      <c r="A188" s="5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5"/>
      <c r="M188" s="35"/>
      <c r="N188" s="35"/>
      <c r="O188" s="35"/>
      <c r="P188" s="5"/>
      <c r="Q188" s="5"/>
      <c r="R188" s="5"/>
      <c r="S188" s="5"/>
      <c r="T188" s="5"/>
      <c r="AF188" s="5"/>
      <c r="AG188" s="5"/>
      <c r="AH188" s="5"/>
      <c r="AI188" s="5"/>
      <c r="AJ188" s="5"/>
    </row>
    <row r="189" ht="12.75" customHeight="1">
      <c r="A189" s="5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5"/>
      <c r="M189" s="35"/>
      <c r="N189" s="35"/>
      <c r="O189" s="35"/>
      <c r="P189" s="5"/>
      <c r="Q189" s="5"/>
      <c r="R189" s="5"/>
      <c r="S189" s="5"/>
      <c r="T189" s="5"/>
      <c r="AF189" s="5"/>
      <c r="AG189" s="5"/>
      <c r="AH189" s="5"/>
      <c r="AI189" s="5"/>
      <c r="AJ189" s="5"/>
    </row>
    <row r="190" ht="12.75" customHeight="1">
      <c r="A190" s="5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5"/>
      <c r="M190" s="35"/>
      <c r="N190" s="35"/>
      <c r="O190" s="35"/>
      <c r="P190" s="5"/>
      <c r="Q190" s="5"/>
      <c r="R190" s="5"/>
      <c r="S190" s="5"/>
      <c r="T190" s="5"/>
      <c r="AF190" s="5"/>
      <c r="AG190" s="5"/>
      <c r="AH190" s="5"/>
      <c r="AI190" s="5"/>
      <c r="AJ190" s="5"/>
    </row>
    <row r="191" ht="12.75" customHeight="1">
      <c r="A191" s="5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5"/>
      <c r="M191" s="35"/>
      <c r="N191" s="35"/>
      <c r="O191" s="35"/>
      <c r="P191" s="5"/>
      <c r="Q191" s="5"/>
      <c r="R191" s="5"/>
      <c r="S191" s="5"/>
      <c r="T191" s="5"/>
      <c r="AF191" s="5"/>
      <c r="AG191" s="5"/>
      <c r="AH191" s="5"/>
      <c r="AI191" s="5"/>
      <c r="AJ191" s="5"/>
    </row>
    <row r="192" ht="12.75" customHeight="1">
      <c r="A192" s="5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5"/>
      <c r="M192" s="35"/>
      <c r="N192" s="35"/>
      <c r="O192" s="35"/>
      <c r="P192" s="5"/>
      <c r="Q192" s="5"/>
      <c r="R192" s="5"/>
      <c r="S192" s="5"/>
      <c r="T192" s="5"/>
      <c r="AF192" s="5"/>
      <c r="AG192" s="5"/>
      <c r="AH192" s="5"/>
      <c r="AI192" s="5"/>
      <c r="AJ192" s="5"/>
    </row>
    <row r="193" ht="12.75" customHeight="1">
      <c r="A193" s="5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5"/>
      <c r="M193" s="35"/>
      <c r="N193" s="35"/>
      <c r="O193" s="35"/>
      <c r="P193" s="5"/>
      <c r="Q193" s="5"/>
      <c r="R193" s="5"/>
      <c r="S193" s="5"/>
      <c r="T193" s="5"/>
      <c r="AF193" s="5"/>
      <c r="AG193" s="5"/>
      <c r="AH193" s="5"/>
      <c r="AI193" s="5"/>
      <c r="AJ193" s="5"/>
    </row>
    <row r="194" ht="12.75" customHeight="1">
      <c r="A194" s="5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5"/>
      <c r="M194" s="35"/>
      <c r="N194" s="35"/>
      <c r="O194" s="35"/>
      <c r="P194" s="5"/>
      <c r="Q194" s="5"/>
      <c r="R194" s="5"/>
      <c r="S194" s="5"/>
      <c r="T194" s="5"/>
      <c r="AF194" s="5"/>
      <c r="AG194" s="5"/>
      <c r="AH194" s="5"/>
      <c r="AI194" s="5"/>
      <c r="AJ194" s="5"/>
    </row>
    <row r="195" ht="12.75" customHeight="1">
      <c r="A195" s="5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5"/>
      <c r="M195" s="35"/>
      <c r="N195" s="35"/>
      <c r="O195" s="35"/>
      <c r="P195" s="5"/>
      <c r="Q195" s="5"/>
      <c r="R195" s="5"/>
      <c r="S195" s="5"/>
      <c r="T195" s="5"/>
      <c r="AF195" s="5"/>
      <c r="AG195" s="5"/>
      <c r="AH195" s="5"/>
      <c r="AI195" s="5"/>
      <c r="AJ195" s="5"/>
    </row>
    <row r="196" ht="12.75" customHeight="1">
      <c r="A196" s="5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5"/>
      <c r="M196" s="35"/>
      <c r="N196" s="35"/>
      <c r="O196" s="35"/>
      <c r="P196" s="5"/>
      <c r="Q196" s="5"/>
      <c r="R196" s="5"/>
      <c r="S196" s="5"/>
      <c r="T196" s="5"/>
      <c r="AF196" s="5"/>
      <c r="AG196" s="5"/>
      <c r="AH196" s="5"/>
      <c r="AI196" s="5"/>
      <c r="AJ196" s="5"/>
    </row>
    <row r="197" ht="12.75" customHeight="1">
      <c r="A197" s="5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5"/>
      <c r="M197" s="35"/>
      <c r="N197" s="35"/>
      <c r="O197" s="35"/>
      <c r="P197" s="5"/>
      <c r="Q197" s="5"/>
      <c r="R197" s="5"/>
      <c r="S197" s="5"/>
      <c r="T197" s="5"/>
      <c r="AF197" s="5"/>
      <c r="AG197" s="5"/>
      <c r="AH197" s="5"/>
      <c r="AI197" s="5"/>
      <c r="AJ197" s="5"/>
    </row>
    <row r="198" ht="12.75" customHeight="1">
      <c r="A198" s="5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5"/>
      <c r="M198" s="35"/>
      <c r="N198" s="35"/>
      <c r="O198" s="35"/>
      <c r="P198" s="5"/>
      <c r="Q198" s="5"/>
      <c r="R198" s="5"/>
      <c r="S198" s="5"/>
      <c r="T198" s="5"/>
      <c r="AF198" s="5"/>
      <c r="AG198" s="5"/>
      <c r="AH198" s="5"/>
      <c r="AI198" s="5"/>
      <c r="AJ198" s="5"/>
    </row>
    <row r="199" ht="12.75" customHeight="1">
      <c r="A199" s="5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5"/>
      <c r="M199" s="35"/>
      <c r="N199" s="35"/>
      <c r="O199" s="35"/>
      <c r="P199" s="5"/>
      <c r="Q199" s="5"/>
      <c r="R199" s="5"/>
      <c r="S199" s="5"/>
      <c r="T199" s="5"/>
      <c r="AF199" s="5"/>
      <c r="AG199" s="5"/>
      <c r="AH199" s="5"/>
      <c r="AI199" s="5"/>
      <c r="AJ199" s="5"/>
    </row>
    <row r="200" ht="12.75" customHeight="1">
      <c r="A200" s="5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5"/>
      <c r="M200" s="35"/>
      <c r="N200" s="35"/>
      <c r="O200" s="35"/>
      <c r="P200" s="5"/>
      <c r="Q200" s="5"/>
      <c r="R200" s="5"/>
      <c r="S200" s="5"/>
      <c r="T200" s="5"/>
      <c r="AF200" s="5"/>
      <c r="AG200" s="5"/>
      <c r="AH200" s="5"/>
      <c r="AI200" s="5"/>
      <c r="AJ200" s="5"/>
    </row>
    <row r="201" ht="12.75" customHeight="1">
      <c r="A201" s="5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5"/>
      <c r="M201" s="35"/>
      <c r="N201" s="35"/>
      <c r="O201" s="35"/>
      <c r="P201" s="5"/>
      <c r="Q201" s="5"/>
      <c r="R201" s="5"/>
      <c r="S201" s="5"/>
      <c r="T201" s="5"/>
      <c r="AF201" s="5"/>
      <c r="AG201" s="5"/>
      <c r="AH201" s="5"/>
      <c r="AI201" s="5"/>
      <c r="AJ201" s="5"/>
    </row>
    <row r="202" ht="12.75" customHeight="1">
      <c r="A202" s="5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5"/>
      <c r="M202" s="35"/>
      <c r="N202" s="35"/>
      <c r="O202" s="35"/>
      <c r="P202" s="5"/>
      <c r="Q202" s="5"/>
      <c r="R202" s="5"/>
      <c r="S202" s="5"/>
      <c r="T202" s="5"/>
      <c r="AF202" s="5"/>
      <c r="AG202" s="5"/>
      <c r="AH202" s="5"/>
      <c r="AI202" s="5"/>
      <c r="AJ202" s="5"/>
    </row>
    <row r="203" ht="12.75" customHeight="1">
      <c r="A203" s="5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5"/>
      <c r="M203" s="35"/>
      <c r="N203" s="35"/>
      <c r="O203" s="35"/>
      <c r="P203" s="5"/>
      <c r="Q203" s="5"/>
      <c r="R203" s="5"/>
      <c r="S203" s="5"/>
      <c r="T203" s="5"/>
      <c r="AF203" s="5"/>
      <c r="AG203" s="5"/>
      <c r="AH203" s="5"/>
      <c r="AI203" s="5"/>
      <c r="AJ203" s="5"/>
    </row>
    <row r="204" ht="12.75" customHeight="1">
      <c r="A204" s="5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5"/>
      <c r="M204" s="35"/>
      <c r="N204" s="35"/>
      <c r="O204" s="35"/>
      <c r="P204" s="5"/>
      <c r="Q204" s="5"/>
      <c r="R204" s="5"/>
      <c r="S204" s="5"/>
      <c r="T204" s="5"/>
      <c r="AF204" s="5"/>
      <c r="AG204" s="5"/>
      <c r="AH204" s="5"/>
      <c r="AI204" s="5"/>
      <c r="AJ204" s="5"/>
    </row>
    <row r="205" ht="12.75" customHeight="1">
      <c r="A205" s="5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5"/>
      <c r="M205" s="35"/>
      <c r="N205" s="35"/>
      <c r="O205" s="35"/>
      <c r="P205" s="5"/>
      <c r="Q205" s="5"/>
      <c r="R205" s="5"/>
      <c r="S205" s="5"/>
      <c r="T205" s="5"/>
      <c r="AF205" s="5"/>
      <c r="AG205" s="5"/>
      <c r="AH205" s="5"/>
      <c r="AI205" s="5"/>
      <c r="AJ205" s="5"/>
    </row>
    <row r="206" ht="12.75" customHeight="1">
      <c r="A206" s="5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5"/>
      <c r="M206" s="35"/>
      <c r="N206" s="35"/>
      <c r="O206" s="35"/>
      <c r="P206" s="5"/>
      <c r="Q206" s="5"/>
      <c r="R206" s="5"/>
      <c r="S206" s="5"/>
      <c r="T206" s="5"/>
      <c r="AF206" s="5"/>
      <c r="AG206" s="5"/>
      <c r="AH206" s="5"/>
      <c r="AI206" s="5"/>
      <c r="AJ206" s="5"/>
    </row>
    <row r="207" ht="12.75" customHeight="1">
      <c r="A207" s="5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5"/>
      <c r="M207" s="35"/>
      <c r="N207" s="35"/>
      <c r="O207" s="35"/>
      <c r="P207" s="5"/>
      <c r="Q207" s="5"/>
      <c r="R207" s="5"/>
      <c r="S207" s="5"/>
      <c r="T207" s="5"/>
      <c r="AF207" s="5"/>
      <c r="AG207" s="5"/>
      <c r="AH207" s="5"/>
      <c r="AI207" s="5"/>
      <c r="AJ207" s="5"/>
    </row>
    <row r="208" ht="12.75" customHeight="1">
      <c r="A208" s="5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5"/>
      <c r="M208" s="35"/>
      <c r="N208" s="35"/>
      <c r="O208" s="35"/>
      <c r="P208" s="5"/>
      <c r="Q208" s="5"/>
      <c r="R208" s="5"/>
      <c r="S208" s="5"/>
      <c r="T208" s="5"/>
      <c r="AF208" s="5"/>
      <c r="AG208" s="5"/>
      <c r="AH208" s="5"/>
      <c r="AI208" s="5"/>
      <c r="AJ208" s="5"/>
    </row>
    <row r="209" ht="12.75" customHeight="1">
      <c r="A209" s="5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5"/>
      <c r="M209" s="35"/>
      <c r="N209" s="35"/>
      <c r="O209" s="35"/>
      <c r="P209" s="5"/>
      <c r="Q209" s="5"/>
      <c r="R209" s="5"/>
      <c r="S209" s="5"/>
      <c r="T209" s="5"/>
      <c r="AF209" s="5"/>
      <c r="AG209" s="5"/>
      <c r="AH209" s="5"/>
      <c r="AI209" s="5"/>
      <c r="AJ209" s="5"/>
    </row>
    <row r="210" ht="12.75" customHeight="1">
      <c r="A210" s="5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5"/>
      <c r="M210" s="35"/>
      <c r="N210" s="35"/>
      <c r="O210" s="35"/>
      <c r="P210" s="5"/>
      <c r="Q210" s="5"/>
      <c r="R210" s="5"/>
      <c r="S210" s="5"/>
      <c r="T210" s="5"/>
      <c r="AF210" s="5"/>
      <c r="AG210" s="5"/>
      <c r="AH210" s="5"/>
      <c r="AI210" s="5"/>
      <c r="AJ210" s="5"/>
    </row>
    <row r="211" ht="12.75" customHeight="1">
      <c r="A211" s="5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5"/>
      <c r="M211" s="35"/>
      <c r="N211" s="35"/>
      <c r="O211" s="35"/>
      <c r="P211" s="5"/>
      <c r="Q211" s="5"/>
      <c r="R211" s="5"/>
      <c r="S211" s="5"/>
      <c r="T211" s="5"/>
      <c r="AF211" s="5"/>
      <c r="AG211" s="5"/>
      <c r="AH211" s="5"/>
      <c r="AI211" s="5"/>
      <c r="AJ211" s="5"/>
    </row>
    <row r="212" ht="12.75" customHeight="1">
      <c r="A212" s="5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5"/>
      <c r="M212" s="35"/>
      <c r="N212" s="35"/>
      <c r="O212" s="35"/>
      <c r="P212" s="5"/>
      <c r="Q212" s="5"/>
      <c r="R212" s="5"/>
      <c r="S212" s="5"/>
      <c r="T212" s="5"/>
      <c r="AF212" s="5"/>
      <c r="AG212" s="5"/>
      <c r="AH212" s="5"/>
      <c r="AI212" s="5"/>
      <c r="AJ212" s="5"/>
    </row>
    <row r="213" ht="12.75" customHeight="1">
      <c r="A213" s="5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5"/>
      <c r="M213" s="35"/>
      <c r="N213" s="35"/>
      <c r="O213" s="35"/>
      <c r="P213" s="5"/>
      <c r="Q213" s="5"/>
      <c r="R213" s="5"/>
      <c r="S213" s="5"/>
      <c r="T213" s="5"/>
      <c r="AF213" s="5"/>
      <c r="AG213" s="5"/>
      <c r="AH213" s="5"/>
      <c r="AI213" s="5"/>
      <c r="AJ213" s="5"/>
    </row>
    <row r="214" ht="12.75" customHeight="1">
      <c r="A214" s="5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5"/>
      <c r="M214" s="35"/>
      <c r="N214" s="35"/>
      <c r="O214" s="35"/>
      <c r="P214" s="5"/>
      <c r="Q214" s="5"/>
      <c r="R214" s="5"/>
      <c r="S214" s="5"/>
      <c r="T214" s="5"/>
      <c r="AF214" s="5"/>
      <c r="AG214" s="5"/>
      <c r="AH214" s="5"/>
      <c r="AI214" s="5"/>
      <c r="AJ214" s="5"/>
    </row>
    <row r="215" ht="12.75" customHeight="1">
      <c r="A215" s="5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5"/>
      <c r="M215" s="35"/>
      <c r="N215" s="35"/>
      <c r="O215" s="35"/>
      <c r="P215" s="5"/>
      <c r="Q215" s="5"/>
      <c r="R215" s="5"/>
      <c r="S215" s="5"/>
      <c r="T215" s="5"/>
      <c r="AF215" s="5"/>
      <c r="AG215" s="5"/>
      <c r="AH215" s="5"/>
      <c r="AI215" s="5"/>
      <c r="AJ215" s="5"/>
    </row>
    <row r="216" ht="12.75" customHeight="1">
      <c r="A216" s="5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5"/>
      <c r="M216" s="35"/>
      <c r="N216" s="35"/>
      <c r="O216" s="35"/>
      <c r="P216" s="5"/>
      <c r="Q216" s="5"/>
      <c r="R216" s="5"/>
      <c r="S216" s="5"/>
      <c r="T216" s="5"/>
      <c r="AF216" s="5"/>
      <c r="AG216" s="5"/>
      <c r="AH216" s="5"/>
      <c r="AI216" s="5"/>
      <c r="AJ216" s="5"/>
    </row>
    <row r="217" ht="12.75" customHeight="1">
      <c r="A217" s="5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5"/>
      <c r="M217" s="35"/>
      <c r="N217" s="35"/>
      <c r="O217" s="35"/>
      <c r="P217" s="5"/>
      <c r="Q217" s="5"/>
      <c r="R217" s="5"/>
      <c r="S217" s="5"/>
      <c r="T217" s="5"/>
      <c r="AF217" s="5"/>
      <c r="AG217" s="5"/>
      <c r="AH217" s="5"/>
      <c r="AI217" s="5"/>
      <c r="AJ217" s="5"/>
    </row>
    <row r="218" ht="12.75" customHeight="1">
      <c r="A218" s="5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5"/>
      <c r="M218" s="35"/>
      <c r="N218" s="35"/>
      <c r="O218" s="35"/>
      <c r="P218" s="5"/>
      <c r="Q218" s="5"/>
      <c r="R218" s="5"/>
      <c r="S218" s="5"/>
      <c r="T218" s="5"/>
      <c r="AF218" s="5"/>
      <c r="AG218" s="5"/>
      <c r="AH218" s="5"/>
      <c r="AI218" s="5"/>
      <c r="AJ218" s="5"/>
    </row>
    <row r="219" ht="12.75" customHeight="1">
      <c r="A219" s="5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5"/>
      <c r="M219" s="35"/>
      <c r="N219" s="35"/>
      <c r="O219" s="35"/>
      <c r="P219" s="5"/>
      <c r="Q219" s="5"/>
      <c r="R219" s="5"/>
      <c r="S219" s="5"/>
      <c r="T219" s="5"/>
      <c r="AF219" s="5"/>
      <c r="AG219" s="5"/>
      <c r="AH219" s="5"/>
      <c r="AI219" s="5"/>
      <c r="AJ219" s="5"/>
    </row>
    <row r="220" ht="12.75" customHeight="1">
      <c r="A220" s="5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5"/>
      <c r="M220" s="35"/>
      <c r="N220" s="35"/>
      <c r="O220" s="35"/>
      <c r="P220" s="5"/>
      <c r="Q220" s="5"/>
      <c r="R220" s="5"/>
      <c r="S220" s="5"/>
      <c r="T220" s="5"/>
      <c r="AF220" s="5"/>
      <c r="AG220" s="5"/>
      <c r="AH220" s="5"/>
      <c r="AI220" s="5"/>
      <c r="AJ220" s="5"/>
    </row>
    <row r="221" ht="12.75" customHeight="1">
      <c r="A221" s="5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5"/>
      <c r="M221" s="35"/>
      <c r="N221" s="35"/>
      <c r="O221" s="35"/>
      <c r="P221" s="5"/>
      <c r="Q221" s="5"/>
      <c r="R221" s="5"/>
      <c r="S221" s="5"/>
      <c r="T221" s="5"/>
      <c r="AF221" s="5"/>
      <c r="AG221" s="5"/>
      <c r="AH221" s="5"/>
      <c r="AI221" s="5"/>
      <c r="AJ221" s="5"/>
    </row>
    <row r="222" ht="12.75" customHeight="1">
      <c r="A222" s="5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5"/>
      <c r="M222" s="35"/>
      <c r="N222" s="35"/>
      <c r="O222" s="35"/>
      <c r="P222" s="5"/>
      <c r="Q222" s="5"/>
      <c r="R222" s="5"/>
      <c r="S222" s="5"/>
      <c r="T222" s="5"/>
      <c r="AF222" s="5"/>
      <c r="AG222" s="5"/>
      <c r="AH222" s="5"/>
      <c r="AI222" s="5"/>
      <c r="AJ222" s="5"/>
    </row>
    <row r="223" ht="12.75" customHeight="1">
      <c r="A223" s="5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5"/>
      <c r="M223" s="35"/>
      <c r="N223" s="35"/>
      <c r="O223" s="35"/>
      <c r="P223" s="5"/>
      <c r="Q223" s="5"/>
      <c r="R223" s="5"/>
      <c r="S223" s="5"/>
      <c r="T223" s="5"/>
      <c r="AF223" s="5"/>
      <c r="AG223" s="5"/>
      <c r="AH223" s="5"/>
      <c r="AI223" s="5"/>
      <c r="AJ223" s="5"/>
    </row>
    <row r="224" ht="12.75" customHeight="1">
      <c r="A224" s="5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5"/>
      <c r="M224" s="35"/>
      <c r="N224" s="35"/>
      <c r="O224" s="35"/>
      <c r="P224" s="5"/>
      <c r="Q224" s="5"/>
      <c r="R224" s="5"/>
      <c r="S224" s="5"/>
      <c r="T224" s="5"/>
      <c r="AF224" s="5"/>
      <c r="AG224" s="5"/>
      <c r="AH224" s="5"/>
      <c r="AI224" s="5"/>
      <c r="AJ224" s="5"/>
    </row>
    <row r="225" ht="12.75" customHeight="1">
      <c r="A225" s="5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5"/>
      <c r="M225" s="35"/>
      <c r="N225" s="35"/>
      <c r="O225" s="35"/>
      <c r="P225" s="5"/>
      <c r="Q225" s="5"/>
      <c r="R225" s="5"/>
      <c r="S225" s="5"/>
      <c r="T225" s="5"/>
      <c r="AF225" s="5"/>
      <c r="AG225" s="5"/>
      <c r="AH225" s="5"/>
      <c r="AI225" s="5"/>
      <c r="AJ225" s="5"/>
    </row>
    <row r="226" ht="12.75" customHeight="1">
      <c r="A226" s="5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5"/>
      <c r="M226" s="35"/>
      <c r="N226" s="35"/>
      <c r="O226" s="35"/>
      <c r="P226" s="5"/>
      <c r="Q226" s="5"/>
      <c r="R226" s="5"/>
      <c r="S226" s="5"/>
      <c r="T226" s="5"/>
      <c r="AF226" s="5"/>
      <c r="AG226" s="5"/>
      <c r="AH226" s="5"/>
      <c r="AI226" s="5"/>
      <c r="AJ226" s="5"/>
    </row>
    <row r="227" ht="12.75" customHeight="1">
      <c r="A227" s="5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5"/>
      <c r="M227" s="35"/>
      <c r="N227" s="35"/>
      <c r="O227" s="35"/>
      <c r="P227" s="5"/>
      <c r="Q227" s="5"/>
      <c r="R227" s="5"/>
      <c r="S227" s="5"/>
      <c r="T227" s="5"/>
      <c r="AF227" s="5"/>
      <c r="AG227" s="5"/>
      <c r="AH227" s="5"/>
      <c r="AI227" s="5"/>
      <c r="AJ227" s="5"/>
    </row>
    <row r="228" ht="12.75" customHeight="1">
      <c r="A228" s="5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5"/>
      <c r="M228" s="35"/>
      <c r="N228" s="35"/>
      <c r="O228" s="35"/>
      <c r="P228" s="5"/>
      <c r="Q228" s="5"/>
      <c r="R228" s="5"/>
      <c r="S228" s="5"/>
      <c r="T228" s="5"/>
      <c r="AF228" s="5"/>
      <c r="AG228" s="5"/>
      <c r="AH228" s="5"/>
      <c r="AI228" s="5"/>
      <c r="AJ228" s="5"/>
    </row>
    <row r="229" ht="12.75" customHeight="1">
      <c r="A229" s="5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5"/>
      <c r="M229" s="35"/>
      <c r="N229" s="35"/>
      <c r="O229" s="35"/>
      <c r="P229" s="5"/>
      <c r="Q229" s="5"/>
      <c r="R229" s="5"/>
      <c r="S229" s="5"/>
      <c r="T229" s="5"/>
      <c r="AF229" s="5"/>
      <c r="AG229" s="5"/>
      <c r="AH229" s="5"/>
      <c r="AI229" s="5"/>
      <c r="AJ229" s="5"/>
    </row>
    <row r="230" ht="12.75" customHeight="1">
      <c r="A230" s="5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5"/>
      <c r="M230" s="35"/>
      <c r="N230" s="35"/>
      <c r="O230" s="35"/>
      <c r="P230" s="5"/>
      <c r="Q230" s="5"/>
      <c r="R230" s="5"/>
      <c r="S230" s="5"/>
      <c r="T230" s="5"/>
      <c r="AF230" s="5"/>
      <c r="AG230" s="5"/>
      <c r="AH230" s="5"/>
      <c r="AI230" s="5"/>
      <c r="AJ230" s="5"/>
    </row>
    <row r="231" ht="12.75" customHeight="1">
      <c r="A231" s="5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5"/>
      <c r="M231" s="35"/>
      <c r="N231" s="35"/>
      <c r="O231" s="35"/>
      <c r="P231" s="5"/>
      <c r="Q231" s="5"/>
      <c r="R231" s="5"/>
      <c r="S231" s="5"/>
      <c r="T231" s="5"/>
      <c r="AF231" s="5"/>
      <c r="AG231" s="5"/>
      <c r="AH231" s="5"/>
      <c r="AI231" s="5"/>
      <c r="AJ231" s="5"/>
    </row>
    <row r="232" ht="12.75" customHeight="1">
      <c r="A232" s="5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5"/>
      <c r="M232" s="35"/>
      <c r="N232" s="35"/>
      <c r="O232" s="35"/>
      <c r="P232" s="5"/>
      <c r="Q232" s="5"/>
      <c r="R232" s="5"/>
      <c r="S232" s="5"/>
      <c r="T232" s="5"/>
      <c r="AF232" s="5"/>
      <c r="AG232" s="5"/>
      <c r="AH232" s="5"/>
      <c r="AI232" s="5"/>
      <c r="AJ232" s="5"/>
    </row>
    <row r="233" ht="12.75" customHeight="1">
      <c r="A233" s="5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5"/>
      <c r="M233" s="35"/>
      <c r="N233" s="35"/>
      <c r="O233" s="35"/>
      <c r="P233" s="5"/>
      <c r="Q233" s="5"/>
      <c r="R233" s="5"/>
      <c r="S233" s="5"/>
      <c r="T233" s="5"/>
      <c r="AF233" s="5"/>
      <c r="AG233" s="5"/>
      <c r="AH233" s="5"/>
      <c r="AI233" s="5"/>
      <c r="AJ233" s="5"/>
    </row>
    <row r="234" ht="12.75" customHeight="1">
      <c r="A234" s="5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5"/>
      <c r="M234" s="35"/>
      <c r="N234" s="35"/>
      <c r="O234" s="35"/>
      <c r="P234" s="5"/>
      <c r="Q234" s="5"/>
      <c r="R234" s="5"/>
      <c r="S234" s="5"/>
      <c r="T234" s="5"/>
      <c r="AF234" s="5"/>
      <c r="AG234" s="5"/>
      <c r="AH234" s="5"/>
      <c r="AI234" s="5"/>
      <c r="AJ234" s="5"/>
    </row>
    <row r="235" ht="12.75" customHeight="1">
      <c r="A235" s="5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5"/>
      <c r="M235" s="35"/>
      <c r="N235" s="35"/>
      <c r="O235" s="35"/>
      <c r="P235" s="5"/>
      <c r="Q235" s="5"/>
      <c r="R235" s="5"/>
      <c r="S235" s="5"/>
      <c r="T235" s="5"/>
      <c r="AF235" s="5"/>
      <c r="AG235" s="5"/>
      <c r="AH235" s="5"/>
      <c r="AI235" s="5"/>
      <c r="AJ235" s="5"/>
    </row>
    <row r="236" ht="12.75" customHeight="1">
      <c r="A236" s="5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5"/>
      <c r="M236" s="35"/>
      <c r="N236" s="35"/>
      <c r="O236" s="35"/>
      <c r="P236" s="5"/>
      <c r="Q236" s="5"/>
      <c r="R236" s="5"/>
      <c r="S236" s="5"/>
      <c r="T236" s="5"/>
      <c r="AF236" s="5"/>
      <c r="AG236" s="5"/>
      <c r="AH236" s="5"/>
      <c r="AI236" s="5"/>
      <c r="AJ236" s="5"/>
    </row>
    <row r="237" ht="12.75" customHeight="1">
      <c r="A237" s="5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5"/>
      <c r="M237" s="35"/>
      <c r="N237" s="35"/>
      <c r="O237" s="35"/>
      <c r="P237" s="5"/>
      <c r="Q237" s="5"/>
      <c r="R237" s="5"/>
      <c r="S237" s="5"/>
      <c r="T237" s="5"/>
      <c r="AF237" s="5"/>
      <c r="AG237" s="5"/>
      <c r="AH237" s="5"/>
      <c r="AI237" s="5"/>
      <c r="AJ237" s="5"/>
    </row>
    <row r="238" ht="12.75" customHeight="1">
      <c r="A238" s="5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5"/>
      <c r="M238" s="35"/>
      <c r="N238" s="35"/>
      <c r="O238" s="35"/>
      <c r="P238" s="5"/>
      <c r="Q238" s="5"/>
      <c r="R238" s="5"/>
      <c r="S238" s="5"/>
      <c r="T238" s="5"/>
      <c r="AF238" s="5"/>
      <c r="AG238" s="5"/>
      <c r="AH238" s="5"/>
      <c r="AI238" s="5"/>
      <c r="AJ238" s="5"/>
    </row>
    <row r="239" ht="12.75" customHeight="1">
      <c r="A239" s="5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5"/>
      <c r="M239" s="35"/>
      <c r="N239" s="35"/>
      <c r="O239" s="35"/>
      <c r="P239" s="5"/>
      <c r="Q239" s="5"/>
      <c r="R239" s="5"/>
      <c r="S239" s="5"/>
      <c r="T239" s="5"/>
      <c r="AF239" s="5"/>
      <c r="AG239" s="5"/>
      <c r="AH239" s="5"/>
      <c r="AI239" s="5"/>
      <c r="AJ239" s="5"/>
    </row>
    <row r="240" ht="12.75" customHeight="1">
      <c r="A240" s="5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5"/>
      <c r="M240" s="35"/>
      <c r="N240" s="35"/>
      <c r="O240" s="35"/>
      <c r="P240" s="5"/>
      <c r="Q240" s="5"/>
      <c r="R240" s="5"/>
      <c r="S240" s="5"/>
      <c r="T240" s="5"/>
      <c r="AF240" s="5"/>
      <c r="AG240" s="5"/>
      <c r="AH240" s="5"/>
      <c r="AI240" s="5"/>
      <c r="AJ240" s="5"/>
    </row>
    <row r="241" ht="12.75" customHeight="1">
      <c r="A241" s="5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5"/>
      <c r="M241" s="35"/>
      <c r="N241" s="35"/>
      <c r="O241" s="35"/>
      <c r="P241" s="5"/>
      <c r="Q241" s="5"/>
      <c r="R241" s="5"/>
      <c r="S241" s="5"/>
      <c r="T241" s="5"/>
      <c r="AF241" s="5"/>
      <c r="AG241" s="5"/>
      <c r="AH241" s="5"/>
      <c r="AI241" s="5"/>
      <c r="AJ241" s="5"/>
    </row>
    <row r="242" ht="12.75" customHeight="1">
      <c r="A242" s="5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5"/>
      <c r="M242" s="35"/>
      <c r="N242" s="35"/>
      <c r="O242" s="35"/>
      <c r="P242" s="5"/>
      <c r="Q242" s="5"/>
      <c r="R242" s="5"/>
      <c r="S242" s="5"/>
      <c r="T242" s="5"/>
      <c r="AF242" s="5"/>
      <c r="AG242" s="5"/>
      <c r="AH242" s="5"/>
      <c r="AI242" s="5"/>
      <c r="AJ242" s="5"/>
    </row>
    <row r="243" ht="12.75" customHeight="1">
      <c r="A243" s="5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5"/>
      <c r="M243" s="35"/>
      <c r="N243" s="35"/>
      <c r="O243" s="35"/>
      <c r="P243" s="5"/>
      <c r="Q243" s="5"/>
      <c r="R243" s="5"/>
      <c r="S243" s="5"/>
      <c r="T243" s="5"/>
      <c r="AF243" s="5"/>
      <c r="AG243" s="5"/>
      <c r="AH243" s="5"/>
      <c r="AI243" s="5"/>
      <c r="AJ243" s="5"/>
    </row>
    <row r="244" ht="12.75" customHeight="1">
      <c r="A244" s="5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5"/>
      <c r="M244" s="35"/>
      <c r="N244" s="35"/>
      <c r="O244" s="35"/>
      <c r="P244" s="5"/>
      <c r="Q244" s="5"/>
      <c r="R244" s="5"/>
      <c r="S244" s="5"/>
      <c r="T244" s="5"/>
      <c r="AF244" s="5"/>
      <c r="AG244" s="5"/>
      <c r="AH244" s="5"/>
      <c r="AI244" s="5"/>
      <c r="AJ244" s="5"/>
    </row>
    <row r="245" ht="12.75" customHeight="1">
      <c r="A245" s="5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5"/>
      <c r="M245" s="35"/>
      <c r="N245" s="35"/>
      <c r="O245" s="35"/>
      <c r="P245" s="5"/>
      <c r="Q245" s="5"/>
      <c r="R245" s="5"/>
      <c r="S245" s="5"/>
      <c r="T245" s="5"/>
      <c r="AF245" s="5"/>
      <c r="AG245" s="5"/>
      <c r="AH245" s="5"/>
      <c r="AI245" s="5"/>
      <c r="AJ245" s="5"/>
    </row>
    <row r="246" ht="12.75" customHeight="1">
      <c r="A246" s="5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5"/>
      <c r="M246" s="35"/>
      <c r="N246" s="35"/>
      <c r="O246" s="35"/>
      <c r="P246" s="5"/>
      <c r="Q246" s="5"/>
      <c r="R246" s="5"/>
      <c r="S246" s="5"/>
      <c r="T246" s="5"/>
      <c r="AF246" s="5"/>
      <c r="AG246" s="5"/>
      <c r="AH246" s="5"/>
      <c r="AI246" s="5"/>
      <c r="AJ246" s="5"/>
    </row>
    <row r="247" ht="12.75" customHeight="1">
      <c r="A247" s="5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5"/>
      <c r="M247" s="35"/>
      <c r="N247" s="35"/>
      <c r="O247" s="35"/>
      <c r="P247" s="5"/>
      <c r="Q247" s="5"/>
      <c r="R247" s="5"/>
      <c r="S247" s="5"/>
      <c r="T247" s="5"/>
      <c r="AF247" s="5"/>
      <c r="AG247" s="5"/>
      <c r="AH247" s="5"/>
      <c r="AI247" s="5"/>
      <c r="AJ247" s="5"/>
    </row>
    <row r="248" ht="12.75" customHeight="1">
      <c r="A248" s="5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5"/>
      <c r="M248" s="35"/>
      <c r="N248" s="35"/>
      <c r="O248" s="35"/>
      <c r="P248" s="5"/>
      <c r="Q248" s="5"/>
      <c r="R248" s="5"/>
      <c r="S248" s="5"/>
      <c r="T248" s="5"/>
      <c r="AF248" s="5"/>
      <c r="AG248" s="5"/>
      <c r="AH248" s="5"/>
      <c r="AI248" s="5"/>
      <c r="AJ248" s="5"/>
    </row>
    <row r="249" ht="12.75" customHeight="1">
      <c r="A249" s="5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5"/>
      <c r="M249" s="35"/>
      <c r="N249" s="35"/>
      <c r="O249" s="35"/>
      <c r="P249" s="5"/>
      <c r="Q249" s="5"/>
      <c r="R249" s="5"/>
      <c r="S249" s="5"/>
      <c r="T249" s="5"/>
      <c r="AF249" s="5"/>
      <c r="AG249" s="5"/>
      <c r="AH249" s="5"/>
      <c r="AI249" s="5"/>
      <c r="AJ249" s="5"/>
    </row>
    <row r="250" ht="12.75" customHeight="1">
      <c r="A250" s="5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5"/>
      <c r="M250" s="35"/>
      <c r="N250" s="35"/>
      <c r="O250" s="35"/>
      <c r="P250" s="5"/>
      <c r="Q250" s="5"/>
      <c r="R250" s="5"/>
      <c r="S250" s="5"/>
      <c r="T250" s="5"/>
      <c r="AF250" s="5"/>
      <c r="AG250" s="5"/>
      <c r="AH250" s="5"/>
      <c r="AI250" s="5"/>
      <c r="AJ250" s="5"/>
    </row>
    <row r="251" ht="12.75" customHeight="1">
      <c r="A251" s="5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5"/>
      <c r="M251" s="35"/>
      <c r="N251" s="35"/>
      <c r="O251" s="35"/>
      <c r="P251" s="5"/>
      <c r="Q251" s="5"/>
      <c r="R251" s="5"/>
      <c r="S251" s="5"/>
      <c r="T251" s="5"/>
      <c r="AF251" s="5"/>
      <c r="AG251" s="5"/>
      <c r="AH251" s="5"/>
      <c r="AI251" s="5"/>
      <c r="AJ251" s="5"/>
    </row>
    <row r="252" ht="12.75" customHeight="1">
      <c r="A252" s="5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5"/>
      <c r="M252" s="35"/>
      <c r="N252" s="35"/>
      <c r="O252" s="35"/>
      <c r="P252" s="5"/>
      <c r="Q252" s="5"/>
      <c r="R252" s="5"/>
      <c r="S252" s="5"/>
      <c r="T252" s="5"/>
      <c r="AF252" s="5"/>
      <c r="AG252" s="5"/>
      <c r="AH252" s="5"/>
      <c r="AI252" s="5"/>
      <c r="AJ252" s="5"/>
    </row>
    <row r="253" ht="12.75" customHeight="1">
      <c r="A253" s="5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5"/>
      <c r="M253" s="35"/>
      <c r="N253" s="35"/>
      <c r="O253" s="35"/>
      <c r="P253" s="5"/>
      <c r="Q253" s="5"/>
      <c r="R253" s="5"/>
      <c r="S253" s="5"/>
      <c r="T253" s="5"/>
      <c r="AF253" s="5"/>
      <c r="AG253" s="5"/>
      <c r="AH253" s="5"/>
      <c r="AI253" s="5"/>
      <c r="AJ253" s="5"/>
    </row>
    <row r="254" ht="12.75" customHeight="1">
      <c r="A254" s="5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5"/>
      <c r="M254" s="35"/>
      <c r="N254" s="35"/>
      <c r="O254" s="35"/>
      <c r="P254" s="5"/>
      <c r="Q254" s="5"/>
      <c r="R254" s="5"/>
      <c r="S254" s="5"/>
      <c r="T254" s="5"/>
      <c r="AF254" s="5"/>
      <c r="AG254" s="5"/>
      <c r="AH254" s="5"/>
      <c r="AI254" s="5"/>
      <c r="AJ254" s="5"/>
    </row>
    <row r="255" ht="12.75" customHeight="1">
      <c r="A255" s="5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5"/>
      <c r="M255" s="35"/>
      <c r="N255" s="35"/>
      <c r="O255" s="35"/>
      <c r="P255" s="5"/>
      <c r="Q255" s="5"/>
      <c r="R255" s="5"/>
      <c r="S255" s="5"/>
      <c r="T255" s="5"/>
      <c r="AF255" s="5"/>
      <c r="AG255" s="5"/>
      <c r="AH255" s="5"/>
      <c r="AI255" s="5"/>
      <c r="AJ255" s="5"/>
    </row>
    <row r="256" ht="12.75" customHeight="1">
      <c r="A256" s="5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5"/>
      <c r="M256" s="35"/>
      <c r="N256" s="35"/>
      <c r="O256" s="35"/>
      <c r="P256" s="5"/>
      <c r="Q256" s="5"/>
      <c r="R256" s="5"/>
      <c r="S256" s="5"/>
      <c r="T256" s="5"/>
      <c r="AF256" s="5"/>
      <c r="AG256" s="5"/>
      <c r="AH256" s="5"/>
      <c r="AI256" s="5"/>
      <c r="AJ256" s="5"/>
    </row>
    <row r="257" ht="12.75" customHeight="1">
      <c r="A257" s="5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5"/>
      <c r="M257" s="35"/>
      <c r="N257" s="35"/>
      <c r="O257" s="35"/>
      <c r="P257" s="5"/>
      <c r="Q257" s="5"/>
      <c r="R257" s="5"/>
      <c r="S257" s="5"/>
      <c r="T257" s="5"/>
      <c r="AF257" s="5"/>
      <c r="AG257" s="5"/>
      <c r="AH257" s="5"/>
      <c r="AI257" s="5"/>
      <c r="AJ257" s="5"/>
    </row>
    <row r="258" ht="12.75" customHeight="1">
      <c r="A258" s="5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5"/>
      <c r="M258" s="35"/>
      <c r="N258" s="35"/>
      <c r="O258" s="35"/>
      <c r="P258" s="5"/>
      <c r="Q258" s="5"/>
      <c r="R258" s="5"/>
      <c r="S258" s="5"/>
      <c r="T258" s="5"/>
      <c r="AF258" s="5"/>
      <c r="AG258" s="5"/>
      <c r="AH258" s="5"/>
      <c r="AI258" s="5"/>
      <c r="AJ258" s="5"/>
    </row>
    <row r="259" ht="12.75" customHeight="1">
      <c r="A259" s="5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5"/>
      <c r="M259" s="35"/>
      <c r="N259" s="35"/>
      <c r="O259" s="35"/>
      <c r="P259" s="5"/>
      <c r="Q259" s="5"/>
      <c r="R259" s="5"/>
      <c r="S259" s="5"/>
      <c r="T259" s="5"/>
      <c r="AF259" s="5"/>
      <c r="AG259" s="5"/>
      <c r="AH259" s="5"/>
      <c r="AI259" s="5"/>
      <c r="AJ259" s="5"/>
    </row>
    <row r="260" ht="12.75" customHeight="1">
      <c r="A260" s="5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5"/>
      <c r="M260" s="35"/>
      <c r="N260" s="35"/>
      <c r="O260" s="35"/>
      <c r="P260" s="5"/>
      <c r="Q260" s="5"/>
      <c r="R260" s="5"/>
      <c r="S260" s="5"/>
      <c r="T260" s="5"/>
      <c r="AF260" s="5"/>
      <c r="AG260" s="5"/>
      <c r="AH260" s="5"/>
      <c r="AI260" s="5"/>
      <c r="AJ260" s="5"/>
    </row>
    <row r="261" ht="12.75" customHeight="1">
      <c r="A261" s="5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5"/>
      <c r="M261" s="35"/>
      <c r="N261" s="35"/>
      <c r="O261" s="35"/>
      <c r="P261" s="5"/>
      <c r="Q261" s="5"/>
      <c r="R261" s="5"/>
      <c r="S261" s="5"/>
      <c r="T261" s="5"/>
      <c r="AF261" s="5"/>
      <c r="AG261" s="5"/>
      <c r="AH261" s="5"/>
      <c r="AI261" s="5"/>
      <c r="AJ261" s="5"/>
    </row>
    <row r="262" ht="12.75" customHeight="1">
      <c r="A262" s="5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5"/>
      <c r="M262" s="35"/>
      <c r="N262" s="35"/>
      <c r="O262" s="35"/>
      <c r="P262" s="5"/>
      <c r="Q262" s="5"/>
      <c r="R262" s="5"/>
      <c r="S262" s="5"/>
      <c r="T262" s="5"/>
      <c r="AF262" s="5"/>
      <c r="AG262" s="5"/>
      <c r="AH262" s="5"/>
      <c r="AI262" s="5"/>
      <c r="AJ262" s="5"/>
    </row>
    <row r="263" ht="12.75" customHeight="1">
      <c r="A263" s="5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5"/>
      <c r="M263" s="35"/>
      <c r="N263" s="35"/>
      <c r="O263" s="35"/>
      <c r="P263" s="5"/>
      <c r="Q263" s="5"/>
      <c r="R263" s="5"/>
      <c r="S263" s="5"/>
      <c r="T263" s="5"/>
      <c r="AF263" s="5"/>
      <c r="AG263" s="5"/>
      <c r="AH263" s="5"/>
      <c r="AI263" s="5"/>
      <c r="AJ263" s="5"/>
    </row>
    <row r="264" ht="12.75" customHeight="1">
      <c r="A264" s="5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5"/>
      <c r="M264" s="35"/>
      <c r="N264" s="35"/>
      <c r="O264" s="35"/>
      <c r="P264" s="5"/>
      <c r="Q264" s="5"/>
      <c r="R264" s="5"/>
      <c r="S264" s="5"/>
      <c r="T264" s="5"/>
      <c r="AF264" s="5"/>
      <c r="AG264" s="5"/>
      <c r="AH264" s="5"/>
      <c r="AI264" s="5"/>
      <c r="AJ264" s="5"/>
    </row>
    <row r="265" ht="12.75" customHeight="1">
      <c r="A265" s="5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5"/>
      <c r="M265" s="35"/>
      <c r="N265" s="35"/>
      <c r="O265" s="35"/>
      <c r="P265" s="5"/>
      <c r="Q265" s="5"/>
      <c r="R265" s="5"/>
      <c r="S265" s="5"/>
      <c r="T265" s="5"/>
      <c r="AF265" s="5"/>
      <c r="AG265" s="5"/>
      <c r="AH265" s="5"/>
      <c r="AI265" s="5"/>
      <c r="AJ265" s="5"/>
    </row>
    <row r="266" ht="12.75" customHeight="1">
      <c r="A266" s="5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5"/>
      <c r="M266" s="35"/>
      <c r="N266" s="35"/>
      <c r="O266" s="35"/>
      <c r="P266" s="5"/>
      <c r="Q266" s="5"/>
      <c r="R266" s="5"/>
      <c r="S266" s="5"/>
      <c r="T266" s="5"/>
      <c r="AF266" s="5"/>
      <c r="AG266" s="5"/>
      <c r="AH266" s="5"/>
      <c r="AI266" s="5"/>
      <c r="AJ266" s="5"/>
    </row>
    <row r="267" ht="12.75" customHeight="1">
      <c r="A267" s="5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5"/>
      <c r="M267" s="35"/>
      <c r="N267" s="35"/>
      <c r="O267" s="35"/>
      <c r="P267" s="5"/>
      <c r="Q267" s="5"/>
      <c r="R267" s="5"/>
      <c r="S267" s="5"/>
      <c r="T267" s="5"/>
      <c r="AF267" s="5"/>
      <c r="AG267" s="5"/>
      <c r="AH267" s="5"/>
      <c r="AI267" s="5"/>
      <c r="AJ267" s="5"/>
    </row>
    <row r="268" ht="12.75" customHeight="1">
      <c r="A268" s="5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5"/>
      <c r="M268" s="35"/>
      <c r="N268" s="35"/>
      <c r="O268" s="35"/>
      <c r="P268" s="5"/>
      <c r="Q268" s="5"/>
      <c r="R268" s="5"/>
      <c r="S268" s="5"/>
      <c r="T268" s="5"/>
      <c r="AF268" s="5"/>
      <c r="AG268" s="5"/>
      <c r="AH268" s="5"/>
      <c r="AI268" s="5"/>
      <c r="AJ268" s="5"/>
    </row>
    <row r="269" ht="12.75" customHeight="1">
      <c r="A269" s="5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5"/>
      <c r="M269" s="35"/>
      <c r="N269" s="35"/>
      <c r="O269" s="35"/>
      <c r="P269" s="5"/>
      <c r="Q269" s="5"/>
      <c r="R269" s="5"/>
      <c r="S269" s="5"/>
      <c r="T269" s="5"/>
      <c r="AF269" s="5"/>
      <c r="AG269" s="5"/>
      <c r="AH269" s="5"/>
      <c r="AI269" s="5"/>
      <c r="AJ269" s="5"/>
    </row>
    <row r="270" ht="12.75" customHeight="1">
      <c r="A270" s="5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5"/>
      <c r="M270" s="35"/>
      <c r="N270" s="35"/>
      <c r="O270" s="35"/>
      <c r="P270" s="5"/>
      <c r="Q270" s="5"/>
      <c r="R270" s="5"/>
      <c r="S270" s="5"/>
      <c r="T270" s="5"/>
      <c r="AF270" s="5"/>
      <c r="AG270" s="5"/>
      <c r="AH270" s="5"/>
      <c r="AI270" s="5"/>
      <c r="AJ270" s="5"/>
    </row>
    <row r="271" ht="12.75" customHeight="1">
      <c r="A271" s="5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5"/>
      <c r="M271" s="35"/>
      <c r="N271" s="35"/>
      <c r="O271" s="35"/>
      <c r="P271" s="5"/>
      <c r="Q271" s="5"/>
      <c r="R271" s="5"/>
      <c r="S271" s="5"/>
      <c r="T271" s="5"/>
      <c r="AF271" s="5"/>
      <c r="AG271" s="5"/>
      <c r="AH271" s="5"/>
      <c r="AI271" s="5"/>
      <c r="AJ271" s="5"/>
    </row>
    <row r="272" ht="12.75" customHeight="1">
      <c r="A272" s="5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5"/>
      <c r="M272" s="35"/>
      <c r="N272" s="35"/>
      <c r="O272" s="35"/>
      <c r="P272" s="5"/>
      <c r="Q272" s="5"/>
      <c r="R272" s="5"/>
      <c r="S272" s="5"/>
      <c r="T272" s="5"/>
      <c r="AF272" s="5"/>
      <c r="AG272" s="5"/>
      <c r="AH272" s="5"/>
      <c r="AI272" s="5"/>
      <c r="AJ272" s="5"/>
    </row>
    <row r="273" ht="12.75" customHeight="1">
      <c r="A273" s="5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5"/>
      <c r="M273" s="35"/>
      <c r="N273" s="35"/>
      <c r="O273" s="35"/>
      <c r="P273" s="5"/>
      <c r="Q273" s="5"/>
      <c r="R273" s="5"/>
      <c r="S273" s="5"/>
      <c r="T273" s="5"/>
      <c r="AF273" s="5"/>
      <c r="AG273" s="5"/>
      <c r="AH273" s="5"/>
      <c r="AI273" s="5"/>
      <c r="AJ273" s="5"/>
    </row>
    <row r="274" ht="12.75" customHeight="1">
      <c r="A274" s="5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5"/>
      <c r="M274" s="35"/>
      <c r="N274" s="35"/>
      <c r="O274" s="35"/>
      <c r="P274" s="5"/>
      <c r="Q274" s="5"/>
      <c r="R274" s="5"/>
      <c r="S274" s="5"/>
      <c r="T274" s="5"/>
      <c r="AF274" s="5"/>
      <c r="AG274" s="5"/>
      <c r="AH274" s="5"/>
      <c r="AI274" s="5"/>
      <c r="AJ274" s="5"/>
    </row>
    <row r="275" ht="12.75" customHeight="1">
      <c r="A275" s="5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5"/>
      <c r="M275" s="35"/>
      <c r="N275" s="35"/>
      <c r="O275" s="35"/>
      <c r="P275" s="5"/>
      <c r="Q275" s="5"/>
      <c r="R275" s="5"/>
      <c r="S275" s="5"/>
      <c r="T275" s="5"/>
      <c r="AF275" s="5"/>
      <c r="AG275" s="5"/>
      <c r="AH275" s="5"/>
      <c r="AI275" s="5"/>
      <c r="AJ275" s="5"/>
    </row>
    <row r="276" ht="12.75" customHeight="1">
      <c r="A276" s="5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5"/>
      <c r="M276" s="35"/>
      <c r="N276" s="35"/>
      <c r="O276" s="35"/>
      <c r="P276" s="5"/>
      <c r="Q276" s="5"/>
      <c r="R276" s="5"/>
      <c r="S276" s="5"/>
      <c r="T276" s="5"/>
      <c r="AF276" s="5"/>
      <c r="AG276" s="5"/>
      <c r="AH276" s="5"/>
      <c r="AI276" s="5"/>
      <c r="AJ276" s="5"/>
    </row>
    <row r="277" ht="12.75" customHeight="1">
      <c r="A277" s="5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5"/>
      <c r="M277" s="35"/>
      <c r="N277" s="35"/>
      <c r="O277" s="35"/>
      <c r="P277" s="5"/>
      <c r="Q277" s="5"/>
      <c r="R277" s="5"/>
      <c r="S277" s="5"/>
      <c r="T277" s="5"/>
      <c r="AF277" s="5"/>
      <c r="AG277" s="5"/>
      <c r="AH277" s="5"/>
      <c r="AI277" s="5"/>
      <c r="AJ277" s="5"/>
    </row>
    <row r="278" ht="12.75" customHeight="1">
      <c r="A278" s="5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5"/>
      <c r="M278" s="35"/>
      <c r="N278" s="35"/>
      <c r="O278" s="35"/>
      <c r="P278" s="5"/>
      <c r="Q278" s="5"/>
      <c r="R278" s="5"/>
      <c r="S278" s="5"/>
      <c r="T278" s="5"/>
      <c r="AF278" s="5"/>
      <c r="AG278" s="5"/>
      <c r="AH278" s="5"/>
      <c r="AI278" s="5"/>
      <c r="AJ278" s="5"/>
    </row>
    <row r="279" ht="12.75" customHeight="1">
      <c r="A279" s="5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5"/>
      <c r="M279" s="35"/>
      <c r="N279" s="35"/>
      <c r="O279" s="35"/>
      <c r="P279" s="5"/>
      <c r="Q279" s="5"/>
      <c r="R279" s="5"/>
      <c r="S279" s="5"/>
      <c r="T279" s="5"/>
      <c r="AF279" s="5"/>
      <c r="AG279" s="5"/>
      <c r="AH279" s="5"/>
      <c r="AI279" s="5"/>
      <c r="AJ279" s="5"/>
    </row>
    <row r="280" ht="12.75" customHeight="1">
      <c r="A280" s="5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5"/>
      <c r="M280" s="35"/>
      <c r="N280" s="35"/>
      <c r="O280" s="35"/>
      <c r="P280" s="5"/>
      <c r="Q280" s="5"/>
      <c r="R280" s="5"/>
      <c r="S280" s="5"/>
      <c r="T280" s="5"/>
      <c r="AF280" s="5"/>
      <c r="AG280" s="5"/>
      <c r="AH280" s="5"/>
      <c r="AI280" s="5"/>
      <c r="AJ280" s="5"/>
    </row>
    <row r="281" ht="12.75" customHeight="1">
      <c r="A281" s="5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5"/>
      <c r="M281" s="35"/>
      <c r="N281" s="35"/>
      <c r="O281" s="35"/>
      <c r="P281" s="5"/>
      <c r="Q281" s="5"/>
      <c r="R281" s="5"/>
      <c r="S281" s="5"/>
      <c r="T281" s="5"/>
      <c r="AF281" s="5"/>
      <c r="AG281" s="5"/>
      <c r="AH281" s="5"/>
      <c r="AI281" s="5"/>
      <c r="AJ281" s="5"/>
    </row>
    <row r="282" ht="12.75" customHeight="1">
      <c r="A282" s="5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5"/>
      <c r="M282" s="35"/>
      <c r="N282" s="35"/>
      <c r="O282" s="35"/>
      <c r="P282" s="5"/>
      <c r="Q282" s="5"/>
      <c r="R282" s="5"/>
      <c r="S282" s="5"/>
      <c r="T282" s="5"/>
      <c r="AF282" s="5"/>
      <c r="AG282" s="5"/>
      <c r="AH282" s="5"/>
      <c r="AI282" s="5"/>
      <c r="AJ282" s="5"/>
    </row>
    <row r="283" ht="12.75" customHeight="1">
      <c r="A283" s="5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5"/>
      <c r="M283" s="35"/>
      <c r="N283" s="35"/>
      <c r="O283" s="35"/>
      <c r="P283" s="5"/>
      <c r="Q283" s="5"/>
      <c r="R283" s="5"/>
      <c r="S283" s="5"/>
      <c r="T283" s="5"/>
      <c r="AF283" s="5"/>
      <c r="AG283" s="5"/>
      <c r="AH283" s="5"/>
      <c r="AI283" s="5"/>
      <c r="AJ283" s="5"/>
    </row>
    <row r="284" ht="12.75" customHeight="1">
      <c r="A284" s="5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5"/>
      <c r="M284" s="35"/>
      <c r="N284" s="35"/>
      <c r="O284" s="35"/>
      <c r="P284" s="5"/>
      <c r="Q284" s="5"/>
      <c r="R284" s="5"/>
      <c r="S284" s="5"/>
      <c r="T284" s="5"/>
      <c r="AF284" s="5"/>
      <c r="AG284" s="5"/>
      <c r="AH284" s="5"/>
      <c r="AI284" s="5"/>
      <c r="AJ284" s="5"/>
    </row>
    <row r="285" ht="12.75" customHeight="1">
      <c r="A285" s="5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5"/>
      <c r="M285" s="35"/>
      <c r="N285" s="35"/>
      <c r="O285" s="35"/>
      <c r="P285" s="5"/>
      <c r="Q285" s="5"/>
      <c r="R285" s="5"/>
      <c r="S285" s="5"/>
      <c r="T285" s="5"/>
      <c r="AF285" s="5"/>
      <c r="AG285" s="5"/>
      <c r="AH285" s="5"/>
      <c r="AI285" s="5"/>
      <c r="AJ285" s="5"/>
    </row>
    <row r="286" ht="12.75" customHeight="1">
      <c r="A286" s="5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5"/>
      <c r="M286" s="35"/>
      <c r="N286" s="35"/>
      <c r="O286" s="35"/>
      <c r="P286" s="5"/>
      <c r="Q286" s="5"/>
      <c r="R286" s="5"/>
      <c r="S286" s="5"/>
      <c r="T286" s="5"/>
      <c r="AF286" s="5"/>
      <c r="AG286" s="5"/>
      <c r="AH286" s="5"/>
      <c r="AI286" s="5"/>
      <c r="AJ286" s="5"/>
    </row>
    <row r="287" ht="12.75" customHeight="1">
      <c r="A287" s="5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5"/>
      <c r="M287" s="35"/>
      <c r="N287" s="35"/>
      <c r="O287" s="35"/>
      <c r="P287" s="5"/>
      <c r="Q287" s="5"/>
      <c r="R287" s="5"/>
      <c r="S287" s="5"/>
      <c r="T287" s="5"/>
      <c r="AF287" s="5"/>
      <c r="AG287" s="5"/>
      <c r="AH287" s="5"/>
      <c r="AI287" s="5"/>
      <c r="AJ287" s="5"/>
    </row>
    <row r="288" ht="12.75" customHeight="1">
      <c r="A288" s="5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5"/>
      <c r="M288" s="35"/>
      <c r="N288" s="35"/>
      <c r="O288" s="35"/>
      <c r="P288" s="5"/>
      <c r="Q288" s="5"/>
      <c r="R288" s="5"/>
      <c r="S288" s="5"/>
      <c r="T288" s="5"/>
      <c r="AF288" s="5"/>
      <c r="AG288" s="5"/>
      <c r="AH288" s="5"/>
      <c r="AI288" s="5"/>
      <c r="AJ288" s="5"/>
    </row>
    <row r="289" ht="12.75" customHeight="1">
      <c r="A289" s="5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5"/>
      <c r="M289" s="35"/>
      <c r="N289" s="35"/>
      <c r="O289" s="35"/>
      <c r="P289" s="5"/>
      <c r="Q289" s="5"/>
      <c r="R289" s="5"/>
      <c r="S289" s="5"/>
      <c r="T289" s="5"/>
      <c r="AF289" s="5"/>
      <c r="AG289" s="5"/>
      <c r="AH289" s="5"/>
      <c r="AI289" s="5"/>
      <c r="AJ289" s="5"/>
    </row>
    <row r="290" ht="12.75" customHeight="1">
      <c r="A290" s="5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5"/>
      <c r="M290" s="35"/>
      <c r="N290" s="35"/>
      <c r="O290" s="35"/>
      <c r="P290" s="5"/>
      <c r="Q290" s="5"/>
      <c r="R290" s="5"/>
      <c r="S290" s="5"/>
      <c r="T290" s="5"/>
      <c r="AF290" s="5"/>
      <c r="AG290" s="5"/>
      <c r="AH290" s="5"/>
      <c r="AI290" s="5"/>
      <c r="AJ290" s="5"/>
    </row>
    <row r="291" ht="12.75" customHeight="1">
      <c r="A291" s="5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5"/>
      <c r="M291" s="35"/>
      <c r="N291" s="35"/>
      <c r="O291" s="35"/>
      <c r="P291" s="5"/>
      <c r="Q291" s="5"/>
      <c r="R291" s="5"/>
      <c r="S291" s="5"/>
      <c r="T291" s="5"/>
      <c r="AF291" s="5"/>
      <c r="AG291" s="5"/>
      <c r="AH291" s="5"/>
      <c r="AI291" s="5"/>
      <c r="AJ291" s="5"/>
    </row>
    <row r="292" ht="12.75" customHeight="1">
      <c r="A292" s="5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5"/>
      <c r="M292" s="35"/>
      <c r="N292" s="35"/>
      <c r="O292" s="35"/>
      <c r="P292" s="5"/>
      <c r="Q292" s="5"/>
      <c r="R292" s="5"/>
      <c r="S292" s="5"/>
      <c r="T292" s="5"/>
      <c r="AF292" s="5"/>
      <c r="AG292" s="5"/>
      <c r="AH292" s="5"/>
      <c r="AI292" s="5"/>
      <c r="AJ292" s="5"/>
    </row>
    <row r="293" ht="12.75" customHeight="1">
      <c r="A293" s="5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5"/>
      <c r="M293" s="35"/>
      <c r="N293" s="35"/>
      <c r="O293" s="35"/>
      <c r="P293" s="5"/>
      <c r="Q293" s="5"/>
      <c r="R293" s="5"/>
      <c r="S293" s="5"/>
      <c r="T293" s="5"/>
      <c r="AF293" s="5"/>
      <c r="AG293" s="5"/>
      <c r="AH293" s="5"/>
      <c r="AI293" s="5"/>
      <c r="AJ293" s="5"/>
    </row>
    <row r="294" ht="12.75" customHeight="1">
      <c r="A294" s="5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5"/>
      <c r="M294" s="35"/>
      <c r="N294" s="35"/>
      <c r="O294" s="35"/>
      <c r="P294" s="5"/>
      <c r="Q294" s="5"/>
      <c r="R294" s="5"/>
      <c r="S294" s="5"/>
      <c r="T294" s="5"/>
      <c r="AF294" s="5"/>
      <c r="AG294" s="5"/>
      <c r="AH294" s="5"/>
      <c r="AI294" s="5"/>
      <c r="AJ294" s="5"/>
    </row>
    <row r="295" ht="12.75" customHeight="1">
      <c r="A295" s="5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5"/>
      <c r="M295" s="35"/>
      <c r="N295" s="35"/>
      <c r="O295" s="35"/>
      <c r="P295" s="5"/>
      <c r="Q295" s="5"/>
      <c r="R295" s="5"/>
      <c r="S295" s="5"/>
      <c r="T295" s="5"/>
      <c r="AF295" s="5"/>
      <c r="AG295" s="5"/>
      <c r="AH295" s="5"/>
      <c r="AI295" s="5"/>
      <c r="AJ295" s="5"/>
    </row>
    <row r="296" ht="12.75" customHeight="1">
      <c r="A296" s="5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5"/>
      <c r="M296" s="35"/>
      <c r="N296" s="35"/>
      <c r="O296" s="35"/>
      <c r="P296" s="5"/>
      <c r="Q296" s="5"/>
      <c r="R296" s="5"/>
      <c r="S296" s="5"/>
      <c r="T296" s="5"/>
      <c r="AF296" s="5"/>
      <c r="AG296" s="5"/>
      <c r="AH296" s="5"/>
      <c r="AI296" s="5"/>
      <c r="AJ296" s="5"/>
    </row>
    <row r="297" ht="12.75" customHeight="1">
      <c r="A297" s="5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5"/>
      <c r="M297" s="35"/>
      <c r="N297" s="35"/>
      <c r="O297" s="35"/>
      <c r="P297" s="5"/>
      <c r="Q297" s="5"/>
      <c r="R297" s="5"/>
      <c r="S297" s="5"/>
      <c r="T297" s="5"/>
      <c r="AF297" s="5"/>
      <c r="AG297" s="5"/>
      <c r="AH297" s="5"/>
      <c r="AI297" s="5"/>
      <c r="AJ297" s="5"/>
    </row>
    <row r="298" ht="12.75" customHeight="1">
      <c r="A298" s="5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5"/>
      <c r="M298" s="35"/>
      <c r="N298" s="35"/>
      <c r="O298" s="35"/>
      <c r="P298" s="5"/>
      <c r="Q298" s="5"/>
      <c r="R298" s="5"/>
      <c r="S298" s="5"/>
      <c r="T298" s="5"/>
      <c r="AF298" s="5"/>
      <c r="AG298" s="5"/>
      <c r="AH298" s="5"/>
      <c r="AI298" s="5"/>
      <c r="AJ298" s="5"/>
    </row>
    <row r="299" ht="12.75" customHeight="1">
      <c r="A299" s="5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5"/>
      <c r="M299" s="35"/>
      <c r="N299" s="35"/>
      <c r="O299" s="35"/>
      <c r="P299" s="5"/>
      <c r="Q299" s="5"/>
      <c r="R299" s="5"/>
      <c r="S299" s="5"/>
      <c r="T299" s="5"/>
      <c r="AF299" s="5"/>
      <c r="AG299" s="5"/>
      <c r="AH299" s="5"/>
      <c r="AI299" s="5"/>
      <c r="AJ299" s="5"/>
    </row>
    <row r="300" ht="12.75" customHeight="1">
      <c r="A300" s="5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5"/>
      <c r="M300" s="35"/>
      <c r="N300" s="35"/>
      <c r="O300" s="35"/>
      <c r="P300" s="5"/>
      <c r="Q300" s="5"/>
      <c r="R300" s="5"/>
      <c r="S300" s="5"/>
      <c r="T300" s="5"/>
      <c r="AF300" s="5"/>
      <c r="AG300" s="5"/>
      <c r="AH300" s="5"/>
      <c r="AI300" s="5"/>
      <c r="AJ300" s="5"/>
    </row>
    <row r="301" ht="12.75" customHeight="1">
      <c r="A301" s="5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5"/>
      <c r="M301" s="35"/>
      <c r="N301" s="35"/>
      <c r="O301" s="35"/>
      <c r="P301" s="5"/>
      <c r="Q301" s="5"/>
      <c r="R301" s="5"/>
      <c r="S301" s="5"/>
      <c r="T301" s="5"/>
      <c r="AF301" s="5"/>
      <c r="AG301" s="5"/>
      <c r="AH301" s="5"/>
      <c r="AI301" s="5"/>
      <c r="AJ301" s="5"/>
    </row>
    <row r="302" ht="12.75" customHeight="1">
      <c r="A302" s="5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5"/>
      <c r="M302" s="35"/>
      <c r="N302" s="35"/>
      <c r="O302" s="35"/>
      <c r="P302" s="5"/>
      <c r="Q302" s="5"/>
      <c r="R302" s="5"/>
      <c r="S302" s="5"/>
      <c r="T302" s="5"/>
      <c r="AF302" s="5"/>
      <c r="AG302" s="5"/>
      <c r="AH302" s="5"/>
      <c r="AI302" s="5"/>
      <c r="AJ302" s="5"/>
    </row>
    <row r="303" ht="12.75" customHeight="1">
      <c r="A303" s="5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5"/>
      <c r="M303" s="35"/>
      <c r="N303" s="35"/>
      <c r="O303" s="35"/>
      <c r="P303" s="5"/>
      <c r="Q303" s="5"/>
      <c r="R303" s="5"/>
      <c r="S303" s="5"/>
      <c r="T303" s="5"/>
      <c r="AF303" s="5"/>
      <c r="AG303" s="5"/>
      <c r="AH303" s="5"/>
      <c r="AI303" s="5"/>
      <c r="AJ303" s="5"/>
    </row>
    <row r="304" ht="12.75" customHeight="1">
      <c r="A304" s="5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5"/>
      <c r="M304" s="35"/>
      <c r="N304" s="35"/>
      <c r="O304" s="35"/>
      <c r="P304" s="5"/>
      <c r="Q304" s="5"/>
      <c r="R304" s="5"/>
      <c r="S304" s="5"/>
      <c r="T304" s="5"/>
      <c r="AF304" s="5"/>
      <c r="AG304" s="5"/>
      <c r="AH304" s="5"/>
      <c r="AI304" s="5"/>
      <c r="AJ304" s="5"/>
    </row>
    <row r="305" ht="12.75" customHeight="1">
      <c r="A305" s="5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5"/>
      <c r="M305" s="35"/>
      <c r="N305" s="35"/>
      <c r="O305" s="35"/>
      <c r="P305" s="5"/>
      <c r="Q305" s="5"/>
      <c r="R305" s="5"/>
      <c r="S305" s="5"/>
      <c r="T305" s="5"/>
      <c r="AF305" s="5"/>
      <c r="AG305" s="5"/>
      <c r="AH305" s="5"/>
      <c r="AI305" s="5"/>
      <c r="AJ305" s="5"/>
    </row>
    <row r="306" ht="12.75" customHeight="1">
      <c r="A306" s="5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5"/>
      <c r="M306" s="35"/>
      <c r="N306" s="35"/>
      <c r="O306" s="35"/>
      <c r="P306" s="5"/>
      <c r="Q306" s="5"/>
      <c r="R306" s="5"/>
      <c r="S306" s="5"/>
      <c r="T306" s="5"/>
      <c r="AF306" s="5"/>
      <c r="AG306" s="5"/>
      <c r="AH306" s="5"/>
      <c r="AI306" s="5"/>
      <c r="AJ306" s="5"/>
    </row>
    <row r="307" ht="12.75" customHeight="1">
      <c r="A307" s="5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5"/>
      <c r="M307" s="35"/>
      <c r="N307" s="35"/>
      <c r="O307" s="35"/>
      <c r="P307" s="5"/>
      <c r="Q307" s="5"/>
      <c r="R307" s="5"/>
      <c r="S307" s="5"/>
      <c r="T307" s="5"/>
      <c r="AF307" s="5"/>
      <c r="AG307" s="5"/>
      <c r="AH307" s="5"/>
      <c r="AI307" s="5"/>
      <c r="AJ307" s="5"/>
    </row>
    <row r="308" ht="12.75" customHeight="1">
      <c r="A308" s="5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5"/>
      <c r="M308" s="35"/>
      <c r="N308" s="35"/>
      <c r="O308" s="35"/>
      <c r="P308" s="5"/>
      <c r="Q308" s="5"/>
      <c r="R308" s="5"/>
      <c r="S308" s="5"/>
      <c r="T308" s="5"/>
      <c r="AF308" s="5"/>
      <c r="AG308" s="5"/>
      <c r="AH308" s="5"/>
      <c r="AI308" s="5"/>
      <c r="AJ308" s="5"/>
    </row>
    <row r="309" ht="12.75" customHeight="1">
      <c r="A309" s="5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5"/>
      <c r="M309" s="35"/>
      <c r="N309" s="35"/>
      <c r="O309" s="35"/>
      <c r="P309" s="5"/>
      <c r="Q309" s="5"/>
      <c r="R309" s="5"/>
      <c r="S309" s="5"/>
      <c r="T309" s="5"/>
      <c r="AF309" s="5"/>
      <c r="AG309" s="5"/>
      <c r="AH309" s="5"/>
      <c r="AI309" s="5"/>
      <c r="AJ309" s="5"/>
    </row>
    <row r="310" ht="12.75" customHeight="1">
      <c r="A310" s="5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5"/>
      <c r="M310" s="35"/>
      <c r="N310" s="35"/>
      <c r="O310" s="35"/>
      <c r="P310" s="5"/>
      <c r="Q310" s="5"/>
      <c r="R310" s="5"/>
      <c r="S310" s="5"/>
      <c r="T310" s="5"/>
      <c r="AF310" s="5"/>
      <c r="AG310" s="5"/>
      <c r="AH310" s="5"/>
      <c r="AI310" s="5"/>
      <c r="AJ310" s="5"/>
    </row>
    <row r="311" ht="12.75" customHeight="1">
      <c r="A311" s="5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5"/>
      <c r="M311" s="35"/>
      <c r="N311" s="35"/>
      <c r="O311" s="35"/>
      <c r="P311" s="5"/>
      <c r="Q311" s="5"/>
      <c r="R311" s="5"/>
      <c r="S311" s="5"/>
      <c r="T311" s="5"/>
      <c r="AF311" s="5"/>
      <c r="AG311" s="5"/>
      <c r="AH311" s="5"/>
      <c r="AI311" s="5"/>
      <c r="AJ311" s="5"/>
    </row>
    <row r="312" ht="12.75" customHeight="1">
      <c r="A312" s="5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5"/>
      <c r="M312" s="35"/>
      <c r="N312" s="35"/>
      <c r="O312" s="35"/>
      <c r="P312" s="5"/>
      <c r="Q312" s="5"/>
      <c r="R312" s="5"/>
      <c r="S312" s="5"/>
      <c r="T312" s="5"/>
      <c r="AF312" s="5"/>
      <c r="AG312" s="5"/>
      <c r="AH312" s="5"/>
      <c r="AI312" s="5"/>
      <c r="AJ312" s="5"/>
    </row>
    <row r="313" ht="12.75" customHeight="1">
      <c r="A313" s="5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5"/>
      <c r="M313" s="35"/>
      <c r="N313" s="35"/>
      <c r="O313" s="35"/>
      <c r="P313" s="5"/>
      <c r="Q313" s="5"/>
      <c r="R313" s="5"/>
      <c r="S313" s="5"/>
      <c r="T313" s="5"/>
      <c r="AF313" s="5"/>
      <c r="AG313" s="5"/>
      <c r="AH313" s="5"/>
      <c r="AI313" s="5"/>
      <c r="AJ313" s="5"/>
    </row>
    <row r="314" ht="12.75" customHeight="1">
      <c r="A314" s="5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5"/>
      <c r="M314" s="35"/>
      <c r="N314" s="35"/>
      <c r="O314" s="35"/>
      <c r="P314" s="5"/>
      <c r="Q314" s="5"/>
      <c r="R314" s="5"/>
      <c r="S314" s="5"/>
      <c r="T314" s="5"/>
      <c r="AF314" s="5"/>
      <c r="AG314" s="5"/>
      <c r="AH314" s="5"/>
      <c r="AI314" s="5"/>
      <c r="AJ314" s="5"/>
    </row>
    <row r="315" ht="12.75" customHeight="1">
      <c r="A315" s="5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5"/>
      <c r="M315" s="35"/>
      <c r="N315" s="35"/>
      <c r="O315" s="35"/>
      <c r="P315" s="5"/>
      <c r="Q315" s="5"/>
      <c r="R315" s="5"/>
      <c r="S315" s="5"/>
      <c r="T315" s="5"/>
      <c r="AF315" s="5"/>
      <c r="AG315" s="5"/>
      <c r="AH315" s="5"/>
      <c r="AI315" s="5"/>
      <c r="AJ315" s="5"/>
    </row>
    <row r="316" ht="12.75" customHeight="1">
      <c r="A316" s="5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5"/>
      <c r="M316" s="35"/>
      <c r="N316" s="35"/>
      <c r="O316" s="35"/>
      <c r="P316" s="5"/>
      <c r="Q316" s="5"/>
      <c r="R316" s="5"/>
      <c r="S316" s="5"/>
      <c r="T316" s="5"/>
      <c r="AF316" s="5"/>
      <c r="AG316" s="5"/>
      <c r="AH316" s="5"/>
      <c r="AI316" s="5"/>
      <c r="AJ316" s="5"/>
    </row>
    <row r="317" ht="12.75" customHeight="1">
      <c r="A317" s="5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5"/>
      <c r="M317" s="35"/>
      <c r="N317" s="35"/>
      <c r="O317" s="35"/>
      <c r="P317" s="5"/>
      <c r="Q317" s="5"/>
      <c r="R317" s="5"/>
      <c r="S317" s="5"/>
      <c r="T317" s="5"/>
      <c r="AF317" s="5"/>
      <c r="AG317" s="5"/>
      <c r="AH317" s="5"/>
      <c r="AI317" s="5"/>
      <c r="AJ317" s="5"/>
    </row>
    <row r="318" ht="12.75" customHeight="1">
      <c r="A318" s="5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5"/>
      <c r="M318" s="35"/>
      <c r="N318" s="35"/>
      <c r="O318" s="35"/>
      <c r="P318" s="5"/>
      <c r="Q318" s="5"/>
      <c r="R318" s="5"/>
      <c r="S318" s="5"/>
      <c r="T318" s="5"/>
      <c r="AF318" s="5"/>
      <c r="AG318" s="5"/>
      <c r="AH318" s="5"/>
      <c r="AI318" s="5"/>
      <c r="AJ318" s="5"/>
    </row>
    <row r="319" ht="12.75" customHeight="1">
      <c r="A319" s="5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5"/>
      <c r="M319" s="35"/>
      <c r="N319" s="35"/>
      <c r="O319" s="35"/>
      <c r="P319" s="5"/>
      <c r="Q319" s="5"/>
      <c r="R319" s="5"/>
      <c r="S319" s="5"/>
      <c r="T319" s="5"/>
      <c r="AF319" s="5"/>
      <c r="AG319" s="5"/>
      <c r="AH319" s="5"/>
      <c r="AI319" s="5"/>
      <c r="AJ319" s="5"/>
    </row>
    <row r="320" ht="12.75" customHeight="1">
      <c r="A320" s="5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5"/>
      <c r="M320" s="35"/>
      <c r="N320" s="35"/>
      <c r="O320" s="35"/>
      <c r="P320" s="5"/>
      <c r="Q320" s="5"/>
      <c r="R320" s="5"/>
      <c r="S320" s="5"/>
      <c r="T320" s="5"/>
      <c r="AF320" s="5"/>
      <c r="AG320" s="5"/>
      <c r="AH320" s="5"/>
      <c r="AI320" s="5"/>
      <c r="AJ320" s="5"/>
    </row>
    <row r="321" ht="12.75" customHeight="1">
      <c r="A321" s="5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5"/>
      <c r="M321" s="35"/>
      <c r="N321" s="35"/>
      <c r="O321" s="35"/>
      <c r="P321" s="5"/>
      <c r="Q321" s="5"/>
      <c r="R321" s="5"/>
      <c r="S321" s="5"/>
      <c r="T321" s="5"/>
      <c r="AF321" s="5"/>
      <c r="AG321" s="5"/>
      <c r="AH321" s="5"/>
      <c r="AI321" s="5"/>
      <c r="AJ321" s="5"/>
    </row>
    <row r="322" ht="12.75" customHeight="1">
      <c r="A322" s="5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5"/>
      <c r="M322" s="35"/>
      <c r="N322" s="35"/>
      <c r="O322" s="35"/>
      <c r="P322" s="5"/>
      <c r="Q322" s="5"/>
      <c r="R322" s="5"/>
      <c r="S322" s="5"/>
      <c r="T322" s="5"/>
      <c r="AF322" s="5"/>
      <c r="AG322" s="5"/>
      <c r="AH322" s="5"/>
      <c r="AI322" s="5"/>
      <c r="AJ322" s="5"/>
    </row>
    <row r="323" ht="12.75" customHeight="1">
      <c r="A323" s="5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5"/>
      <c r="M323" s="35"/>
      <c r="N323" s="35"/>
      <c r="O323" s="35"/>
      <c r="P323" s="5"/>
      <c r="Q323" s="5"/>
      <c r="R323" s="5"/>
      <c r="S323" s="5"/>
      <c r="T323" s="5"/>
      <c r="AF323" s="5"/>
      <c r="AG323" s="5"/>
      <c r="AH323" s="5"/>
      <c r="AI323" s="5"/>
      <c r="AJ323" s="5"/>
    </row>
    <row r="324" ht="12.75" customHeight="1">
      <c r="A324" s="5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5"/>
      <c r="M324" s="35"/>
      <c r="N324" s="35"/>
      <c r="O324" s="35"/>
      <c r="P324" s="5"/>
      <c r="Q324" s="5"/>
      <c r="R324" s="5"/>
      <c r="S324" s="5"/>
      <c r="T324" s="5"/>
      <c r="AF324" s="5"/>
      <c r="AG324" s="5"/>
      <c r="AH324" s="5"/>
      <c r="AI324" s="5"/>
      <c r="AJ324" s="5"/>
    </row>
    <row r="325" ht="12.75" customHeight="1">
      <c r="A325" s="5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5"/>
      <c r="M325" s="35"/>
      <c r="N325" s="35"/>
      <c r="O325" s="35"/>
      <c r="P325" s="5"/>
      <c r="Q325" s="5"/>
      <c r="R325" s="5"/>
      <c r="S325" s="5"/>
      <c r="T325" s="5"/>
      <c r="AF325" s="5"/>
      <c r="AG325" s="5"/>
      <c r="AH325" s="5"/>
      <c r="AI325" s="5"/>
      <c r="AJ325" s="5"/>
    </row>
    <row r="326" ht="12.75" customHeight="1">
      <c r="A326" s="5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5"/>
      <c r="M326" s="35"/>
      <c r="N326" s="35"/>
      <c r="O326" s="35"/>
      <c r="P326" s="5"/>
      <c r="Q326" s="5"/>
      <c r="R326" s="5"/>
      <c r="S326" s="5"/>
      <c r="T326" s="5"/>
      <c r="AF326" s="5"/>
      <c r="AG326" s="5"/>
      <c r="AH326" s="5"/>
      <c r="AI326" s="5"/>
      <c r="AJ326" s="5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58.86"/>
    <col customWidth="1" min="3" max="3" width="7.71"/>
    <col customWidth="1" min="4" max="4" width="7.0"/>
    <col customWidth="1" min="5" max="5" width="6.43"/>
    <col customWidth="1" min="6" max="6" width="6.71"/>
    <col customWidth="1" hidden="1" min="7" max="7" width="6.71"/>
    <col customWidth="1" hidden="1" min="8" max="8" width="6.29"/>
    <col customWidth="1" hidden="1" min="9" max="9" width="5.57"/>
    <col customWidth="1" hidden="1" min="10" max="11" width="6.14"/>
    <col customWidth="1" hidden="1" min="12" max="13" width="6.29"/>
    <col customWidth="1" hidden="1" min="14" max="15" width="6.43"/>
    <col customWidth="1" hidden="1" min="16" max="16" width="6.29"/>
    <col customWidth="1" hidden="1" min="17" max="17" width="6.0"/>
    <col customWidth="1" hidden="1" min="18" max="18" width="6.14"/>
    <col customWidth="1" hidden="1" min="19" max="19" width="6.57"/>
    <col customWidth="1" hidden="1" min="20" max="21" width="6.86"/>
    <col customWidth="1" hidden="1" min="22" max="23" width="7.0"/>
    <col customWidth="1" hidden="1" min="24" max="24" width="7.29"/>
    <col customWidth="1" hidden="1" min="25" max="25" width="7.43"/>
    <col customWidth="1" hidden="1" min="26" max="26" width="6.86"/>
    <col customWidth="1" hidden="1" min="27" max="27" width="6.0"/>
    <col customWidth="1" min="28" max="28" width="5.43"/>
    <col customWidth="1" min="29" max="29" width="5.14"/>
  </cols>
  <sheetData>
    <row r="1" ht="14.25" customHeight="1">
      <c r="A1" s="48"/>
      <c r="B1" s="49" t="s">
        <v>48</v>
      </c>
      <c r="C1" s="50" t="s">
        <v>8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2"/>
    </row>
    <row r="2" ht="14.25" customHeight="1">
      <c r="A2" s="48"/>
      <c r="B2" s="49" t="s">
        <v>49</v>
      </c>
      <c r="C2" s="53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5"/>
    </row>
    <row r="3" ht="14.25" customHeight="1">
      <c r="A3" s="48"/>
      <c r="B3" s="49"/>
      <c r="C3" s="56"/>
      <c r="D3" s="49"/>
      <c r="E3" s="49"/>
      <c r="F3" s="4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ht="14.25" customHeight="1">
      <c r="A4" s="48"/>
      <c r="B4" s="49"/>
      <c r="C4" s="56"/>
      <c r="D4" s="49"/>
      <c r="E4" s="49"/>
      <c r="F4" s="4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ht="14.25" customHeight="1">
      <c r="A5" s="57"/>
      <c r="B5" s="58" t="s">
        <v>21</v>
      </c>
      <c r="C5" s="59"/>
      <c r="D5" s="60"/>
      <c r="E5" s="60"/>
      <c r="F5" s="60"/>
      <c r="G5" s="61"/>
      <c r="H5" s="61"/>
      <c r="I5" s="61"/>
      <c r="J5" s="61"/>
      <c r="K5" s="61"/>
      <c r="L5" s="61"/>
      <c r="M5" s="61" t="s">
        <v>4</v>
      </c>
      <c r="N5" s="61"/>
      <c r="O5" s="61"/>
      <c r="P5" s="61"/>
      <c r="Q5" s="61"/>
      <c r="R5" s="61" t="s">
        <v>5</v>
      </c>
      <c r="S5" s="61"/>
      <c r="T5" s="61"/>
      <c r="U5" s="61"/>
      <c r="V5" s="61"/>
      <c r="W5" s="61" t="s">
        <v>6</v>
      </c>
      <c r="X5" s="61"/>
      <c r="Y5" s="61"/>
      <c r="Z5" s="61"/>
      <c r="AA5" s="61"/>
      <c r="AB5" s="61"/>
      <c r="AC5" s="61"/>
    </row>
    <row r="6" ht="14.25" customHeight="1">
      <c r="A6" s="48"/>
      <c r="B6" s="62" t="s">
        <v>50</v>
      </c>
      <c r="C6" s="63" t="s">
        <v>20</v>
      </c>
      <c r="D6" s="64" t="s">
        <v>51</v>
      </c>
      <c r="E6" s="64" t="s">
        <v>52</v>
      </c>
      <c r="F6" s="65" t="s">
        <v>53</v>
      </c>
      <c r="G6" s="5"/>
      <c r="H6" s="5"/>
      <c r="I6" s="5"/>
      <c r="J6" s="5"/>
      <c r="K6" s="5"/>
      <c r="L6" s="5"/>
      <c r="M6" s="5" t="s">
        <v>28</v>
      </c>
      <c r="N6" s="5" t="s">
        <v>30</v>
      </c>
      <c r="O6" s="5" t="s">
        <v>32</v>
      </c>
      <c r="P6" s="5" t="s">
        <v>34</v>
      </c>
      <c r="Q6" s="5" t="s">
        <v>35</v>
      </c>
      <c r="R6" s="5" t="s">
        <v>28</v>
      </c>
      <c r="S6" s="5" t="s">
        <v>30</v>
      </c>
      <c r="T6" s="5" t="s">
        <v>32</v>
      </c>
      <c r="U6" s="5" t="s">
        <v>34</v>
      </c>
      <c r="V6" s="5" t="s">
        <v>35</v>
      </c>
      <c r="W6" s="5" t="s">
        <v>28</v>
      </c>
      <c r="X6" s="5" t="s">
        <v>30</v>
      </c>
      <c r="Y6" s="5" t="s">
        <v>32</v>
      </c>
      <c r="Z6" s="5" t="s">
        <v>34</v>
      </c>
      <c r="AA6" s="5" t="s">
        <v>35</v>
      </c>
      <c r="AB6" s="5"/>
      <c r="AC6" s="5"/>
    </row>
    <row r="7" ht="14.25" customHeight="1">
      <c r="A7" s="48">
        <v>1.0</v>
      </c>
      <c r="B7" s="66" t="s">
        <v>54</v>
      </c>
      <c r="C7" s="67">
        <v>0.3</v>
      </c>
      <c r="D7" s="68">
        <v>4.0</v>
      </c>
      <c r="E7" s="68">
        <v>1.0</v>
      </c>
      <c r="F7" s="69">
        <f>'1RM'!$C$4*C7</f>
        <v>30</v>
      </c>
      <c r="G7" s="70">
        <f t="shared" ref="G7:G9" si="1">D7*E7</f>
        <v>4</v>
      </c>
      <c r="H7" s="70">
        <f t="shared" ref="H7:H9" si="2">F7*G7</f>
        <v>120</v>
      </c>
      <c r="I7" s="5"/>
      <c r="J7" s="5"/>
      <c r="K7" s="5"/>
      <c r="L7" s="5"/>
      <c r="M7" s="70" t="str">
        <f t="shared" ref="M7:M16" si="3">IF(ISNUMBER(SEARCH("Sentadilla",$B7)),IF($C7&gt;=0.5,IF($C7&lt;0.6,$D7*$E7," ")," ")," ")</f>
        <v> </v>
      </c>
      <c r="N7" s="70" t="str">
        <f t="shared" ref="N7:N16" si="4">IF(ISNUMBER(SEARCH("Sentadilla",$B7)),IF($C7&gt;=0.6,IF($C7&lt;0.7,$D7*$E7," ")," ")," ")</f>
        <v> </v>
      </c>
      <c r="O7" s="70" t="str">
        <f t="shared" ref="O7:O16" si="5">IF(ISNUMBER(SEARCH("Sentadilla",$B7)),IF($C7&gt;=0.7,IF($C7&lt;0.8,$D7*$E7," ")," ")," ")</f>
        <v> </v>
      </c>
      <c r="P7" s="70" t="str">
        <f t="shared" ref="P7:P16" si="6">IF(ISNUMBER(SEARCH("Sentadilla",$B7)),IF($C7&gt;=0.8,IF($C7&lt;0.9,$D7*$E7," ")," ")," ")</f>
        <v> </v>
      </c>
      <c r="Q7" s="70" t="str">
        <f t="shared" ref="Q7:Q16" si="7">IF(ISNUMBER(SEARCH("Sentadilla",$B7)),IF($C7&gt;=0.9,$D7*$E7," ")," ")</f>
        <v> </v>
      </c>
      <c r="R7" s="5" t="str">
        <f t="shared" ref="R7:R16" si="8">IF(ISNUMBER(SEARCH("Press de banca",$B7)),IF($C7&gt;=0.5,IF($C7&lt;0.6,$D7*$E7," ")," ")," ")</f>
        <v> </v>
      </c>
      <c r="S7" s="5" t="str">
        <f t="shared" ref="S7:S16" si="9">IF(ISNUMBER(SEARCH("Press de banca",$B7)),IF($C7&gt;=0.6,IF($C7&lt;0.7,$D7*$E7," ")," ")," ")</f>
        <v> </v>
      </c>
      <c r="T7" s="5" t="str">
        <f t="shared" ref="T7:T16" si="10">IF(ISNUMBER(SEARCH("Press de banca",$B7)),IF($C7&gt;=0.7,IF($C7&lt;0.8,$D7*$E7," ")," ")," ")</f>
        <v> </v>
      </c>
      <c r="U7" s="5" t="str">
        <f t="shared" ref="U7:U16" si="11">IF(ISNUMBER(SEARCH("Press de banca",$B7)),IF($C7&gt;=0.8,IF($C7&lt;0.9,$D7*$E7," ")," ")," ")</f>
        <v> </v>
      </c>
      <c r="V7" s="5" t="str">
        <f t="shared" ref="V7:V16" si="12">IF(ISNUMBER(SEARCH("Press de banca",$B7)),IF($C7&gt;=0.9,$D7*$E7," ")," ")</f>
        <v> </v>
      </c>
      <c r="W7" s="5"/>
      <c r="X7" s="5"/>
      <c r="Y7" s="5"/>
      <c r="Z7" s="5"/>
      <c r="AA7" s="5"/>
      <c r="AB7" s="5"/>
      <c r="AC7" s="5"/>
    </row>
    <row r="8" ht="14.25" customHeight="1">
      <c r="A8" s="48"/>
      <c r="B8" s="71"/>
      <c r="C8" s="67">
        <v>0.4</v>
      </c>
      <c r="D8" s="72">
        <v>4.0</v>
      </c>
      <c r="E8" s="68">
        <v>1.0</v>
      </c>
      <c r="F8" s="69">
        <f>'1RM'!$C$4*C8</f>
        <v>40</v>
      </c>
      <c r="G8" s="70">
        <f t="shared" si="1"/>
        <v>4</v>
      </c>
      <c r="H8" s="70">
        <f t="shared" si="2"/>
        <v>160</v>
      </c>
      <c r="I8" s="5"/>
      <c r="J8" s="5"/>
      <c r="K8" s="5"/>
      <c r="L8" s="5"/>
      <c r="M8" s="70" t="str">
        <f t="shared" si="3"/>
        <v> </v>
      </c>
      <c r="N8" s="70" t="str">
        <f t="shared" si="4"/>
        <v> </v>
      </c>
      <c r="O8" s="70" t="str">
        <f t="shared" si="5"/>
        <v> </v>
      </c>
      <c r="P8" s="70" t="str">
        <f t="shared" si="6"/>
        <v> </v>
      </c>
      <c r="Q8" s="70" t="str">
        <f t="shared" si="7"/>
        <v> </v>
      </c>
      <c r="R8" s="5" t="str">
        <f t="shared" si="8"/>
        <v> </v>
      </c>
      <c r="S8" s="5" t="str">
        <f t="shared" si="9"/>
        <v> </v>
      </c>
      <c r="T8" s="5" t="str">
        <f t="shared" si="10"/>
        <v> </v>
      </c>
      <c r="U8" s="5" t="str">
        <f t="shared" si="11"/>
        <v> </v>
      </c>
      <c r="V8" s="5" t="str">
        <f t="shared" si="12"/>
        <v> </v>
      </c>
      <c r="W8" s="5"/>
      <c r="X8" s="5"/>
      <c r="Y8" s="5"/>
      <c r="Z8" s="5"/>
      <c r="AA8" s="5"/>
      <c r="AB8" s="5"/>
      <c r="AC8" s="5"/>
    </row>
    <row r="9" ht="14.25" customHeight="1">
      <c r="A9" s="48"/>
      <c r="B9" s="71"/>
      <c r="C9" s="73">
        <v>0.5</v>
      </c>
      <c r="D9" s="74">
        <v>4.0</v>
      </c>
      <c r="E9" s="75">
        <v>3.0</v>
      </c>
      <c r="F9" s="76">
        <f>'1RM'!$C$4*C9</f>
        <v>50</v>
      </c>
      <c r="G9" s="70">
        <f t="shared" si="1"/>
        <v>12</v>
      </c>
      <c r="H9" s="70">
        <f t="shared" si="2"/>
        <v>600</v>
      </c>
      <c r="I9" s="5"/>
      <c r="J9" s="5"/>
      <c r="K9" s="5"/>
      <c r="L9" s="5"/>
      <c r="M9" s="70" t="str">
        <f t="shared" si="3"/>
        <v> </v>
      </c>
      <c r="N9" s="70" t="str">
        <f t="shared" si="4"/>
        <v> </v>
      </c>
      <c r="O9" s="70" t="str">
        <f t="shared" si="5"/>
        <v> </v>
      </c>
      <c r="P9" s="70" t="str">
        <f t="shared" si="6"/>
        <v> </v>
      </c>
      <c r="Q9" s="70" t="str">
        <f t="shared" si="7"/>
        <v> </v>
      </c>
      <c r="R9" s="5" t="str">
        <f t="shared" si="8"/>
        <v> </v>
      </c>
      <c r="S9" s="5" t="str">
        <f t="shared" si="9"/>
        <v> </v>
      </c>
      <c r="T9" s="5" t="str">
        <f t="shared" si="10"/>
        <v> </v>
      </c>
      <c r="U9" s="5" t="str">
        <f t="shared" si="11"/>
        <v> </v>
      </c>
      <c r="V9" s="5" t="str">
        <f t="shared" si="12"/>
        <v> </v>
      </c>
      <c r="W9" s="5"/>
      <c r="X9" s="5"/>
      <c r="Y9" s="5"/>
      <c r="Z9" s="5"/>
      <c r="AA9" s="5"/>
      <c r="AB9" s="5"/>
      <c r="AC9" s="5"/>
    </row>
    <row r="10" ht="14.25" customHeight="1">
      <c r="A10" s="48">
        <v>2.0</v>
      </c>
      <c r="B10" s="77" t="s">
        <v>5</v>
      </c>
      <c r="C10" s="78">
        <v>0.5</v>
      </c>
      <c r="D10" s="79">
        <v>5.0</v>
      </c>
      <c r="E10" s="80">
        <v>1.0</v>
      </c>
      <c r="F10" s="81">
        <f>'1RM'!$C$5*C10</f>
        <v>50</v>
      </c>
      <c r="G10" s="5"/>
      <c r="H10" s="5"/>
      <c r="I10" s="82">
        <f t="shared" ref="I10:I13" si="13">D10*E10</f>
        <v>5</v>
      </c>
      <c r="J10" s="82">
        <f t="shared" ref="J10:J13" si="14">F10*I10</f>
        <v>250</v>
      </c>
      <c r="K10" s="5"/>
      <c r="L10" s="5"/>
      <c r="M10" s="5" t="str">
        <f t="shared" si="3"/>
        <v> </v>
      </c>
      <c r="N10" s="5" t="str">
        <f t="shared" si="4"/>
        <v> </v>
      </c>
      <c r="O10" s="5" t="str">
        <f t="shared" si="5"/>
        <v> </v>
      </c>
      <c r="P10" s="5" t="str">
        <f t="shared" si="6"/>
        <v> </v>
      </c>
      <c r="Q10" s="5" t="str">
        <f t="shared" si="7"/>
        <v> </v>
      </c>
      <c r="R10" s="82">
        <f t="shared" si="8"/>
        <v>5</v>
      </c>
      <c r="S10" s="82" t="str">
        <f t="shared" si="9"/>
        <v> </v>
      </c>
      <c r="T10" s="82" t="str">
        <f t="shared" si="10"/>
        <v> </v>
      </c>
      <c r="U10" s="82" t="str">
        <f t="shared" si="11"/>
        <v> </v>
      </c>
      <c r="V10" s="82" t="str">
        <f t="shared" si="12"/>
        <v> </v>
      </c>
      <c r="W10" s="5"/>
      <c r="X10" s="5"/>
      <c r="Y10" s="5"/>
      <c r="Z10" s="5"/>
      <c r="AA10" s="5"/>
      <c r="AB10" s="5"/>
      <c r="AC10" s="5"/>
    </row>
    <row r="11" ht="14.25" customHeight="1">
      <c r="A11" s="48"/>
      <c r="B11" s="83"/>
      <c r="C11" s="78">
        <v>0.6</v>
      </c>
      <c r="D11" s="79">
        <v>4.0</v>
      </c>
      <c r="E11" s="80">
        <v>1.0</v>
      </c>
      <c r="F11" s="81">
        <f>'1RM'!$C$5*C11</f>
        <v>60</v>
      </c>
      <c r="G11" s="5"/>
      <c r="H11" s="5"/>
      <c r="I11" s="82">
        <f t="shared" si="13"/>
        <v>4</v>
      </c>
      <c r="J11" s="82">
        <f t="shared" si="14"/>
        <v>240</v>
      </c>
      <c r="K11" s="5"/>
      <c r="L11" s="5"/>
      <c r="M11" s="5" t="str">
        <f t="shared" si="3"/>
        <v> </v>
      </c>
      <c r="N11" s="5" t="str">
        <f t="shared" si="4"/>
        <v> </v>
      </c>
      <c r="O11" s="5" t="str">
        <f t="shared" si="5"/>
        <v> </v>
      </c>
      <c r="P11" s="5" t="str">
        <f t="shared" si="6"/>
        <v> </v>
      </c>
      <c r="Q11" s="5" t="str">
        <f t="shared" si="7"/>
        <v> </v>
      </c>
      <c r="R11" s="82" t="str">
        <f t="shared" si="8"/>
        <v> </v>
      </c>
      <c r="S11" s="82" t="str">
        <f t="shared" si="9"/>
        <v> </v>
      </c>
      <c r="T11" s="82" t="str">
        <f t="shared" si="10"/>
        <v> </v>
      </c>
      <c r="U11" s="82" t="str">
        <f t="shared" si="11"/>
        <v> </v>
      </c>
      <c r="V11" s="82" t="str">
        <f t="shared" si="12"/>
        <v> </v>
      </c>
      <c r="W11" s="5"/>
      <c r="X11" s="5"/>
      <c r="Y11" s="5"/>
      <c r="Z11" s="5"/>
      <c r="AA11" s="5"/>
      <c r="AB11" s="5"/>
      <c r="AC11" s="5"/>
    </row>
    <row r="12" ht="14.25" customHeight="1">
      <c r="A12" s="48"/>
      <c r="B12" s="83"/>
      <c r="C12" s="78">
        <v>0.7</v>
      </c>
      <c r="D12" s="79">
        <v>3.0</v>
      </c>
      <c r="E12" s="80">
        <v>1.0</v>
      </c>
      <c r="F12" s="81">
        <f>'1RM'!$C$5*C12</f>
        <v>70</v>
      </c>
      <c r="G12" s="5"/>
      <c r="H12" s="5"/>
      <c r="I12" s="82">
        <f t="shared" si="13"/>
        <v>3</v>
      </c>
      <c r="J12" s="82">
        <f t="shared" si="14"/>
        <v>210</v>
      </c>
      <c r="K12" s="5"/>
      <c r="L12" s="5"/>
      <c r="M12" s="5" t="str">
        <f t="shared" si="3"/>
        <v> </v>
      </c>
      <c r="N12" s="5" t="str">
        <f t="shared" si="4"/>
        <v> </v>
      </c>
      <c r="O12" s="5" t="str">
        <f t="shared" si="5"/>
        <v> </v>
      </c>
      <c r="P12" s="5" t="str">
        <f t="shared" si="6"/>
        <v> </v>
      </c>
      <c r="Q12" s="5" t="str">
        <f t="shared" si="7"/>
        <v> </v>
      </c>
      <c r="R12" s="82" t="str">
        <f t="shared" si="8"/>
        <v> </v>
      </c>
      <c r="S12" s="82" t="str">
        <f t="shared" si="9"/>
        <v> </v>
      </c>
      <c r="T12" s="82" t="str">
        <f t="shared" si="10"/>
        <v> </v>
      </c>
      <c r="U12" s="82" t="str">
        <f t="shared" si="11"/>
        <v> </v>
      </c>
      <c r="V12" s="82" t="str">
        <f t="shared" si="12"/>
        <v> </v>
      </c>
      <c r="W12" s="5"/>
      <c r="X12" s="5"/>
      <c r="Y12" s="5"/>
      <c r="Z12" s="5"/>
      <c r="AA12" s="5"/>
      <c r="AB12" s="5"/>
      <c r="AC12" s="5"/>
    </row>
    <row r="13" ht="14.25" customHeight="1">
      <c r="A13" s="48"/>
      <c r="B13" s="83"/>
      <c r="C13" s="84">
        <v>0.75</v>
      </c>
      <c r="D13" s="85">
        <v>2.0</v>
      </c>
      <c r="E13" s="86">
        <v>4.0</v>
      </c>
      <c r="F13" s="87">
        <f>'1RM'!$C$5*C13</f>
        <v>75</v>
      </c>
      <c r="G13" s="5"/>
      <c r="H13" s="5"/>
      <c r="I13" s="82">
        <f t="shared" si="13"/>
        <v>8</v>
      </c>
      <c r="J13" s="82">
        <f t="shared" si="14"/>
        <v>600</v>
      </c>
      <c r="K13" s="5"/>
      <c r="L13" s="5"/>
      <c r="M13" s="5" t="str">
        <f t="shared" si="3"/>
        <v> </v>
      </c>
      <c r="N13" s="5" t="str">
        <f t="shared" si="4"/>
        <v> </v>
      </c>
      <c r="O13" s="5" t="str">
        <f t="shared" si="5"/>
        <v> </v>
      </c>
      <c r="P13" s="5" t="str">
        <f t="shared" si="6"/>
        <v> </v>
      </c>
      <c r="Q13" s="5" t="str">
        <f t="shared" si="7"/>
        <v> </v>
      </c>
      <c r="R13" s="82" t="str">
        <f t="shared" si="8"/>
        <v> </v>
      </c>
      <c r="S13" s="82" t="str">
        <f t="shared" si="9"/>
        <v> </v>
      </c>
      <c r="T13" s="82" t="str">
        <f t="shared" si="10"/>
        <v> </v>
      </c>
      <c r="U13" s="82" t="str">
        <f t="shared" si="11"/>
        <v> </v>
      </c>
      <c r="V13" s="82" t="str">
        <f t="shared" si="12"/>
        <v> </v>
      </c>
      <c r="W13" s="5"/>
      <c r="X13" s="5"/>
      <c r="Y13" s="5"/>
      <c r="Z13" s="5"/>
      <c r="AA13" s="5"/>
      <c r="AB13" s="5"/>
      <c r="AC13" s="5"/>
    </row>
    <row r="14" ht="14.25" customHeight="1">
      <c r="A14" s="48">
        <v>3.0</v>
      </c>
      <c r="B14" s="66" t="s">
        <v>4</v>
      </c>
      <c r="C14" s="67">
        <v>0.55</v>
      </c>
      <c r="D14" s="72">
        <v>3.0</v>
      </c>
      <c r="E14" s="68">
        <v>1.0</v>
      </c>
      <c r="F14" s="69">
        <f>'1RM'!$C$4*C14</f>
        <v>55</v>
      </c>
      <c r="G14" s="70">
        <f t="shared" ref="G14:G16" si="15">D14*E14</f>
        <v>3</v>
      </c>
      <c r="H14" s="70">
        <f t="shared" ref="H14:H16" si="16">F14*G14</f>
        <v>165</v>
      </c>
      <c r="I14" s="5"/>
      <c r="J14" s="5"/>
      <c r="K14" s="5"/>
      <c r="L14" s="5"/>
      <c r="M14" s="70">
        <f t="shared" si="3"/>
        <v>3</v>
      </c>
      <c r="N14" s="70" t="str">
        <f t="shared" si="4"/>
        <v> </v>
      </c>
      <c r="O14" s="70" t="str">
        <f t="shared" si="5"/>
        <v> </v>
      </c>
      <c r="P14" s="70" t="str">
        <f t="shared" si="6"/>
        <v> </v>
      </c>
      <c r="Q14" s="70" t="str">
        <f t="shared" si="7"/>
        <v> </v>
      </c>
      <c r="R14" s="5" t="str">
        <f t="shared" si="8"/>
        <v> </v>
      </c>
      <c r="S14" s="5" t="str">
        <f t="shared" si="9"/>
        <v> </v>
      </c>
      <c r="T14" s="5" t="str">
        <f t="shared" si="10"/>
        <v> </v>
      </c>
      <c r="U14" s="5" t="str">
        <f t="shared" si="11"/>
        <v> </v>
      </c>
      <c r="V14" s="5" t="str">
        <f t="shared" si="12"/>
        <v> </v>
      </c>
      <c r="W14" s="5"/>
      <c r="X14" s="5"/>
      <c r="Y14" s="5"/>
      <c r="Z14" s="5"/>
      <c r="AA14" s="5"/>
      <c r="AB14" s="5"/>
      <c r="AC14" s="5"/>
    </row>
    <row r="15" ht="14.25" customHeight="1">
      <c r="A15" s="48"/>
      <c r="B15" s="71"/>
      <c r="C15" s="67">
        <v>0.65</v>
      </c>
      <c r="D15" s="72">
        <v>3.0</v>
      </c>
      <c r="E15" s="68">
        <v>1.0</v>
      </c>
      <c r="F15" s="69">
        <f>'1RM'!$C$4*C15</f>
        <v>65</v>
      </c>
      <c r="G15" s="70">
        <f t="shared" si="15"/>
        <v>3</v>
      </c>
      <c r="H15" s="70">
        <f t="shared" si="16"/>
        <v>195</v>
      </c>
      <c r="I15" s="5"/>
      <c r="J15" s="5"/>
      <c r="K15" s="5"/>
      <c r="L15" s="5"/>
      <c r="M15" s="70" t="str">
        <f t="shared" si="3"/>
        <v> </v>
      </c>
      <c r="N15" s="70" t="str">
        <f t="shared" si="4"/>
        <v> </v>
      </c>
      <c r="O15" s="70" t="str">
        <f t="shared" si="5"/>
        <v> </v>
      </c>
      <c r="P15" s="70" t="str">
        <f t="shared" si="6"/>
        <v> </v>
      </c>
      <c r="Q15" s="70" t="str">
        <f t="shared" si="7"/>
        <v> </v>
      </c>
      <c r="R15" s="5" t="str">
        <f t="shared" si="8"/>
        <v> </v>
      </c>
      <c r="S15" s="5" t="str">
        <f t="shared" si="9"/>
        <v> </v>
      </c>
      <c r="T15" s="5" t="str">
        <f t="shared" si="10"/>
        <v> </v>
      </c>
      <c r="U15" s="5" t="str">
        <f t="shared" si="11"/>
        <v> </v>
      </c>
      <c r="V15" s="5" t="str">
        <f t="shared" si="12"/>
        <v> </v>
      </c>
      <c r="W15" s="5"/>
      <c r="X15" s="5"/>
      <c r="Y15" s="5"/>
      <c r="Z15" s="5"/>
      <c r="AA15" s="5"/>
      <c r="AB15" s="5"/>
      <c r="AC15" s="5"/>
    </row>
    <row r="16" ht="14.25" customHeight="1">
      <c r="A16" s="48"/>
      <c r="B16" s="71"/>
      <c r="C16" s="73">
        <v>0.75</v>
      </c>
      <c r="D16" s="74">
        <v>2.0</v>
      </c>
      <c r="E16" s="75">
        <v>4.0</v>
      </c>
      <c r="F16" s="76">
        <f>'1RM'!$C$4*C16</f>
        <v>75</v>
      </c>
      <c r="G16" s="70">
        <f t="shared" si="15"/>
        <v>8</v>
      </c>
      <c r="H16" s="70">
        <f t="shared" si="16"/>
        <v>600</v>
      </c>
      <c r="I16" s="5"/>
      <c r="J16" s="5"/>
      <c r="K16" s="5"/>
      <c r="L16" s="5"/>
      <c r="M16" s="70" t="str">
        <f t="shared" si="3"/>
        <v> </v>
      </c>
      <c r="N16" s="70" t="str">
        <f t="shared" si="4"/>
        <v> </v>
      </c>
      <c r="O16" s="70" t="str">
        <f t="shared" si="5"/>
        <v> </v>
      </c>
      <c r="P16" s="70" t="str">
        <f t="shared" si="6"/>
        <v> </v>
      </c>
      <c r="Q16" s="70" t="str">
        <f t="shared" si="7"/>
        <v> </v>
      </c>
      <c r="R16" s="5" t="str">
        <f t="shared" si="8"/>
        <v> </v>
      </c>
      <c r="S16" s="5" t="str">
        <f t="shared" si="9"/>
        <v> </v>
      </c>
      <c r="T16" s="5" t="str">
        <f t="shared" si="10"/>
        <v> </v>
      </c>
      <c r="U16" s="5" t="str">
        <f t="shared" si="11"/>
        <v> </v>
      </c>
      <c r="V16" s="5" t="str">
        <f t="shared" si="12"/>
        <v> </v>
      </c>
      <c r="W16" s="5"/>
      <c r="X16" s="5"/>
      <c r="Y16" s="5"/>
      <c r="Z16" s="5"/>
      <c r="AA16" s="5"/>
      <c r="AB16" s="5"/>
      <c r="AC16" s="5"/>
    </row>
    <row r="17" ht="14.25" customHeight="1">
      <c r="A17" s="48">
        <v>4.0</v>
      </c>
      <c r="B17" s="88" t="s">
        <v>55</v>
      </c>
      <c r="C17" s="56"/>
      <c r="D17" s="49">
        <v>10.0</v>
      </c>
      <c r="E17" s="49">
        <v>5.0</v>
      </c>
      <c r="F17" s="8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14.25" customHeight="1">
      <c r="A18" s="48">
        <v>5.0</v>
      </c>
      <c r="B18" s="90" t="s">
        <v>56</v>
      </c>
      <c r="C18" s="91"/>
      <c r="D18" s="92">
        <v>10.0</v>
      </c>
      <c r="E18" s="92">
        <v>3.0</v>
      </c>
      <c r="F18" s="93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ht="14.25" customHeight="1">
      <c r="A19" s="48"/>
      <c r="B19" s="49"/>
      <c r="C19" s="56"/>
      <c r="D19" s="49"/>
      <c r="E19" s="49"/>
      <c r="F19" s="4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ht="14.25" customHeight="1">
      <c r="A20" s="48"/>
      <c r="B20" s="62" t="s">
        <v>57</v>
      </c>
      <c r="C20" s="63" t="s">
        <v>20</v>
      </c>
      <c r="D20" s="64" t="s">
        <v>51</v>
      </c>
      <c r="E20" s="64" t="s">
        <v>52</v>
      </c>
      <c r="F20" s="65" t="s">
        <v>53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ht="14.25" customHeight="1">
      <c r="A21" s="48">
        <v>1.0</v>
      </c>
      <c r="B21" s="94" t="s">
        <v>58</v>
      </c>
      <c r="C21" s="95">
        <v>0.5</v>
      </c>
      <c r="D21" s="96">
        <v>3.0</v>
      </c>
      <c r="E21" s="97">
        <v>1.0</v>
      </c>
      <c r="F21" s="98">
        <f>'1RM'!$C$6*C21</f>
        <v>50</v>
      </c>
      <c r="G21" s="5"/>
      <c r="H21" s="5"/>
      <c r="I21" s="5"/>
      <c r="J21" s="5"/>
      <c r="K21" s="99">
        <f t="shared" ref="K21:K23" si="17">D21*E21</f>
        <v>3</v>
      </c>
      <c r="L21" s="99">
        <f t="shared" ref="L21:L23" si="18">F21*K21</f>
        <v>150</v>
      </c>
      <c r="M21" s="5"/>
      <c r="N21" s="5"/>
      <c r="O21" s="5"/>
      <c r="P21" s="5"/>
      <c r="Q21" s="5"/>
      <c r="R21" s="5" t="str">
        <f t="shared" ref="R21:R34" si="19">IF(ISNUMBER(SEARCH("Press de banca",$B21)),IF($C21&gt;=0.5,IF($C21&lt;0.6,$D21*$E21," ")," ")," ")</f>
        <v> </v>
      </c>
      <c r="S21" s="5" t="str">
        <f t="shared" ref="S21:S34" si="20">IF(ISNUMBER(SEARCH("Press de banca",$B21)),IF($C21&gt;=0.6,IF($C21&lt;0.7,$D21*$E21," ")," ")," ")</f>
        <v> </v>
      </c>
      <c r="T21" s="5" t="str">
        <f t="shared" ref="T21:T34" si="21">IF(ISNUMBER(SEARCH("Press de banca",$B21)),IF($C21&gt;=0.7,IF($C21&lt;0.8,$D21*$E21," ")," ")," ")</f>
        <v> </v>
      </c>
      <c r="U21" s="5" t="str">
        <f t="shared" ref="U21:U34" si="22">IF(ISNUMBER(SEARCH("Press de banca",$B21)),IF($C21&gt;=0.8,IF($C21&lt;0.9,$D21*$E21," ")," ")," ")</f>
        <v> </v>
      </c>
      <c r="V21" s="5" t="str">
        <f t="shared" ref="V21:V34" si="23">IF(ISNUMBER(SEARCH("Press de banca",$B21)),IF($C21&gt;=0.9,$D21*$E21," ")," ")</f>
        <v> </v>
      </c>
      <c r="W21" s="100">
        <f t="shared" ref="W21:W34" si="24">IF(ISNUMBER(SEARCH("Peso muerto",$B21)),IF($C21&gt;=0.5,IF($C21&lt;0.6,$D21*$E21," ")," ")," ")</f>
        <v>3</v>
      </c>
      <c r="X21" s="100" t="str">
        <f t="shared" ref="X21:X34" si="25">IF(ISNUMBER(SEARCH("Peso muerto",$B21)),IF($C21&gt;=0.6,IF($C21&lt;0.7,$D21*$E21," ")," ")," ")</f>
        <v> </v>
      </c>
      <c r="Y21" s="100" t="str">
        <f t="shared" ref="Y21:Y34" si="26">IF(ISNUMBER(SEARCH("Peso muerto",$B21)),IF($C21&gt;=0.7,IF($C21&lt;0.8,$D21*$E21," ")," ")," ")</f>
        <v> </v>
      </c>
      <c r="Z21" s="100" t="str">
        <f t="shared" ref="Z21:Z34" si="27">IF(ISNUMBER(SEARCH("Peso muerto",$B21)),IF($C21&gt;=0.8,IF($C21&lt;0.9,$D21*$E21," ")," ")," ")</f>
        <v> </v>
      </c>
      <c r="AA21" s="100" t="str">
        <f t="shared" ref="AA21:AA34" si="28">IF(ISNUMBER(SEARCH("Peso muerto",$B21)),IF($C21&gt;=0.9,$D21*$E21," ")," ")</f>
        <v> </v>
      </c>
      <c r="AB21" s="5"/>
      <c r="AC21" s="5"/>
    </row>
    <row r="22" ht="14.25" customHeight="1">
      <c r="A22" s="48"/>
      <c r="B22" s="94"/>
      <c r="C22" s="95">
        <v>0.6</v>
      </c>
      <c r="D22" s="96">
        <v>3.0</v>
      </c>
      <c r="E22" s="97">
        <v>1.0</v>
      </c>
      <c r="F22" s="98">
        <f>'1RM'!$C$6*C22</f>
        <v>60</v>
      </c>
      <c r="G22" s="5"/>
      <c r="H22" s="5"/>
      <c r="I22" s="5"/>
      <c r="J22" s="5"/>
      <c r="K22" s="99">
        <f t="shared" si="17"/>
        <v>3</v>
      </c>
      <c r="L22" s="99">
        <f t="shared" si="18"/>
        <v>180</v>
      </c>
      <c r="M22" s="5"/>
      <c r="N22" s="5"/>
      <c r="O22" s="5"/>
      <c r="P22" s="5"/>
      <c r="Q22" s="5"/>
      <c r="R22" s="5" t="str">
        <f t="shared" si="19"/>
        <v> </v>
      </c>
      <c r="S22" s="5" t="str">
        <f t="shared" si="20"/>
        <v> </v>
      </c>
      <c r="T22" s="5" t="str">
        <f t="shared" si="21"/>
        <v> </v>
      </c>
      <c r="U22" s="5" t="str">
        <f t="shared" si="22"/>
        <v> </v>
      </c>
      <c r="V22" s="5" t="str">
        <f t="shared" si="23"/>
        <v> </v>
      </c>
      <c r="W22" s="100" t="str">
        <f t="shared" si="24"/>
        <v> </v>
      </c>
      <c r="X22" s="100" t="str">
        <f t="shared" si="25"/>
        <v> </v>
      </c>
      <c r="Y22" s="100" t="str">
        <f t="shared" si="26"/>
        <v> </v>
      </c>
      <c r="Z22" s="100" t="str">
        <f t="shared" si="27"/>
        <v> </v>
      </c>
      <c r="AA22" s="100" t="str">
        <f t="shared" si="28"/>
        <v> </v>
      </c>
      <c r="AB22" s="5"/>
      <c r="AC22" s="5"/>
    </row>
    <row r="23" ht="14.25" customHeight="1">
      <c r="A23" s="48"/>
      <c r="B23" s="94"/>
      <c r="C23" s="101">
        <v>0.7</v>
      </c>
      <c r="D23" s="102">
        <v>3.0</v>
      </c>
      <c r="E23" s="103">
        <v>4.0</v>
      </c>
      <c r="F23" s="104">
        <f>'1RM'!$C$6*C23</f>
        <v>70</v>
      </c>
      <c r="G23" s="5"/>
      <c r="H23" s="5"/>
      <c r="I23" s="5"/>
      <c r="J23" s="5"/>
      <c r="K23" s="99">
        <f t="shared" si="17"/>
        <v>12</v>
      </c>
      <c r="L23" s="99">
        <f t="shared" si="18"/>
        <v>840</v>
      </c>
      <c r="M23" s="5"/>
      <c r="N23" s="5"/>
      <c r="O23" s="5"/>
      <c r="P23" s="5"/>
      <c r="Q23" s="5"/>
      <c r="R23" s="5" t="str">
        <f t="shared" si="19"/>
        <v> </v>
      </c>
      <c r="S23" s="5" t="str">
        <f t="shared" si="20"/>
        <v> </v>
      </c>
      <c r="T23" s="5" t="str">
        <f t="shared" si="21"/>
        <v> </v>
      </c>
      <c r="U23" s="5" t="str">
        <f t="shared" si="22"/>
        <v> </v>
      </c>
      <c r="V23" s="5" t="str">
        <f t="shared" si="23"/>
        <v> </v>
      </c>
      <c r="W23" s="100" t="str">
        <f t="shared" si="24"/>
        <v> </v>
      </c>
      <c r="X23" s="100" t="str">
        <f t="shared" si="25"/>
        <v> </v>
      </c>
      <c r="Y23" s="100" t="str">
        <f t="shared" si="26"/>
        <v> </v>
      </c>
      <c r="Z23" s="100" t="str">
        <f t="shared" si="27"/>
        <v> </v>
      </c>
      <c r="AA23" s="100" t="str">
        <f t="shared" si="28"/>
        <v> </v>
      </c>
      <c r="AB23" s="5"/>
      <c r="AC23" s="5"/>
    </row>
    <row r="24" ht="14.25" customHeight="1">
      <c r="A24" s="48">
        <v>2.0</v>
      </c>
      <c r="B24" s="77" t="s">
        <v>5</v>
      </c>
      <c r="C24" s="78">
        <v>0.5</v>
      </c>
      <c r="D24" s="79">
        <v>5.0</v>
      </c>
      <c r="E24" s="80">
        <v>1.0</v>
      </c>
      <c r="F24" s="81">
        <f>'1RM'!$C$5*C24</f>
        <v>50</v>
      </c>
      <c r="G24" s="5"/>
      <c r="H24" s="5"/>
      <c r="I24" s="82">
        <f t="shared" ref="I24:I31" si="29">D24*E24</f>
        <v>5</v>
      </c>
      <c r="J24" s="82">
        <f t="shared" ref="J24:J31" si="30">F24*I24</f>
        <v>250</v>
      </c>
      <c r="K24" s="5"/>
      <c r="L24" s="5"/>
      <c r="M24" s="5"/>
      <c r="N24" s="5"/>
      <c r="O24" s="5"/>
      <c r="P24" s="5"/>
      <c r="Q24" s="5"/>
      <c r="R24" s="82">
        <f t="shared" si="19"/>
        <v>5</v>
      </c>
      <c r="S24" s="82" t="str">
        <f t="shared" si="20"/>
        <v> </v>
      </c>
      <c r="T24" s="82" t="str">
        <f t="shared" si="21"/>
        <v> </v>
      </c>
      <c r="U24" s="82" t="str">
        <f t="shared" si="22"/>
        <v> </v>
      </c>
      <c r="V24" s="82" t="str">
        <f t="shared" si="23"/>
        <v> </v>
      </c>
      <c r="W24" s="5" t="str">
        <f t="shared" si="24"/>
        <v> </v>
      </c>
      <c r="X24" s="5" t="str">
        <f t="shared" si="25"/>
        <v> </v>
      </c>
      <c r="Y24" s="5" t="str">
        <f t="shared" si="26"/>
        <v> </v>
      </c>
      <c r="Z24" s="5" t="str">
        <f t="shared" si="27"/>
        <v> </v>
      </c>
      <c r="AA24" s="5" t="str">
        <f t="shared" si="28"/>
        <v> </v>
      </c>
      <c r="AB24" s="5"/>
      <c r="AC24" s="5"/>
    </row>
    <row r="25" ht="14.25" customHeight="1">
      <c r="A25" s="48"/>
      <c r="B25" s="83"/>
      <c r="C25" s="78">
        <v>0.6</v>
      </c>
      <c r="D25" s="79">
        <v>5.0</v>
      </c>
      <c r="E25" s="80">
        <v>1.0</v>
      </c>
      <c r="F25" s="81">
        <f>'1RM'!$C$5*C25</f>
        <v>60</v>
      </c>
      <c r="G25" s="5"/>
      <c r="H25" s="5"/>
      <c r="I25" s="82">
        <f t="shared" si="29"/>
        <v>5</v>
      </c>
      <c r="J25" s="82">
        <f t="shared" si="30"/>
        <v>300</v>
      </c>
      <c r="K25" s="5"/>
      <c r="L25" s="5"/>
      <c r="M25" s="5"/>
      <c r="N25" s="5"/>
      <c r="O25" s="5"/>
      <c r="P25" s="5"/>
      <c r="Q25" s="5"/>
      <c r="R25" s="82" t="str">
        <f t="shared" si="19"/>
        <v> </v>
      </c>
      <c r="S25" s="82" t="str">
        <f t="shared" si="20"/>
        <v> </v>
      </c>
      <c r="T25" s="82" t="str">
        <f t="shared" si="21"/>
        <v> </v>
      </c>
      <c r="U25" s="82" t="str">
        <f t="shared" si="22"/>
        <v> </v>
      </c>
      <c r="V25" s="82" t="str">
        <f t="shared" si="23"/>
        <v> </v>
      </c>
      <c r="W25" s="5" t="str">
        <f t="shared" si="24"/>
        <v> </v>
      </c>
      <c r="X25" s="5" t="str">
        <f t="shared" si="25"/>
        <v> </v>
      </c>
      <c r="Y25" s="5" t="str">
        <f t="shared" si="26"/>
        <v> </v>
      </c>
      <c r="Z25" s="5" t="str">
        <f t="shared" si="27"/>
        <v> </v>
      </c>
      <c r="AA25" s="5" t="str">
        <f t="shared" si="28"/>
        <v> </v>
      </c>
      <c r="AB25" s="5"/>
      <c r="AC25" s="5"/>
    </row>
    <row r="26" ht="14.25" customHeight="1">
      <c r="A26" s="48"/>
      <c r="B26" s="83"/>
      <c r="C26" s="84">
        <v>0.7</v>
      </c>
      <c r="D26" s="85">
        <v>3.0</v>
      </c>
      <c r="E26" s="86">
        <v>1.0</v>
      </c>
      <c r="F26" s="87">
        <f>'1RM'!$C$5*C26</f>
        <v>70</v>
      </c>
      <c r="G26" s="5"/>
      <c r="H26" s="5"/>
      <c r="I26" s="82">
        <f t="shared" si="29"/>
        <v>3</v>
      </c>
      <c r="J26" s="82">
        <f t="shared" si="30"/>
        <v>210</v>
      </c>
      <c r="K26" s="5"/>
      <c r="L26" s="5"/>
      <c r="M26" s="5"/>
      <c r="N26" s="5"/>
      <c r="O26" s="5"/>
      <c r="P26" s="5"/>
      <c r="Q26" s="5"/>
      <c r="R26" s="82" t="str">
        <f t="shared" si="19"/>
        <v> </v>
      </c>
      <c r="S26" s="82" t="str">
        <f t="shared" si="20"/>
        <v> </v>
      </c>
      <c r="T26" s="82" t="str">
        <f t="shared" si="21"/>
        <v> </v>
      </c>
      <c r="U26" s="82" t="str">
        <f t="shared" si="22"/>
        <v> </v>
      </c>
      <c r="V26" s="82" t="str">
        <f t="shared" si="23"/>
        <v> </v>
      </c>
      <c r="W26" s="5" t="str">
        <f t="shared" si="24"/>
        <v> </v>
      </c>
      <c r="X26" s="5" t="str">
        <f t="shared" si="25"/>
        <v> </v>
      </c>
      <c r="Y26" s="5" t="str">
        <f t="shared" si="26"/>
        <v> </v>
      </c>
      <c r="Z26" s="5" t="str">
        <f t="shared" si="27"/>
        <v> </v>
      </c>
      <c r="AA26" s="5" t="str">
        <f t="shared" si="28"/>
        <v> </v>
      </c>
      <c r="AB26" s="5"/>
      <c r="AC26" s="5"/>
    </row>
    <row r="27" ht="14.25" customHeight="1">
      <c r="A27" s="48"/>
      <c r="B27" s="83"/>
      <c r="C27" s="84">
        <v>0.7</v>
      </c>
      <c r="D27" s="85">
        <v>5.0</v>
      </c>
      <c r="E27" s="86">
        <v>1.0</v>
      </c>
      <c r="F27" s="87">
        <f>'1RM'!$C$5*C27</f>
        <v>70</v>
      </c>
      <c r="G27" s="5"/>
      <c r="H27" s="5"/>
      <c r="I27" s="82">
        <f t="shared" si="29"/>
        <v>5</v>
      </c>
      <c r="J27" s="82">
        <f t="shared" si="30"/>
        <v>350</v>
      </c>
      <c r="K27" s="5"/>
      <c r="L27" s="5"/>
      <c r="M27" s="5"/>
      <c r="N27" s="5"/>
      <c r="O27" s="5"/>
      <c r="P27" s="5"/>
      <c r="Q27" s="5"/>
      <c r="R27" s="82" t="str">
        <f t="shared" si="19"/>
        <v> </v>
      </c>
      <c r="S27" s="82" t="str">
        <f t="shared" si="20"/>
        <v> </v>
      </c>
      <c r="T27" s="82" t="str">
        <f t="shared" si="21"/>
        <v> </v>
      </c>
      <c r="U27" s="82" t="str">
        <f t="shared" si="22"/>
        <v> </v>
      </c>
      <c r="V27" s="82" t="str">
        <f t="shared" si="23"/>
        <v> </v>
      </c>
      <c r="W27" s="5" t="str">
        <f t="shared" si="24"/>
        <v> </v>
      </c>
      <c r="X27" s="5" t="str">
        <f t="shared" si="25"/>
        <v> </v>
      </c>
      <c r="Y27" s="5" t="str">
        <f t="shared" si="26"/>
        <v> </v>
      </c>
      <c r="Z27" s="5" t="str">
        <f t="shared" si="27"/>
        <v> </v>
      </c>
      <c r="AA27" s="5" t="str">
        <f t="shared" si="28"/>
        <v> </v>
      </c>
      <c r="AB27" s="5"/>
      <c r="AC27" s="5"/>
    </row>
    <row r="28" ht="14.25" customHeight="1">
      <c r="A28" s="48"/>
      <c r="B28" s="83"/>
      <c r="C28" s="84">
        <v>0.7</v>
      </c>
      <c r="D28" s="85">
        <v>7.0</v>
      </c>
      <c r="E28" s="86">
        <v>1.0</v>
      </c>
      <c r="F28" s="87">
        <f>'1RM'!$C$5*C28</f>
        <v>70</v>
      </c>
      <c r="G28" s="5"/>
      <c r="H28" s="5"/>
      <c r="I28" s="82">
        <f t="shared" si="29"/>
        <v>7</v>
      </c>
      <c r="J28" s="82">
        <f t="shared" si="30"/>
        <v>490</v>
      </c>
      <c r="K28" s="5"/>
      <c r="L28" s="5"/>
      <c r="M28" s="5"/>
      <c r="N28" s="5"/>
      <c r="O28" s="5"/>
      <c r="P28" s="5"/>
      <c r="Q28" s="5"/>
      <c r="R28" s="82" t="str">
        <f t="shared" si="19"/>
        <v> </v>
      </c>
      <c r="S28" s="82" t="str">
        <f t="shared" si="20"/>
        <v> </v>
      </c>
      <c r="T28" s="82" t="str">
        <f t="shared" si="21"/>
        <v> </v>
      </c>
      <c r="U28" s="82" t="str">
        <f t="shared" si="22"/>
        <v> </v>
      </c>
      <c r="V28" s="82" t="str">
        <f t="shared" si="23"/>
        <v> </v>
      </c>
      <c r="W28" s="5" t="str">
        <f t="shared" si="24"/>
        <v> </v>
      </c>
      <c r="X28" s="5" t="str">
        <f t="shared" si="25"/>
        <v> </v>
      </c>
      <c r="Y28" s="5" t="str">
        <f t="shared" si="26"/>
        <v> </v>
      </c>
      <c r="Z28" s="5" t="str">
        <f t="shared" si="27"/>
        <v> </v>
      </c>
      <c r="AA28" s="5" t="str">
        <f t="shared" si="28"/>
        <v> </v>
      </c>
      <c r="AB28" s="5"/>
      <c r="AC28" s="5"/>
    </row>
    <row r="29" ht="14.25" customHeight="1">
      <c r="A29" s="48"/>
      <c r="B29" s="83"/>
      <c r="C29" s="84">
        <v>0.7</v>
      </c>
      <c r="D29" s="85">
        <v>4.0</v>
      </c>
      <c r="E29" s="86">
        <v>1.0</v>
      </c>
      <c r="F29" s="87">
        <f>'1RM'!$C$5*C29</f>
        <v>70</v>
      </c>
      <c r="G29" s="5"/>
      <c r="H29" s="5"/>
      <c r="I29" s="82">
        <f t="shared" si="29"/>
        <v>4</v>
      </c>
      <c r="J29" s="82">
        <f t="shared" si="30"/>
        <v>280</v>
      </c>
      <c r="K29" s="5"/>
      <c r="L29" s="5"/>
      <c r="M29" s="5"/>
      <c r="N29" s="5"/>
      <c r="O29" s="5"/>
      <c r="P29" s="5"/>
      <c r="Q29" s="5"/>
      <c r="R29" s="82" t="str">
        <f t="shared" si="19"/>
        <v> </v>
      </c>
      <c r="S29" s="82" t="str">
        <f t="shared" si="20"/>
        <v> </v>
      </c>
      <c r="T29" s="82" t="str">
        <f t="shared" si="21"/>
        <v> </v>
      </c>
      <c r="U29" s="82" t="str">
        <f t="shared" si="22"/>
        <v> </v>
      </c>
      <c r="V29" s="82" t="str">
        <f t="shared" si="23"/>
        <v> </v>
      </c>
      <c r="W29" s="5" t="str">
        <f t="shared" si="24"/>
        <v> </v>
      </c>
      <c r="X29" s="5" t="str">
        <f t="shared" si="25"/>
        <v> </v>
      </c>
      <c r="Y29" s="5" t="str">
        <f t="shared" si="26"/>
        <v> </v>
      </c>
      <c r="Z29" s="5" t="str">
        <f t="shared" si="27"/>
        <v> </v>
      </c>
      <c r="AA29" s="5" t="str">
        <f t="shared" si="28"/>
        <v> </v>
      </c>
      <c r="AB29" s="5"/>
      <c r="AC29" s="5"/>
    </row>
    <row r="30" ht="14.25" customHeight="1">
      <c r="A30" s="48"/>
      <c r="B30" s="83"/>
      <c r="C30" s="84">
        <v>0.7</v>
      </c>
      <c r="D30" s="85">
        <v>6.0</v>
      </c>
      <c r="E30" s="86">
        <v>1.0</v>
      </c>
      <c r="F30" s="87">
        <f>'1RM'!$C$5*C30</f>
        <v>70</v>
      </c>
      <c r="G30" s="5"/>
      <c r="H30" s="5"/>
      <c r="I30" s="82">
        <f t="shared" si="29"/>
        <v>6</v>
      </c>
      <c r="J30" s="82">
        <f t="shared" si="30"/>
        <v>420</v>
      </c>
      <c r="K30" s="5"/>
      <c r="L30" s="5"/>
      <c r="M30" s="5"/>
      <c r="N30" s="5"/>
      <c r="O30" s="5"/>
      <c r="P30" s="5"/>
      <c r="Q30" s="5"/>
      <c r="R30" s="82" t="str">
        <f t="shared" si="19"/>
        <v> </v>
      </c>
      <c r="S30" s="82" t="str">
        <f t="shared" si="20"/>
        <v> </v>
      </c>
      <c r="T30" s="82" t="str">
        <f t="shared" si="21"/>
        <v> </v>
      </c>
      <c r="U30" s="82" t="str">
        <f t="shared" si="22"/>
        <v> </v>
      </c>
      <c r="V30" s="82" t="str">
        <f t="shared" si="23"/>
        <v> </v>
      </c>
      <c r="W30" s="5" t="str">
        <f t="shared" si="24"/>
        <v> </v>
      </c>
      <c r="X30" s="5" t="str">
        <f t="shared" si="25"/>
        <v> </v>
      </c>
      <c r="Y30" s="5" t="str">
        <f t="shared" si="26"/>
        <v> </v>
      </c>
      <c r="Z30" s="5" t="str">
        <f t="shared" si="27"/>
        <v> </v>
      </c>
      <c r="AA30" s="5" t="str">
        <f t="shared" si="28"/>
        <v> </v>
      </c>
      <c r="AB30" s="5"/>
      <c r="AC30" s="5"/>
    </row>
    <row r="31" ht="14.25" customHeight="1">
      <c r="A31" s="48"/>
      <c r="B31" s="83"/>
      <c r="C31" s="84">
        <v>0.7</v>
      </c>
      <c r="D31" s="85">
        <v>8.0</v>
      </c>
      <c r="E31" s="86">
        <v>1.0</v>
      </c>
      <c r="F31" s="87">
        <f>'1RM'!$C$5*C31</f>
        <v>70</v>
      </c>
      <c r="G31" s="5"/>
      <c r="H31" s="5"/>
      <c r="I31" s="82">
        <f t="shared" si="29"/>
        <v>8</v>
      </c>
      <c r="J31" s="82">
        <f t="shared" si="30"/>
        <v>560</v>
      </c>
      <c r="K31" s="5"/>
      <c r="L31" s="5"/>
      <c r="M31" s="5"/>
      <c r="N31" s="5"/>
      <c r="O31" s="5"/>
      <c r="P31" s="5"/>
      <c r="Q31" s="5"/>
      <c r="R31" s="82" t="str">
        <f t="shared" si="19"/>
        <v> </v>
      </c>
      <c r="S31" s="82" t="str">
        <f t="shared" si="20"/>
        <v> </v>
      </c>
      <c r="T31" s="82" t="str">
        <f t="shared" si="21"/>
        <v> </v>
      </c>
      <c r="U31" s="82" t="str">
        <f t="shared" si="22"/>
        <v> </v>
      </c>
      <c r="V31" s="82" t="str">
        <f t="shared" si="23"/>
        <v> </v>
      </c>
      <c r="W31" s="5" t="str">
        <f t="shared" si="24"/>
        <v> </v>
      </c>
      <c r="X31" s="5" t="str">
        <f t="shared" si="25"/>
        <v> </v>
      </c>
      <c r="Y31" s="5" t="str">
        <f t="shared" si="26"/>
        <v> </v>
      </c>
      <c r="Z31" s="5" t="str">
        <f t="shared" si="27"/>
        <v> </v>
      </c>
      <c r="AA31" s="5" t="str">
        <f t="shared" si="28"/>
        <v> </v>
      </c>
      <c r="AB31" s="5"/>
      <c r="AC31" s="5"/>
    </row>
    <row r="32" ht="14.25" customHeight="1">
      <c r="A32" s="48">
        <v>3.0</v>
      </c>
      <c r="B32" s="94" t="s">
        <v>59</v>
      </c>
      <c r="C32" s="95">
        <v>0.55</v>
      </c>
      <c r="D32" s="96">
        <v>3.0</v>
      </c>
      <c r="E32" s="97">
        <v>1.0</v>
      </c>
      <c r="F32" s="98">
        <f>'1RM'!$C$6*C32</f>
        <v>55</v>
      </c>
      <c r="G32" s="5"/>
      <c r="H32" s="5"/>
      <c r="I32" s="5"/>
      <c r="J32" s="5"/>
      <c r="K32" s="99">
        <f t="shared" ref="K32:K34" si="31">D32*E32</f>
        <v>3</v>
      </c>
      <c r="L32" s="99">
        <f t="shared" ref="L32:L34" si="32">F32*K32</f>
        <v>165</v>
      </c>
      <c r="M32" s="5"/>
      <c r="N32" s="5"/>
      <c r="O32" s="5"/>
      <c r="P32" s="5"/>
      <c r="Q32" s="5"/>
      <c r="R32" s="5" t="str">
        <f t="shared" si="19"/>
        <v> </v>
      </c>
      <c r="S32" s="5" t="str">
        <f t="shared" si="20"/>
        <v> </v>
      </c>
      <c r="T32" s="5" t="str">
        <f t="shared" si="21"/>
        <v> </v>
      </c>
      <c r="U32" s="5" t="str">
        <f t="shared" si="22"/>
        <v> </v>
      </c>
      <c r="V32" s="5" t="str">
        <f t="shared" si="23"/>
        <v> </v>
      </c>
      <c r="W32" s="100">
        <f t="shared" si="24"/>
        <v>3</v>
      </c>
      <c r="X32" s="100" t="str">
        <f t="shared" si="25"/>
        <v> </v>
      </c>
      <c r="Y32" s="100" t="str">
        <f t="shared" si="26"/>
        <v> </v>
      </c>
      <c r="Z32" s="100" t="str">
        <f t="shared" si="27"/>
        <v> </v>
      </c>
      <c r="AA32" s="100" t="str">
        <f t="shared" si="28"/>
        <v> </v>
      </c>
      <c r="AB32" s="5"/>
      <c r="AC32" s="5"/>
    </row>
    <row r="33" ht="14.25" customHeight="1">
      <c r="A33" s="48"/>
      <c r="B33" s="105"/>
      <c r="C33" s="95">
        <v>0.65</v>
      </c>
      <c r="D33" s="96">
        <v>3.0</v>
      </c>
      <c r="E33" s="97">
        <v>1.0</v>
      </c>
      <c r="F33" s="98">
        <f>'1RM'!$C$6*C33</f>
        <v>65</v>
      </c>
      <c r="G33" s="5"/>
      <c r="H33" s="5"/>
      <c r="I33" s="5"/>
      <c r="J33" s="5"/>
      <c r="K33" s="99">
        <f t="shared" si="31"/>
        <v>3</v>
      </c>
      <c r="L33" s="99">
        <f t="shared" si="32"/>
        <v>195</v>
      </c>
      <c r="M33" s="5"/>
      <c r="N33" s="5"/>
      <c r="O33" s="5"/>
      <c r="P33" s="5"/>
      <c r="Q33" s="5"/>
      <c r="R33" s="5" t="str">
        <f t="shared" si="19"/>
        <v> </v>
      </c>
      <c r="S33" s="5" t="str">
        <f t="shared" si="20"/>
        <v> </v>
      </c>
      <c r="T33" s="5" t="str">
        <f t="shared" si="21"/>
        <v> </v>
      </c>
      <c r="U33" s="5" t="str">
        <f t="shared" si="22"/>
        <v> </v>
      </c>
      <c r="V33" s="5" t="str">
        <f t="shared" si="23"/>
        <v> </v>
      </c>
      <c r="W33" s="100" t="str">
        <f t="shared" si="24"/>
        <v> </v>
      </c>
      <c r="X33" s="100" t="str">
        <f t="shared" si="25"/>
        <v> </v>
      </c>
      <c r="Y33" s="100" t="str">
        <f t="shared" si="26"/>
        <v> </v>
      </c>
      <c r="Z33" s="100" t="str">
        <f t="shared" si="27"/>
        <v> </v>
      </c>
      <c r="AA33" s="100" t="str">
        <f t="shared" si="28"/>
        <v> </v>
      </c>
      <c r="AB33" s="5"/>
      <c r="AC33" s="5"/>
    </row>
    <row r="34" ht="14.25" customHeight="1">
      <c r="A34" s="48"/>
      <c r="B34" s="105"/>
      <c r="C34" s="101">
        <v>0.75</v>
      </c>
      <c r="D34" s="102">
        <v>2.0</v>
      </c>
      <c r="E34" s="103">
        <v>4.0</v>
      </c>
      <c r="F34" s="104">
        <f>'1RM'!$C$6*C34</f>
        <v>75</v>
      </c>
      <c r="G34" s="5"/>
      <c r="H34" s="5"/>
      <c r="I34" s="5"/>
      <c r="J34" s="5"/>
      <c r="K34" s="99">
        <f t="shared" si="31"/>
        <v>8</v>
      </c>
      <c r="L34" s="99">
        <f t="shared" si="32"/>
        <v>600</v>
      </c>
      <c r="M34" s="5"/>
      <c r="N34" s="5"/>
      <c r="O34" s="5"/>
      <c r="P34" s="5"/>
      <c r="Q34" s="5"/>
      <c r="R34" s="5" t="str">
        <f t="shared" si="19"/>
        <v> </v>
      </c>
      <c r="S34" s="5" t="str">
        <f t="shared" si="20"/>
        <v> </v>
      </c>
      <c r="T34" s="5" t="str">
        <f t="shared" si="21"/>
        <v> </v>
      </c>
      <c r="U34" s="5" t="str">
        <f t="shared" si="22"/>
        <v> </v>
      </c>
      <c r="V34" s="5" t="str">
        <f t="shared" si="23"/>
        <v> </v>
      </c>
      <c r="W34" s="100" t="str">
        <f t="shared" si="24"/>
        <v> </v>
      </c>
      <c r="X34" s="100" t="str">
        <f t="shared" si="25"/>
        <v> </v>
      </c>
      <c r="Y34" s="100" t="str">
        <f t="shared" si="26"/>
        <v> </v>
      </c>
      <c r="Z34" s="100" t="str">
        <f t="shared" si="27"/>
        <v> </v>
      </c>
      <c r="AA34" s="100" t="str">
        <f t="shared" si="28"/>
        <v> </v>
      </c>
      <c r="AB34" s="5"/>
      <c r="AC34" s="5"/>
    </row>
    <row r="35" ht="14.25" customHeight="1">
      <c r="A35" s="48">
        <v>4.0</v>
      </c>
      <c r="B35" s="88" t="s">
        <v>60</v>
      </c>
      <c r="C35" s="56"/>
      <c r="D35" s="49">
        <v>10.0</v>
      </c>
      <c r="E35" s="49">
        <v>5.0</v>
      </c>
      <c r="F35" s="8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ht="14.25" customHeight="1">
      <c r="A36" s="48">
        <v>5.0</v>
      </c>
      <c r="B36" s="90" t="s">
        <v>61</v>
      </c>
      <c r="C36" s="91"/>
      <c r="D36" s="92">
        <v>5.0</v>
      </c>
      <c r="E36" s="92">
        <v>5.0</v>
      </c>
      <c r="F36" s="9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ht="14.25" customHeight="1">
      <c r="A37" s="48"/>
      <c r="B37" s="49"/>
      <c r="C37" s="56"/>
      <c r="D37" s="49"/>
      <c r="E37" s="49"/>
      <c r="F37" s="49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ht="14.25" customHeight="1">
      <c r="A38" s="48"/>
      <c r="B38" s="106" t="s">
        <v>62</v>
      </c>
      <c r="C38" s="63" t="s">
        <v>20</v>
      </c>
      <c r="D38" s="64" t="s">
        <v>51</v>
      </c>
      <c r="E38" s="64" t="s">
        <v>52</v>
      </c>
      <c r="F38" s="65" t="s">
        <v>53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ht="14.25" customHeight="1">
      <c r="A39" s="48">
        <v>1.0</v>
      </c>
      <c r="B39" s="77" t="s">
        <v>5</v>
      </c>
      <c r="C39" s="78">
        <v>0.5</v>
      </c>
      <c r="D39" s="79">
        <v>5.0</v>
      </c>
      <c r="E39" s="80">
        <v>1.0</v>
      </c>
      <c r="F39" s="81">
        <f>'1RM'!$C$5*C39</f>
        <v>50</v>
      </c>
      <c r="G39" s="5"/>
      <c r="H39" s="5"/>
      <c r="I39" s="82">
        <f t="shared" ref="I39:I42" si="33">D39*E39</f>
        <v>5</v>
      </c>
      <c r="J39" s="82">
        <f t="shared" ref="J39:J42" si="34">F39*I39</f>
        <v>250</v>
      </c>
      <c r="K39" s="5"/>
      <c r="L39" s="5"/>
      <c r="M39" s="5" t="str">
        <f t="shared" ref="M39:M49" si="35">IF(ISNUMBER(SEARCH("Sentadilla",$B39)),IF($C39&gt;=0.5,IF($C39&lt;0.6,$D39*$E39," ")," ")," ")</f>
        <v> </v>
      </c>
      <c r="N39" s="5" t="str">
        <f t="shared" ref="N39:N49" si="36">IF(ISNUMBER(SEARCH("Sentadilla",$B39)),IF($C39&gt;=0.6,IF($C39&lt;0.7,$D39*$E39," ")," ")," ")</f>
        <v> </v>
      </c>
      <c r="O39" s="5" t="str">
        <f t="shared" ref="O39:O49" si="37">IF(ISNUMBER(SEARCH("Sentadilla",$B39)),IF($C39&gt;=0.7,IF($C39&lt;0.8,$D39*$E39," ")," ")," ")</f>
        <v> </v>
      </c>
      <c r="P39" s="5" t="str">
        <f t="shared" ref="P39:P49" si="38">IF(ISNUMBER(SEARCH("Sentadilla",$B39)),IF($C39&gt;=0.8,IF($C39&lt;0.9,$D39*$E39," ")," ")," ")</f>
        <v> </v>
      </c>
      <c r="Q39" s="5" t="str">
        <f t="shared" ref="Q39:Q49" si="39">IF(ISNUMBER(SEARCH("Sentadilla",$B39)),IF($C39&gt;=0.9,$D39*$E39," ")," ")</f>
        <v> </v>
      </c>
      <c r="R39" s="82">
        <f t="shared" ref="R39:R49" si="40">IF(ISNUMBER(SEARCH("Press de banca",$B39)),IF($C39&gt;=0.5,IF($C39&lt;0.6,$D39*$E39," ")," ")," ")</f>
        <v>5</v>
      </c>
      <c r="S39" s="82" t="str">
        <f t="shared" ref="S39:S49" si="41">IF(ISNUMBER(SEARCH("Press de banca",$B39)),IF($C39&gt;=0.6,IF($C39&lt;0.7,$D39*$E39," ")," ")," ")</f>
        <v> </v>
      </c>
      <c r="T39" s="82" t="str">
        <f t="shared" ref="T39:T49" si="42">IF(ISNUMBER(SEARCH("Press de banca",$B39)),IF($C39&gt;=0.7,IF($C39&lt;0.8,$D39*$E39," ")," ")," ")</f>
        <v> </v>
      </c>
      <c r="U39" s="82" t="str">
        <f t="shared" ref="U39:U49" si="43">IF(ISNUMBER(SEARCH("Press de banca",$B39)),IF($C39&gt;=0.8,IF($C39&lt;0.9,$D39*$E39," ")," ")," ")</f>
        <v> </v>
      </c>
      <c r="V39" s="82" t="str">
        <f t="shared" ref="V39:V49" si="44">IF(ISNUMBER(SEARCH("Press de banca",$B39)),IF($C39&gt;=0.9,$D39*$E39," ")," ")</f>
        <v> </v>
      </c>
      <c r="W39" s="5"/>
      <c r="X39" s="5"/>
      <c r="Y39" s="5"/>
      <c r="Z39" s="5"/>
      <c r="AA39" s="5"/>
      <c r="AB39" s="5"/>
      <c r="AC39" s="5"/>
    </row>
    <row r="40" ht="14.25" customHeight="1">
      <c r="A40" s="48"/>
      <c r="B40" s="83"/>
      <c r="C40" s="78">
        <v>0.6</v>
      </c>
      <c r="D40" s="79">
        <v>4.0</v>
      </c>
      <c r="E40" s="80">
        <v>1.0</v>
      </c>
      <c r="F40" s="81">
        <f>'1RM'!$C$5*C40</f>
        <v>60</v>
      </c>
      <c r="G40" s="5"/>
      <c r="H40" s="5"/>
      <c r="I40" s="82">
        <f t="shared" si="33"/>
        <v>4</v>
      </c>
      <c r="J40" s="82">
        <f t="shared" si="34"/>
        <v>240</v>
      </c>
      <c r="K40" s="5"/>
      <c r="L40" s="5"/>
      <c r="M40" s="5" t="str">
        <f t="shared" si="35"/>
        <v> </v>
      </c>
      <c r="N40" s="5" t="str">
        <f t="shared" si="36"/>
        <v> </v>
      </c>
      <c r="O40" s="5" t="str">
        <f t="shared" si="37"/>
        <v> </v>
      </c>
      <c r="P40" s="5" t="str">
        <f t="shared" si="38"/>
        <v> </v>
      </c>
      <c r="Q40" s="5" t="str">
        <f t="shared" si="39"/>
        <v> </v>
      </c>
      <c r="R40" s="82" t="str">
        <f t="shared" si="40"/>
        <v> </v>
      </c>
      <c r="S40" s="82" t="str">
        <f t="shared" si="41"/>
        <v> </v>
      </c>
      <c r="T40" s="82" t="str">
        <f t="shared" si="42"/>
        <v> </v>
      </c>
      <c r="U40" s="82" t="str">
        <f t="shared" si="43"/>
        <v> </v>
      </c>
      <c r="V40" s="82" t="str">
        <f t="shared" si="44"/>
        <v> </v>
      </c>
      <c r="W40" s="5"/>
      <c r="X40" s="5"/>
      <c r="Y40" s="5"/>
      <c r="Z40" s="5"/>
      <c r="AA40" s="5"/>
      <c r="AB40" s="5"/>
      <c r="AC40" s="5"/>
    </row>
    <row r="41" ht="14.25" customHeight="1">
      <c r="A41" s="48"/>
      <c r="B41" s="83"/>
      <c r="C41" s="78">
        <v>0.7</v>
      </c>
      <c r="D41" s="79">
        <v>3.0</v>
      </c>
      <c r="E41" s="80">
        <v>1.0</v>
      </c>
      <c r="F41" s="81">
        <f>'1RM'!$C$5*C41</f>
        <v>70</v>
      </c>
      <c r="G41" s="5"/>
      <c r="H41" s="5"/>
      <c r="I41" s="82">
        <f t="shared" si="33"/>
        <v>3</v>
      </c>
      <c r="J41" s="82">
        <f t="shared" si="34"/>
        <v>210</v>
      </c>
      <c r="K41" s="5"/>
      <c r="L41" s="5"/>
      <c r="M41" s="5" t="str">
        <f t="shared" si="35"/>
        <v> </v>
      </c>
      <c r="N41" s="5" t="str">
        <f t="shared" si="36"/>
        <v> </v>
      </c>
      <c r="O41" s="5" t="str">
        <f t="shared" si="37"/>
        <v> </v>
      </c>
      <c r="P41" s="5" t="str">
        <f t="shared" si="38"/>
        <v> </v>
      </c>
      <c r="Q41" s="5" t="str">
        <f t="shared" si="39"/>
        <v> </v>
      </c>
      <c r="R41" s="82" t="str">
        <f t="shared" si="40"/>
        <v> </v>
      </c>
      <c r="S41" s="82" t="str">
        <f t="shared" si="41"/>
        <v> </v>
      </c>
      <c r="T41" s="82" t="str">
        <f t="shared" si="42"/>
        <v> </v>
      </c>
      <c r="U41" s="82" t="str">
        <f t="shared" si="43"/>
        <v> </v>
      </c>
      <c r="V41" s="82" t="str">
        <f t="shared" si="44"/>
        <v> </v>
      </c>
      <c r="W41" s="5"/>
      <c r="X41" s="5"/>
      <c r="Y41" s="5"/>
      <c r="Z41" s="5"/>
      <c r="AA41" s="5"/>
      <c r="AB41" s="5"/>
      <c r="AC41" s="5"/>
    </row>
    <row r="42" ht="14.25" customHeight="1">
      <c r="A42" s="48"/>
      <c r="B42" s="83"/>
      <c r="C42" s="84">
        <v>0.75</v>
      </c>
      <c r="D42" s="85">
        <v>3.0</v>
      </c>
      <c r="E42" s="86">
        <v>4.0</v>
      </c>
      <c r="F42" s="87">
        <f>'1RM'!$C$5*C42</f>
        <v>75</v>
      </c>
      <c r="G42" s="5"/>
      <c r="H42" s="5"/>
      <c r="I42" s="82">
        <f t="shared" si="33"/>
        <v>12</v>
      </c>
      <c r="J42" s="82">
        <f t="shared" si="34"/>
        <v>900</v>
      </c>
      <c r="K42" s="5"/>
      <c r="L42" s="5"/>
      <c r="M42" s="5" t="str">
        <f t="shared" si="35"/>
        <v> </v>
      </c>
      <c r="N42" s="5" t="str">
        <f t="shared" si="36"/>
        <v> </v>
      </c>
      <c r="O42" s="5" t="str">
        <f t="shared" si="37"/>
        <v> </v>
      </c>
      <c r="P42" s="5" t="str">
        <f t="shared" si="38"/>
        <v> </v>
      </c>
      <c r="Q42" s="5" t="str">
        <f t="shared" si="39"/>
        <v> </v>
      </c>
      <c r="R42" s="82" t="str">
        <f t="shared" si="40"/>
        <v> </v>
      </c>
      <c r="S42" s="82" t="str">
        <f t="shared" si="41"/>
        <v> </v>
      </c>
      <c r="T42" s="82" t="str">
        <f t="shared" si="42"/>
        <v> </v>
      </c>
      <c r="U42" s="82" t="str">
        <f t="shared" si="43"/>
        <v> </v>
      </c>
      <c r="V42" s="82" t="str">
        <f t="shared" si="44"/>
        <v> </v>
      </c>
      <c r="W42" s="5"/>
      <c r="X42" s="5"/>
      <c r="Y42" s="5"/>
      <c r="Z42" s="5"/>
      <c r="AA42" s="5"/>
      <c r="AB42" s="5"/>
      <c r="AC42" s="5"/>
    </row>
    <row r="43" ht="14.25" customHeight="1">
      <c r="A43" s="48">
        <v>2.0</v>
      </c>
      <c r="B43" s="66" t="s">
        <v>63</v>
      </c>
      <c r="C43" s="67">
        <v>0.5</v>
      </c>
      <c r="D43" s="72">
        <v>3.0</v>
      </c>
      <c r="E43" s="68">
        <v>1.0</v>
      </c>
      <c r="F43" s="69">
        <f>'1RM'!$C$4*C43</f>
        <v>50</v>
      </c>
      <c r="G43" s="70">
        <f t="shared" ref="G43:G45" si="45">D43*E43</f>
        <v>3</v>
      </c>
      <c r="H43" s="70">
        <f t="shared" ref="H43:H45" si="46">F43*G43</f>
        <v>150</v>
      </c>
      <c r="I43" s="5"/>
      <c r="J43" s="5"/>
      <c r="K43" s="5"/>
      <c r="L43" s="5"/>
      <c r="M43" s="70">
        <f t="shared" si="35"/>
        <v>3</v>
      </c>
      <c r="N43" s="70" t="str">
        <f t="shared" si="36"/>
        <v> </v>
      </c>
      <c r="O43" s="70" t="str">
        <f t="shared" si="37"/>
        <v> </v>
      </c>
      <c r="P43" s="70" t="str">
        <f t="shared" si="38"/>
        <v> </v>
      </c>
      <c r="Q43" s="70" t="str">
        <f t="shared" si="39"/>
        <v> </v>
      </c>
      <c r="R43" s="5" t="str">
        <f t="shared" si="40"/>
        <v> </v>
      </c>
      <c r="S43" s="5" t="str">
        <f t="shared" si="41"/>
        <v> </v>
      </c>
      <c r="T43" s="5" t="str">
        <f t="shared" si="42"/>
        <v> </v>
      </c>
      <c r="U43" s="5" t="str">
        <f t="shared" si="43"/>
        <v> </v>
      </c>
      <c r="V43" s="5" t="str">
        <f t="shared" si="44"/>
        <v> </v>
      </c>
      <c r="W43" s="5"/>
      <c r="X43" s="5"/>
      <c r="Y43" s="5"/>
      <c r="Z43" s="5"/>
      <c r="AA43" s="5"/>
      <c r="AB43" s="5"/>
      <c r="AC43" s="5"/>
    </row>
    <row r="44" ht="14.25" customHeight="1">
      <c r="A44" s="48"/>
      <c r="B44" s="71"/>
      <c r="C44" s="67">
        <v>0.6</v>
      </c>
      <c r="D44" s="72">
        <v>3.0</v>
      </c>
      <c r="E44" s="68">
        <v>1.0</v>
      </c>
      <c r="F44" s="69">
        <f>'1RM'!$C$4*C44</f>
        <v>60</v>
      </c>
      <c r="G44" s="70">
        <f t="shared" si="45"/>
        <v>3</v>
      </c>
      <c r="H44" s="70">
        <f t="shared" si="46"/>
        <v>180</v>
      </c>
      <c r="I44" s="5"/>
      <c r="J44" s="5"/>
      <c r="K44" s="5"/>
      <c r="L44" s="5"/>
      <c r="M44" s="70" t="str">
        <f t="shared" si="35"/>
        <v> </v>
      </c>
      <c r="N44" s="70" t="str">
        <f t="shared" si="36"/>
        <v> </v>
      </c>
      <c r="O44" s="70" t="str">
        <f t="shared" si="37"/>
        <v> </v>
      </c>
      <c r="P44" s="70" t="str">
        <f t="shared" si="38"/>
        <v> </v>
      </c>
      <c r="Q44" s="70" t="str">
        <f t="shared" si="39"/>
        <v> </v>
      </c>
      <c r="R44" s="5" t="str">
        <f t="shared" si="40"/>
        <v> </v>
      </c>
      <c r="S44" s="5" t="str">
        <f t="shared" si="41"/>
        <v> </v>
      </c>
      <c r="T44" s="5" t="str">
        <f t="shared" si="42"/>
        <v> </v>
      </c>
      <c r="U44" s="5" t="str">
        <f t="shared" si="43"/>
        <v> </v>
      </c>
      <c r="V44" s="5" t="str">
        <f t="shared" si="44"/>
        <v> </v>
      </c>
      <c r="W44" s="5"/>
      <c r="X44" s="5"/>
      <c r="Y44" s="5"/>
      <c r="Z44" s="5"/>
      <c r="AA44" s="5"/>
      <c r="AB44" s="5"/>
      <c r="AC44" s="5"/>
    </row>
    <row r="45" ht="14.25" customHeight="1">
      <c r="A45" s="48"/>
      <c r="B45" s="71"/>
      <c r="C45" s="73">
        <v>0.7</v>
      </c>
      <c r="D45" s="74">
        <v>3.0</v>
      </c>
      <c r="E45" s="75">
        <v>4.0</v>
      </c>
      <c r="F45" s="76">
        <f>'1RM'!$C$4*C45</f>
        <v>70</v>
      </c>
      <c r="G45" s="70">
        <f t="shared" si="45"/>
        <v>12</v>
      </c>
      <c r="H45" s="70">
        <f t="shared" si="46"/>
        <v>840</v>
      </c>
      <c r="I45" s="5"/>
      <c r="J45" s="5"/>
      <c r="K45" s="5"/>
      <c r="L45" s="5"/>
      <c r="M45" s="70" t="str">
        <f t="shared" si="35"/>
        <v> </v>
      </c>
      <c r="N45" s="70" t="str">
        <f t="shared" si="36"/>
        <v> </v>
      </c>
      <c r="O45" s="70" t="str">
        <f t="shared" si="37"/>
        <v> </v>
      </c>
      <c r="P45" s="70" t="str">
        <f t="shared" si="38"/>
        <v> </v>
      </c>
      <c r="Q45" s="70" t="str">
        <f t="shared" si="39"/>
        <v> </v>
      </c>
      <c r="R45" s="5" t="str">
        <f t="shared" si="40"/>
        <v> </v>
      </c>
      <c r="S45" s="5" t="str">
        <f t="shared" si="41"/>
        <v> </v>
      </c>
      <c r="T45" s="5" t="str">
        <f t="shared" si="42"/>
        <v> </v>
      </c>
      <c r="U45" s="5" t="str">
        <f t="shared" si="43"/>
        <v> </v>
      </c>
      <c r="V45" s="5" t="str">
        <f t="shared" si="44"/>
        <v> </v>
      </c>
      <c r="W45" s="5"/>
      <c r="X45" s="5"/>
      <c r="Y45" s="5"/>
      <c r="Z45" s="5"/>
      <c r="AA45" s="5"/>
      <c r="AB45" s="5"/>
      <c r="AC45" s="5"/>
    </row>
    <row r="46" ht="14.25" customHeight="1">
      <c r="A46" s="48">
        <v>3.0</v>
      </c>
      <c r="B46" s="77" t="s">
        <v>64</v>
      </c>
      <c r="C46" s="78">
        <v>0.6</v>
      </c>
      <c r="D46" s="79">
        <v>3.0</v>
      </c>
      <c r="E46" s="80">
        <v>1.0</v>
      </c>
      <c r="F46" s="81">
        <f>'1RM'!$C$5*C46</f>
        <v>60</v>
      </c>
      <c r="G46" s="5"/>
      <c r="H46" s="5"/>
      <c r="I46" s="82">
        <f t="shared" ref="I46:I49" si="47">D46*E46</f>
        <v>3</v>
      </c>
      <c r="J46" s="82">
        <f t="shared" ref="J46:J49" si="48">F46*I46</f>
        <v>180</v>
      </c>
      <c r="K46" s="5"/>
      <c r="L46" s="5"/>
      <c r="M46" s="5" t="str">
        <f t="shared" si="35"/>
        <v> </v>
      </c>
      <c r="N46" s="5" t="str">
        <f t="shared" si="36"/>
        <v> </v>
      </c>
      <c r="O46" s="5" t="str">
        <f t="shared" si="37"/>
        <v> </v>
      </c>
      <c r="P46" s="5" t="str">
        <f t="shared" si="38"/>
        <v> </v>
      </c>
      <c r="Q46" s="5" t="str">
        <f t="shared" si="39"/>
        <v> </v>
      </c>
      <c r="R46" s="82" t="str">
        <f t="shared" si="40"/>
        <v> </v>
      </c>
      <c r="S46" s="82">
        <f t="shared" si="41"/>
        <v>3</v>
      </c>
      <c r="T46" s="82" t="str">
        <f t="shared" si="42"/>
        <v> </v>
      </c>
      <c r="U46" s="82" t="str">
        <f t="shared" si="43"/>
        <v> </v>
      </c>
      <c r="V46" s="82" t="str">
        <f t="shared" si="44"/>
        <v> </v>
      </c>
      <c r="W46" s="5"/>
      <c r="X46" s="5"/>
      <c r="Y46" s="5"/>
      <c r="Z46" s="5"/>
      <c r="AA46" s="5"/>
      <c r="AB46" s="5"/>
      <c r="AC46" s="5"/>
    </row>
    <row r="47" ht="14.25" customHeight="1">
      <c r="A47" s="48"/>
      <c r="B47" s="83"/>
      <c r="C47" s="78">
        <v>0.7</v>
      </c>
      <c r="D47" s="79">
        <v>3.0</v>
      </c>
      <c r="E47" s="80">
        <v>1.0</v>
      </c>
      <c r="F47" s="81">
        <f>'1RM'!$C$5*C47</f>
        <v>70</v>
      </c>
      <c r="G47" s="5"/>
      <c r="H47" s="5"/>
      <c r="I47" s="82">
        <f t="shared" si="47"/>
        <v>3</v>
      </c>
      <c r="J47" s="82">
        <f t="shared" si="48"/>
        <v>210</v>
      </c>
      <c r="K47" s="5"/>
      <c r="L47" s="5"/>
      <c r="M47" s="5" t="str">
        <f t="shared" si="35"/>
        <v> </v>
      </c>
      <c r="N47" s="5" t="str">
        <f t="shared" si="36"/>
        <v> </v>
      </c>
      <c r="O47" s="5" t="str">
        <f t="shared" si="37"/>
        <v> </v>
      </c>
      <c r="P47" s="5" t="str">
        <f t="shared" si="38"/>
        <v> </v>
      </c>
      <c r="Q47" s="5" t="str">
        <f t="shared" si="39"/>
        <v> </v>
      </c>
      <c r="R47" s="82" t="str">
        <f t="shared" si="40"/>
        <v> </v>
      </c>
      <c r="S47" s="82" t="str">
        <f t="shared" si="41"/>
        <v> </v>
      </c>
      <c r="T47" s="82" t="str">
        <f t="shared" si="42"/>
        <v> </v>
      </c>
      <c r="U47" s="82" t="str">
        <f t="shared" si="43"/>
        <v> </v>
      </c>
      <c r="V47" s="82" t="str">
        <f t="shared" si="44"/>
        <v> </v>
      </c>
      <c r="W47" s="5"/>
      <c r="X47" s="5"/>
      <c r="Y47" s="5"/>
      <c r="Z47" s="5"/>
      <c r="AA47" s="5"/>
      <c r="AB47" s="5"/>
      <c r="AC47" s="5"/>
    </row>
    <row r="48" ht="14.25" customHeight="1">
      <c r="A48" s="48"/>
      <c r="B48" s="83"/>
      <c r="C48" s="78">
        <v>0.8</v>
      </c>
      <c r="D48" s="79">
        <v>3.0</v>
      </c>
      <c r="E48" s="80">
        <v>2.0</v>
      </c>
      <c r="F48" s="81">
        <f>'1RM'!$C$5*C48</f>
        <v>80</v>
      </c>
      <c r="G48" s="5"/>
      <c r="H48" s="5"/>
      <c r="I48" s="82">
        <f t="shared" si="47"/>
        <v>6</v>
      </c>
      <c r="J48" s="82">
        <f t="shared" si="48"/>
        <v>480</v>
      </c>
      <c r="K48" s="5"/>
      <c r="L48" s="5"/>
      <c r="M48" s="5" t="str">
        <f t="shared" si="35"/>
        <v> </v>
      </c>
      <c r="N48" s="5" t="str">
        <f t="shared" si="36"/>
        <v> </v>
      </c>
      <c r="O48" s="5" t="str">
        <f t="shared" si="37"/>
        <v> </v>
      </c>
      <c r="P48" s="5" t="str">
        <f t="shared" si="38"/>
        <v> </v>
      </c>
      <c r="Q48" s="5" t="str">
        <f t="shared" si="39"/>
        <v> </v>
      </c>
      <c r="R48" s="82" t="str">
        <f t="shared" si="40"/>
        <v> </v>
      </c>
      <c r="S48" s="82" t="str">
        <f t="shared" si="41"/>
        <v> </v>
      </c>
      <c r="T48" s="82" t="str">
        <f t="shared" si="42"/>
        <v> </v>
      </c>
      <c r="U48" s="82" t="str">
        <f t="shared" si="43"/>
        <v> </v>
      </c>
      <c r="V48" s="82" t="str">
        <f t="shared" si="44"/>
        <v> </v>
      </c>
      <c r="W48" s="5"/>
      <c r="X48" s="5"/>
      <c r="Y48" s="5"/>
      <c r="Z48" s="5"/>
      <c r="AA48" s="5"/>
      <c r="AB48" s="5"/>
      <c r="AC48" s="5"/>
    </row>
    <row r="49" ht="14.25" customHeight="1">
      <c r="A49" s="48"/>
      <c r="B49" s="83"/>
      <c r="C49" s="84">
        <v>0.85</v>
      </c>
      <c r="D49" s="85">
        <v>2.0</v>
      </c>
      <c r="E49" s="86">
        <v>3.0</v>
      </c>
      <c r="F49" s="87">
        <f>'1RM'!$C$5*C49</f>
        <v>85</v>
      </c>
      <c r="G49" s="5"/>
      <c r="H49" s="5"/>
      <c r="I49" s="82">
        <f t="shared" si="47"/>
        <v>6</v>
      </c>
      <c r="J49" s="82">
        <f t="shared" si="48"/>
        <v>510</v>
      </c>
      <c r="K49" s="5"/>
      <c r="L49" s="5"/>
      <c r="M49" s="5" t="str">
        <f t="shared" si="35"/>
        <v> </v>
      </c>
      <c r="N49" s="5" t="str">
        <f t="shared" si="36"/>
        <v> </v>
      </c>
      <c r="O49" s="5" t="str">
        <f t="shared" si="37"/>
        <v> </v>
      </c>
      <c r="P49" s="5" t="str">
        <f t="shared" si="38"/>
        <v> </v>
      </c>
      <c r="Q49" s="5" t="str">
        <f t="shared" si="39"/>
        <v> </v>
      </c>
      <c r="R49" s="82" t="str">
        <f t="shared" si="40"/>
        <v> </v>
      </c>
      <c r="S49" s="82" t="str">
        <f t="shared" si="41"/>
        <v> </v>
      </c>
      <c r="T49" s="82" t="str">
        <f t="shared" si="42"/>
        <v> </v>
      </c>
      <c r="U49" s="82" t="str">
        <f t="shared" si="43"/>
        <v> </v>
      </c>
      <c r="V49" s="82" t="str">
        <f t="shared" si="44"/>
        <v> </v>
      </c>
      <c r="W49" s="5"/>
      <c r="X49" s="5"/>
      <c r="Y49" s="5"/>
      <c r="Z49" s="5"/>
      <c r="AA49" s="5"/>
      <c r="AB49" s="5"/>
      <c r="AC49" s="5"/>
    </row>
    <row r="50" ht="14.25" customHeight="1">
      <c r="A50" s="48">
        <v>4.0</v>
      </c>
      <c r="B50" s="88" t="s">
        <v>55</v>
      </c>
      <c r="C50" s="56"/>
      <c r="D50" s="49">
        <v>10.0</v>
      </c>
      <c r="E50" s="49">
        <v>5.0</v>
      </c>
      <c r="F50" s="8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ht="14.25" customHeight="1">
      <c r="A51" s="48">
        <v>5.0</v>
      </c>
      <c r="B51" s="90" t="s">
        <v>65</v>
      </c>
      <c r="C51" s="91"/>
      <c r="D51" s="92">
        <v>8.0</v>
      </c>
      <c r="E51" s="92">
        <v>4.0</v>
      </c>
      <c r="F51" s="93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ht="14.25" customHeight="1">
      <c r="A52" s="48"/>
      <c r="B52" s="49"/>
      <c r="C52" s="56"/>
      <c r="D52" s="49"/>
      <c r="E52" s="49"/>
      <c r="F52" s="4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ht="14.25" customHeight="1">
      <c r="A53" s="48"/>
      <c r="B53" s="62" t="s">
        <v>66</v>
      </c>
      <c r="C53" s="63" t="s">
        <v>20</v>
      </c>
      <c r="D53" s="64" t="s">
        <v>51</v>
      </c>
      <c r="E53" s="64" t="s">
        <v>52</v>
      </c>
      <c r="F53" s="65" t="s">
        <v>53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ht="14.25" customHeight="1">
      <c r="A54" s="48">
        <v>1.0</v>
      </c>
      <c r="B54" s="94" t="s">
        <v>67</v>
      </c>
      <c r="C54" s="95">
        <v>0.5</v>
      </c>
      <c r="D54" s="96">
        <v>3.0</v>
      </c>
      <c r="E54" s="97">
        <v>1.0</v>
      </c>
      <c r="F54" s="98">
        <f>'1RM'!$C$6*C54</f>
        <v>50</v>
      </c>
      <c r="G54" s="5"/>
      <c r="H54" s="5"/>
      <c r="I54" s="5"/>
      <c r="J54" s="5"/>
      <c r="K54" s="99">
        <f t="shared" ref="K54:K55" si="49">D54*E54</f>
        <v>3</v>
      </c>
      <c r="L54" s="99">
        <f t="shared" ref="L54:L55" si="50">F54*K54</f>
        <v>150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100">
        <f t="shared" ref="W54:W60" si="51">IF(ISNUMBER(SEARCH("Peso muerto",$B54)),IF($C54&gt;=0.5,IF($C54&lt;0.6,$D54*$E54," ")," ")," ")</f>
        <v>3</v>
      </c>
      <c r="X54" s="100" t="str">
        <f t="shared" ref="X54:X60" si="52">IF(ISNUMBER(SEARCH("Peso muerto",$B54)),IF($C54&gt;=0.6,IF($C54&lt;0.7,$D54*$E54," ")," ")," ")</f>
        <v> </v>
      </c>
      <c r="Y54" s="100" t="str">
        <f t="shared" ref="Y54:Y60" si="53">IF(ISNUMBER(SEARCH("Peso muerto",$B54)),IF($C54&gt;=0.7,IF($C54&lt;0.8,$D54*$E54," ")," ")," ")</f>
        <v> </v>
      </c>
      <c r="Z54" s="100" t="str">
        <f t="shared" ref="Z54:Z60" si="54">IF(ISNUMBER(SEARCH("Peso muerto",$B54)),IF($C54&gt;=0.8,IF($C54&lt;0.9,$D54*$E54," ")," ")," ")</f>
        <v> </v>
      </c>
      <c r="AA54" s="100" t="str">
        <f t="shared" ref="AA54:AA60" si="55">IF(ISNUMBER(SEARCH("Peso muerto",$B54)),IF($C54&gt;=0.9,$D54*$E54," ")," ")</f>
        <v> </v>
      </c>
      <c r="AB54" s="5"/>
      <c r="AC54" s="5"/>
    </row>
    <row r="55" ht="14.25" customHeight="1">
      <c r="A55" s="48"/>
      <c r="B55" s="105"/>
      <c r="C55" s="101">
        <v>0.6</v>
      </c>
      <c r="D55" s="102">
        <v>2.0</v>
      </c>
      <c r="E55" s="103">
        <v>4.0</v>
      </c>
      <c r="F55" s="104">
        <f>'1RM'!$C$6*C55</f>
        <v>60</v>
      </c>
      <c r="G55" s="5"/>
      <c r="H55" s="5"/>
      <c r="I55" s="5"/>
      <c r="J55" s="5"/>
      <c r="K55" s="99">
        <f t="shared" si="49"/>
        <v>8</v>
      </c>
      <c r="L55" s="99">
        <f t="shared" si="50"/>
        <v>480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100" t="str">
        <f t="shared" si="51"/>
        <v> </v>
      </c>
      <c r="X55" s="100" t="str">
        <f t="shared" si="52"/>
        <v> </v>
      </c>
      <c r="Y55" s="100" t="str">
        <f t="shared" si="53"/>
        <v> </v>
      </c>
      <c r="Z55" s="100" t="str">
        <f t="shared" si="54"/>
        <v> </v>
      </c>
      <c r="AA55" s="100" t="str">
        <f t="shared" si="55"/>
        <v> </v>
      </c>
      <c r="AB55" s="5"/>
      <c r="AC55" s="5"/>
    </row>
    <row r="56" ht="14.25" customHeight="1">
      <c r="A56" s="48">
        <v>2.0</v>
      </c>
      <c r="B56" s="107" t="s">
        <v>55</v>
      </c>
      <c r="C56" s="108"/>
      <c r="D56" s="56">
        <v>3.0</v>
      </c>
      <c r="E56" s="109">
        <v>5.0</v>
      </c>
      <c r="F56" s="110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 t="str">
        <f t="shared" si="51"/>
        <v> </v>
      </c>
      <c r="X56" s="5" t="str">
        <f t="shared" si="52"/>
        <v> </v>
      </c>
      <c r="Y56" s="5" t="str">
        <f t="shared" si="53"/>
        <v> </v>
      </c>
      <c r="Z56" s="5" t="str">
        <f t="shared" si="54"/>
        <v> </v>
      </c>
      <c r="AA56" s="5" t="str">
        <f t="shared" si="55"/>
        <v> </v>
      </c>
      <c r="AB56" s="5"/>
      <c r="AC56" s="5"/>
    </row>
    <row r="57" ht="14.25" customHeight="1">
      <c r="A57" s="48">
        <v>3.0</v>
      </c>
      <c r="B57" s="94" t="s">
        <v>68</v>
      </c>
      <c r="C57" s="95">
        <v>0.55</v>
      </c>
      <c r="D57" s="96">
        <v>3.0</v>
      </c>
      <c r="E57" s="97">
        <v>1.0</v>
      </c>
      <c r="F57" s="98">
        <f>'1RM'!$C$6*C57</f>
        <v>55</v>
      </c>
      <c r="G57" s="5"/>
      <c r="H57" s="5"/>
      <c r="I57" s="5"/>
      <c r="J57" s="5"/>
      <c r="K57" s="99">
        <f t="shared" ref="K57:K60" si="56">D57*E57</f>
        <v>3</v>
      </c>
      <c r="L57" s="99">
        <f t="shared" ref="L57:L60" si="57">F57*K57</f>
        <v>165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100">
        <f t="shared" si="51"/>
        <v>3</v>
      </c>
      <c r="X57" s="100" t="str">
        <f t="shared" si="52"/>
        <v> </v>
      </c>
      <c r="Y57" s="100" t="str">
        <f t="shared" si="53"/>
        <v> </v>
      </c>
      <c r="Z57" s="100" t="str">
        <f t="shared" si="54"/>
        <v> </v>
      </c>
      <c r="AA57" s="100" t="str">
        <f t="shared" si="55"/>
        <v> </v>
      </c>
      <c r="AB57" s="5"/>
      <c r="AC57" s="5"/>
    </row>
    <row r="58" ht="14.25" customHeight="1">
      <c r="A58" s="48"/>
      <c r="B58" s="105"/>
      <c r="C58" s="95">
        <v>0.65</v>
      </c>
      <c r="D58" s="96">
        <v>3.0</v>
      </c>
      <c r="E58" s="97">
        <v>1.0</v>
      </c>
      <c r="F58" s="98">
        <f>'1RM'!$C$6*C58</f>
        <v>65</v>
      </c>
      <c r="G58" s="5"/>
      <c r="H58" s="5"/>
      <c r="I58" s="5"/>
      <c r="J58" s="5"/>
      <c r="K58" s="99">
        <f t="shared" si="56"/>
        <v>3</v>
      </c>
      <c r="L58" s="99">
        <f t="shared" si="57"/>
        <v>195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100" t="str">
        <f t="shared" si="51"/>
        <v> </v>
      </c>
      <c r="X58" s="100" t="str">
        <f t="shared" si="52"/>
        <v> </v>
      </c>
      <c r="Y58" s="100" t="str">
        <f t="shared" si="53"/>
        <v> </v>
      </c>
      <c r="Z58" s="100" t="str">
        <f t="shared" si="54"/>
        <v> </v>
      </c>
      <c r="AA58" s="100" t="str">
        <f t="shared" si="55"/>
        <v> </v>
      </c>
      <c r="AB58" s="5"/>
      <c r="AC58" s="5"/>
    </row>
    <row r="59" ht="14.25" customHeight="1">
      <c r="A59" s="48"/>
      <c r="B59" s="105"/>
      <c r="C59" s="101">
        <v>0.75</v>
      </c>
      <c r="D59" s="102">
        <v>3.0</v>
      </c>
      <c r="E59" s="103">
        <v>2.0</v>
      </c>
      <c r="F59" s="104">
        <f>'1RM'!$C$6*C59</f>
        <v>75</v>
      </c>
      <c r="G59" s="5"/>
      <c r="H59" s="5"/>
      <c r="I59" s="5"/>
      <c r="J59" s="5"/>
      <c r="K59" s="99">
        <f t="shared" si="56"/>
        <v>6</v>
      </c>
      <c r="L59" s="99">
        <f t="shared" si="57"/>
        <v>450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100" t="str">
        <f t="shared" si="51"/>
        <v> </v>
      </c>
      <c r="X59" s="100" t="str">
        <f t="shared" si="52"/>
        <v> </v>
      </c>
      <c r="Y59" s="100" t="str">
        <f t="shared" si="53"/>
        <v> </v>
      </c>
      <c r="Z59" s="100" t="str">
        <f t="shared" si="54"/>
        <v> </v>
      </c>
      <c r="AA59" s="100" t="str">
        <f t="shared" si="55"/>
        <v> </v>
      </c>
      <c r="AB59" s="5"/>
      <c r="AC59" s="5"/>
    </row>
    <row r="60" ht="14.25" customHeight="1">
      <c r="A60" s="48"/>
      <c r="B60" s="105"/>
      <c r="C60" s="101">
        <v>0.85</v>
      </c>
      <c r="D60" s="102">
        <v>2.0</v>
      </c>
      <c r="E60" s="103">
        <v>3.0</v>
      </c>
      <c r="F60" s="104">
        <f>'1RM'!$C$6*C60</f>
        <v>85</v>
      </c>
      <c r="G60" s="5"/>
      <c r="H60" s="5"/>
      <c r="I60" s="5"/>
      <c r="J60" s="5"/>
      <c r="K60" s="99">
        <f t="shared" si="56"/>
        <v>6</v>
      </c>
      <c r="L60" s="99">
        <f t="shared" si="57"/>
        <v>510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100" t="str">
        <f t="shared" si="51"/>
        <v> </v>
      </c>
      <c r="X60" s="100" t="str">
        <f t="shared" si="52"/>
        <v> </v>
      </c>
      <c r="Y60" s="100" t="str">
        <f t="shared" si="53"/>
        <v> </v>
      </c>
      <c r="Z60" s="100" t="str">
        <f t="shared" si="54"/>
        <v> </v>
      </c>
      <c r="AA60" s="100" t="str">
        <f t="shared" si="55"/>
        <v> </v>
      </c>
      <c r="AB60" s="5"/>
      <c r="AC60" s="5"/>
    </row>
    <row r="61" ht="14.25" customHeight="1">
      <c r="A61" s="48">
        <v>4.0</v>
      </c>
      <c r="B61" s="88" t="s">
        <v>69</v>
      </c>
      <c r="C61" s="56"/>
      <c r="D61" s="49">
        <v>8.0</v>
      </c>
      <c r="E61" s="49">
        <v>5.0</v>
      </c>
      <c r="F61" s="8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ht="14.25" customHeight="1">
      <c r="A62" s="48">
        <v>5.0</v>
      </c>
      <c r="B62" s="88" t="s">
        <v>70</v>
      </c>
      <c r="C62" s="56"/>
      <c r="D62" s="49">
        <v>8.0</v>
      </c>
      <c r="E62" s="49">
        <v>5.0</v>
      </c>
      <c r="F62" s="89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ht="14.25" customHeight="1">
      <c r="A63" s="48">
        <v>6.0</v>
      </c>
      <c r="B63" s="90" t="s">
        <v>71</v>
      </c>
      <c r="C63" s="91"/>
      <c r="D63" s="92">
        <v>8.0</v>
      </c>
      <c r="E63" s="92">
        <v>4.0</v>
      </c>
      <c r="F63" s="93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ht="14.25" customHeight="1">
      <c r="A64" s="111"/>
      <c r="B64" s="112"/>
      <c r="C64" s="113"/>
      <c r="D64" s="112"/>
      <c r="E64" s="112"/>
      <c r="F64" s="112"/>
      <c r="G64" s="114">
        <f t="shared" ref="G64:AA64" si="58">SUM(G7:G63)</f>
        <v>52</v>
      </c>
      <c r="H64" s="114">
        <f t="shared" si="58"/>
        <v>3010</v>
      </c>
      <c r="I64" s="115">
        <f t="shared" si="58"/>
        <v>105</v>
      </c>
      <c r="J64" s="115">
        <f t="shared" si="58"/>
        <v>7140</v>
      </c>
      <c r="K64" s="115">
        <f t="shared" si="58"/>
        <v>61</v>
      </c>
      <c r="L64" s="115">
        <f t="shared" si="58"/>
        <v>4080</v>
      </c>
      <c r="M64" s="114">
        <f t="shared" si="58"/>
        <v>6</v>
      </c>
      <c r="N64" s="114">
        <f t="shared" si="58"/>
        <v>0</v>
      </c>
      <c r="O64" s="114">
        <f t="shared" si="58"/>
        <v>0</v>
      </c>
      <c r="P64" s="114">
        <f t="shared" si="58"/>
        <v>0</v>
      </c>
      <c r="Q64" s="114">
        <f t="shared" si="58"/>
        <v>0</v>
      </c>
      <c r="R64" s="115">
        <f t="shared" si="58"/>
        <v>15</v>
      </c>
      <c r="S64" s="115">
        <f t="shared" si="58"/>
        <v>3</v>
      </c>
      <c r="T64" s="115">
        <f t="shared" si="58"/>
        <v>0</v>
      </c>
      <c r="U64" s="115">
        <f t="shared" si="58"/>
        <v>0</v>
      </c>
      <c r="V64" s="115">
        <f t="shared" si="58"/>
        <v>0</v>
      </c>
      <c r="W64" s="115">
        <f t="shared" si="58"/>
        <v>12</v>
      </c>
      <c r="X64" s="115">
        <f t="shared" si="58"/>
        <v>0</v>
      </c>
      <c r="Y64" s="115">
        <f t="shared" si="58"/>
        <v>0</v>
      </c>
      <c r="Z64" s="115">
        <f t="shared" si="58"/>
        <v>0</v>
      </c>
      <c r="AA64" s="115">
        <f t="shared" si="58"/>
        <v>0</v>
      </c>
      <c r="AB64" s="115"/>
      <c r="AC64" s="115"/>
    </row>
    <row r="65" ht="14.25" customHeight="1">
      <c r="A65" s="57"/>
      <c r="B65" s="58" t="s">
        <v>22</v>
      </c>
      <c r="C65" s="59"/>
      <c r="D65" s="60"/>
      <c r="E65" s="60"/>
      <c r="F65" s="60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</row>
    <row r="66" ht="14.25" customHeight="1">
      <c r="A66" s="48"/>
      <c r="B66" s="62" t="s">
        <v>50</v>
      </c>
      <c r="C66" s="63" t="s">
        <v>20</v>
      </c>
      <c r="D66" s="64" t="s">
        <v>51</v>
      </c>
      <c r="E66" s="64" t="s">
        <v>52</v>
      </c>
      <c r="F66" s="65" t="s">
        <v>53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ht="14.25" customHeight="1">
      <c r="A67" s="48">
        <v>1.0</v>
      </c>
      <c r="B67" s="66" t="s">
        <v>4</v>
      </c>
      <c r="C67" s="67">
        <v>0.5</v>
      </c>
      <c r="D67" s="72">
        <v>5.0</v>
      </c>
      <c r="E67" s="68">
        <v>1.0</v>
      </c>
      <c r="F67" s="69">
        <f>'1RM'!$C$4*C67</f>
        <v>50</v>
      </c>
      <c r="G67" s="70">
        <f t="shared" ref="G67:G71" si="59">D67*E67</f>
        <v>5</v>
      </c>
      <c r="H67" s="70">
        <f t="shared" ref="H67:H71" si="60">F67*G67</f>
        <v>250</v>
      </c>
      <c r="I67" s="5"/>
      <c r="J67" s="5"/>
      <c r="K67" s="5"/>
      <c r="L67" s="5"/>
      <c r="M67" s="70">
        <f t="shared" ref="M67:M75" si="61">IF(ISNUMBER(SEARCH("Sentadilla",$B67)),IF($C67&gt;=0.5,IF($C67&lt;0.6,$D67*$E67," ")," ")," ")</f>
        <v>5</v>
      </c>
      <c r="N67" s="70" t="str">
        <f t="shared" ref="N67:N75" si="62">IF(ISNUMBER(SEARCH("Sentadilla",$B67)),IF($C67&gt;=0.6,IF($C67&lt;0.7,$D67*$E67," ")," ")," ")</f>
        <v> </v>
      </c>
      <c r="O67" s="70" t="str">
        <f t="shared" ref="O67:O75" si="63">IF(ISNUMBER(SEARCH("Sentadilla",$B67)),IF($C67&gt;=0.7,IF($C67&lt;0.8,$D67*$E67," ")," ")," ")</f>
        <v> </v>
      </c>
      <c r="P67" s="70" t="str">
        <f t="shared" ref="P67:P75" si="64">IF(ISNUMBER(SEARCH("Sentadilla",$B67)),IF($C67&gt;=0.8,IF($C67&lt;0.9,$D67*$E67," ")," ")," ")</f>
        <v> </v>
      </c>
      <c r="Q67" s="70" t="str">
        <f t="shared" ref="Q67:Q75" si="65">IF(ISNUMBER(SEARCH("Sentadilla",$B67)),IF($C67&gt;=0.9,$D67*$E67," ")," ")</f>
        <v> </v>
      </c>
      <c r="R67" s="5" t="str">
        <f t="shared" ref="R67:R75" si="66">IF(ISNUMBER(SEARCH("Press de banca",$B67)),IF($C67&gt;=0.5,IF($C67&lt;0.6,$D67*$E67," ")," ")," ")</f>
        <v> </v>
      </c>
      <c r="S67" s="5" t="str">
        <f t="shared" ref="S67:S75" si="67">IF(ISNUMBER(SEARCH("Press de banca",$B67)),IF($C67&gt;=0.6,IF($C67&lt;0.7,$D67*$E67," ")," ")," ")</f>
        <v> </v>
      </c>
      <c r="T67" s="5" t="str">
        <f t="shared" ref="T67:T75" si="68">IF(ISNUMBER(SEARCH("Press de banca",$B67)),IF($C67&gt;=0.7,IF($C67&lt;0.8,$D67*$E67," ")," ")," ")</f>
        <v> </v>
      </c>
      <c r="U67" s="5" t="str">
        <f t="shared" ref="U67:U75" si="69">IF(ISNUMBER(SEARCH("Press de banca",$B67)),IF($C67&gt;=0.8,IF($C67&lt;0.9,$D67*$E67," ")," ")," ")</f>
        <v> </v>
      </c>
      <c r="V67" s="5" t="str">
        <f t="shared" ref="V67:V75" si="70">IF(ISNUMBER(SEARCH("Press de banca",$B67)),IF($C67&gt;=0.9,$D67*$E67," ")," ")</f>
        <v> </v>
      </c>
      <c r="W67" s="5"/>
      <c r="X67" s="5"/>
      <c r="Y67" s="5"/>
      <c r="Z67" s="5"/>
      <c r="AA67" s="5"/>
      <c r="AB67" s="5"/>
      <c r="AC67" s="5"/>
    </row>
    <row r="68" ht="14.25" customHeight="1">
      <c r="A68" s="48"/>
      <c r="B68" s="71"/>
      <c r="C68" s="67">
        <v>0.6</v>
      </c>
      <c r="D68" s="72">
        <v>4.0</v>
      </c>
      <c r="E68" s="68">
        <v>1.0</v>
      </c>
      <c r="F68" s="69">
        <f>'1RM'!$C$4*C68</f>
        <v>60</v>
      </c>
      <c r="G68" s="70">
        <f t="shared" si="59"/>
        <v>4</v>
      </c>
      <c r="H68" s="70">
        <f t="shared" si="60"/>
        <v>240</v>
      </c>
      <c r="I68" s="5"/>
      <c r="J68" s="5"/>
      <c r="K68" s="5"/>
      <c r="L68" s="5"/>
      <c r="M68" s="70" t="str">
        <f t="shared" si="61"/>
        <v> </v>
      </c>
      <c r="N68" s="70" t="str">
        <f t="shared" si="62"/>
        <v> </v>
      </c>
      <c r="O68" s="70" t="str">
        <f t="shared" si="63"/>
        <v> </v>
      </c>
      <c r="P68" s="70" t="str">
        <f t="shared" si="64"/>
        <v> </v>
      </c>
      <c r="Q68" s="70" t="str">
        <f t="shared" si="65"/>
        <v> </v>
      </c>
      <c r="R68" s="5" t="str">
        <f t="shared" si="66"/>
        <v> </v>
      </c>
      <c r="S68" s="5" t="str">
        <f t="shared" si="67"/>
        <v> </v>
      </c>
      <c r="T68" s="5" t="str">
        <f t="shared" si="68"/>
        <v> </v>
      </c>
      <c r="U68" s="5" t="str">
        <f t="shared" si="69"/>
        <v> </v>
      </c>
      <c r="V68" s="5" t="str">
        <f t="shared" si="70"/>
        <v> </v>
      </c>
      <c r="W68" s="5"/>
      <c r="X68" s="5"/>
      <c r="Y68" s="5"/>
      <c r="Z68" s="5"/>
      <c r="AA68" s="5"/>
      <c r="AB68" s="5"/>
      <c r="AC68" s="5"/>
    </row>
    <row r="69" ht="14.25" customHeight="1">
      <c r="A69" s="48"/>
      <c r="B69" s="71"/>
      <c r="C69" s="67">
        <v>0.7</v>
      </c>
      <c r="D69" s="72">
        <v>3.0</v>
      </c>
      <c r="E69" s="68">
        <v>1.0</v>
      </c>
      <c r="F69" s="69">
        <f>'1RM'!$C$4*C69</f>
        <v>70</v>
      </c>
      <c r="G69" s="70">
        <f t="shared" si="59"/>
        <v>3</v>
      </c>
      <c r="H69" s="70">
        <f t="shared" si="60"/>
        <v>210</v>
      </c>
      <c r="I69" s="5"/>
      <c r="J69" s="5"/>
      <c r="K69" s="5"/>
      <c r="L69" s="5"/>
      <c r="M69" s="70" t="str">
        <f t="shared" si="61"/>
        <v> </v>
      </c>
      <c r="N69" s="70" t="str">
        <f t="shared" si="62"/>
        <v> </v>
      </c>
      <c r="O69" s="70" t="str">
        <f t="shared" si="63"/>
        <v> </v>
      </c>
      <c r="P69" s="70" t="str">
        <f t="shared" si="64"/>
        <v> </v>
      </c>
      <c r="Q69" s="70" t="str">
        <f t="shared" si="65"/>
        <v> </v>
      </c>
      <c r="R69" s="5" t="str">
        <f t="shared" si="66"/>
        <v> </v>
      </c>
      <c r="S69" s="5" t="str">
        <f t="shared" si="67"/>
        <v> </v>
      </c>
      <c r="T69" s="5" t="str">
        <f t="shared" si="68"/>
        <v> </v>
      </c>
      <c r="U69" s="5" t="str">
        <f t="shared" si="69"/>
        <v> </v>
      </c>
      <c r="V69" s="5" t="str">
        <f t="shared" si="70"/>
        <v> </v>
      </c>
      <c r="W69" s="5"/>
      <c r="X69" s="5"/>
      <c r="Y69" s="5"/>
      <c r="Z69" s="5"/>
      <c r="AA69" s="5"/>
      <c r="AB69" s="5"/>
      <c r="AC69" s="5"/>
    </row>
    <row r="70" ht="14.25" customHeight="1">
      <c r="A70" s="48"/>
      <c r="B70" s="71"/>
      <c r="C70" s="67">
        <v>0.75</v>
      </c>
      <c r="D70" s="72">
        <v>3.0</v>
      </c>
      <c r="E70" s="68">
        <v>1.0</v>
      </c>
      <c r="F70" s="69">
        <f>'1RM'!$C$4*C70</f>
        <v>75</v>
      </c>
      <c r="G70" s="70">
        <f t="shared" si="59"/>
        <v>3</v>
      </c>
      <c r="H70" s="70">
        <f t="shared" si="60"/>
        <v>225</v>
      </c>
      <c r="I70" s="5"/>
      <c r="J70" s="5"/>
      <c r="K70" s="5"/>
      <c r="L70" s="5"/>
      <c r="M70" s="70" t="str">
        <f t="shared" si="61"/>
        <v> </v>
      </c>
      <c r="N70" s="70" t="str">
        <f t="shared" si="62"/>
        <v> </v>
      </c>
      <c r="O70" s="70" t="str">
        <f t="shared" si="63"/>
        <v> </v>
      </c>
      <c r="P70" s="70" t="str">
        <f t="shared" si="64"/>
        <v> </v>
      </c>
      <c r="Q70" s="70" t="str">
        <f t="shared" si="65"/>
        <v> </v>
      </c>
      <c r="R70" s="5" t="str">
        <f t="shared" si="66"/>
        <v> </v>
      </c>
      <c r="S70" s="5" t="str">
        <f t="shared" si="67"/>
        <v> </v>
      </c>
      <c r="T70" s="5" t="str">
        <f t="shared" si="68"/>
        <v> </v>
      </c>
      <c r="U70" s="5" t="str">
        <f t="shared" si="69"/>
        <v> </v>
      </c>
      <c r="V70" s="5" t="str">
        <f t="shared" si="70"/>
        <v> </v>
      </c>
      <c r="W70" s="5"/>
      <c r="X70" s="5"/>
      <c r="Y70" s="5"/>
      <c r="Z70" s="5"/>
      <c r="AA70" s="5"/>
      <c r="AB70" s="5"/>
      <c r="AC70" s="5"/>
    </row>
    <row r="71" ht="14.25" customHeight="1">
      <c r="A71" s="48"/>
      <c r="B71" s="71"/>
      <c r="C71" s="73">
        <v>0.8</v>
      </c>
      <c r="D71" s="74">
        <v>4.0</v>
      </c>
      <c r="E71" s="75">
        <v>5.0</v>
      </c>
      <c r="F71" s="76">
        <f>'1RM'!$C$4*C71</f>
        <v>80</v>
      </c>
      <c r="G71" s="70">
        <f t="shared" si="59"/>
        <v>20</v>
      </c>
      <c r="H71" s="70">
        <f t="shared" si="60"/>
        <v>1600</v>
      </c>
      <c r="I71" s="5"/>
      <c r="J71" s="5"/>
      <c r="K71" s="5"/>
      <c r="L71" s="5"/>
      <c r="M71" s="70" t="str">
        <f t="shared" si="61"/>
        <v> </v>
      </c>
      <c r="N71" s="70" t="str">
        <f t="shared" si="62"/>
        <v> </v>
      </c>
      <c r="O71" s="70" t="str">
        <f t="shared" si="63"/>
        <v> </v>
      </c>
      <c r="P71" s="70" t="str">
        <f t="shared" si="64"/>
        <v> </v>
      </c>
      <c r="Q71" s="70" t="str">
        <f t="shared" si="65"/>
        <v> </v>
      </c>
      <c r="R71" s="5" t="str">
        <f t="shared" si="66"/>
        <v> </v>
      </c>
      <c r="S71" s="5" t="str">
        <f t="shared" si="67"/>
        <v> </v>
      </c>
      <c r="T71" s="5" t="str">
        <f t="shared" si="68"/>
        <v> </v>
      </c>
      <c r="U71" s="5" t="str">
        <f t="shared" si="69"/>
        <v> </v>
      </c>
      <c r="V71" s="5" t="str">
        <f t="shared" si="70"/>
        <v> </v>
      </c>
      <c r="W71" s="5"/>
      <c r="X71" s="5"/>
      <c r="Y71" s="5"/>
      <c r="Z71" s="5"/>
      <c r="AA71" s="5"/>
      <c r="AB71" s="5"/>
      <c r="AC71" s="5"/>
    </row>
    <row r="72" ht="14.25" customHeight="1">
      <c r="A72" s="48">
        <v>2.0</v>
      </c>
      <c r="B72" s="77" t="s">
        <v>5</v>
      </c>
      <c r="C72" s="78">
        <v>0.5</v>
      </c>
      <c r="D72" s="79">
        <v>5.0</v>
      </c>
      <c r="E72" s="80">
        <v>1.0</v>
      </c>
      <c r="F72" s="81">
        <f>'1RM'!$C$5*C72</f>
        <v>50</v>
      </c>
      <c r="G72" s="5"/>
      <c r="H72" s="5"/>
      <c r="I72" s="82">
        <f t="shared" ref="I72:I75" si="71">D72*E72</f>
        <v>5</v>
      </c>
      <c r="J72" s="82">
        <f t="shared" ref="J72:J75" si="72">F72*I72</f>
        <v>250</v>
      </c>
      <c r="K72" s="5"/>
      <c r="L72" s="5"/>
      <c r="M72" s="5" t="str">
        <f t="shared" si="61"/>
        <v> </v>
      </c>
      <c r="N72" s="5" t="str">
        <f t="shared" si="62"/>
        <v> </v>
      </c>
      <c r="O72" s="5" t="str">
        <f t="shared" si="63"/>
        <v> </v>
      </c>
      <c r="P72" s="5" t="str">
        <f t="shared" si="64"/>
        <v> </v>
      </c>
      <c r="Q72" s="5" t="str">
        <f t="shared" si="65"/>
        <v> </v>
      </c>
      <c r="R72" s="82">
        <f t="shared" si="66"/>
        <v>5</v>
      </c>
      <c r="S72" s="82" t="str">
        <f t="shared" si="67"/>
        <v> </v>
      </c>
      <c r="T72" s="82" t="str">
        <f t="shared" si="68"/>
        <v> </v>
      </c>
      <c r="U72" s="82" t="str">
        <f t="shared" si="69"/>
        <v> </v>
      </c>
      <c r="V72" s="82" t="str">
        <f t="shared" si="70"/>
        <v> </v>
      </c>
      <c r="W72" s="5"/>
      <c r="X72" s="5"/>
      <c r="Y72" s="5"/>
      <c r="Z72" s="5"/>
      <c r="AA72" s="5"/>
      <c r="AB72" s="5"/>
      <c r="AC72" s="5"/>
    </row>
    <row r="73" ht="14.25" customHeight="1">
      <c r="A73" s="48"/>
      <c r="B73" s="83"/>
      <c r="C73" s="78">
        <v>0.6</v>
      </c>
      <c r="D73" s="79">
        <v>4.0</v>
      </c>
      <c r="E73" s="80">
        <v>1.0</v>
      </c>
      <c r="F73" s="81">
        <f>'1RM'!$C$5*C73</f>
        <v>60</v>
      </c>
      <c r="G73" s="5"/>
      <c r="H73" s="5"/>
      <c r="I73" s="82">
        <f t="shared" si="71"/>
        <v>4</v>
      </c>
      <c r="J73" s="82">
        <f t="shared" si="72"/>
        <v>240</v>
      </c>
      <c r="K73" s="5"/>
      <c r="L73" s="5"/>
      <c r="M73" s="5" t="str">
        <f t="shared" si="61"/>
        <v> </v>
      </c>
      <c r="N73" s="5" t="str">
        <f t="shared" si="62"/>
        <v> </v>
      </c>
      <c r="O73" s="5" t="str">
        <f t="shared" si="63"/>
        <v> </v>
      </c>
      <c r="P73" s="5" t="str">
        <f t="shared" si="64"/>
        <v> </v>
      </c>
      <c r="Q73" s="5" t="str">
        <f t="shared" si="65"/>
        <v> </v>
      </c>
      <c r="R73" s="82" t="str">
        <f t="shared" si="66"/>
        <v> </v>
      </c>
      <c r="S73" s="82" t="str">
        <f t="shared" si="67"/>
        <v> </v>
      </c>
      <c r="T73" s="82" t="str">
        <f t="shared" si="68"/>
        <v> </v>
      </c>
      <c r="U73" s="82" t="str">
        <f t="shared" si="69"/>
        <v> </v>
      </c>
      <c r="V73" s="82" t="str">
        <f t="shared" si="70"/>
        <v> </v>
      </c>
      <c r="W73" s="5"/>
      <c r="X73" s="5"/>
      <c r="Y73" s="5"/>
      <c r="Z73" s="5"/>
      <c r="AA73" s="5"/>
      <c r="AB73" s="5"/>
      <c r="AC73" s="5"/>
    </row>
    <row r="74" ht="14.25" customHeight="1">
      <c r="A74" s="48"/>
      <c r="B74" s="83"/>
      <c r="C74" s="78">
        <v>0.7</v>
      </c>
      <c r="D74" s="79">
        <v>3.0</v>
      </c>
      <c r="E74" s="80">
        <v>1.0</v>
      </c>
      <c r="F74" s="81">
        <f>'1RM'!$C$5*C74</f>
        <v>70</v>
      </c>
      <c r="G74" s="5"/>
      <c r="H74" s="5"/>
      <c r="I74" s="82">
        <f t="shared" si="71"/>
        <v>3</v>
      </c>
      <c r="J74" s="82">
        <f t="shared" si="72"/>
        <v>210</v>
      </c>
      <c r="K74" s="5"/>
      <c r="L74" s="5"/>
      <c r="M74" s="5" t="str">
        <f t="shared" si="61"/>
        <v> </v>
      </c>
      <c r="N74" s="5" t="str">
        <f t="shared" si="62"/>
        <v> </v>
      </c>
      <c r="O74" s="5" t="str">
        <f t="shared" si="63"/>
        <v> </v>
      </c>
      <c r="P74" s="5" t="str">
        <f t="shared" si="64"/>
        <v> </v>
      </c>
      <c r="Q74" s="5" t="str">
        <f t="shared" si="65"/>
        <v> </v>
      </c>
      <c r="R74" s="82" t="str">
        <f t="shared" si="66"/>
        <v> </v>
      </c>
      <c r="S74" s="82" t="str">
        <f t="shared" si="67"/>
        <v> </v>
      </c>
      <c r="T74" s="82" t="str">
        <f t="shared" si="68"/>
        <v> </v>
      </c>
      <c r="U74" s="82" t="str">
        <f t="shared" si="69"/>
        <v> </v>
      </c>
      <c r="V74" s="82" t="str">
        <f t="shared" si="70"/>
        <v> </v>
      </c>
      <c r="W74" s="5"/>
      <c r="X74" s="5"/>
      <c r="Y74" s="5"/>
      <c r="Z74" s="5"/>
      <c r="AA74" s="5"/>
      <c r="AB74" s="5"/>
      <c r="AC74" s="5"/>
    </row>
    <row r="75" ht="14.25" customHeight="1">
      <c r="A75" s="48"/>
      <c r="B75" s="83"/>
      <c r="C75" s="84">
        <v>0.8</v>
      </c>
      <c r="D75" s="85">
        <v>4.0</v>
      </c>
      <c r="E75" s="86">
        <v>5.0</v>
      </c>
      <c r="F75" s="87">
        <f>'1RM'!$C$5*C75</f>
        <v>80</v>
      </c>
      <c r="G75" s="5"/>
      <c r="H75" s="5"/>
      <c r="I75" s="82">
        <f t="shared" si="71"/>
        <v>20</v>
      </c>
      <c r="J75" s="82">
        <f t="shared" si="72"/>
        <v>1600</v>
      </c>
      <c r="K75" s="5"/>
      <c r="L75" s="5"/>
      <c r="M75" s="5" t="str">
        <f t="shared" si="61"/>
        <v> </v>
      </c>
      <c r="N75" s="5" t="str">
        <f t="shared" si="62"/>
        <v> </v>
      </c>
      <c r="O75" s="5" t="str">
        <f t="shared" si="63"/>
        <v> </v>
      </c>
      <c r="P75" s="5" t="str">
        <f t="shared" si="64"/>
        <v> </v>
      </c>
      <c r="Q75" s="5" t="str">
        <f t="shared" si="65"/>
        <v> </v>
      </c>
      <c r="R75" s="82" t="str">
        <f t="shared" si="66"/>
        <v> </v>
      </c>
      <c r="S75" s="82" t="str">
        <f t="shared" si="67"/>
        <v> </v>
      </c>
      <c r="T75" s="82" t="str">
        <f t="shared" si="68"/>
        <v> </v>
      </c>
      <c r="U75" s="82" t="str">
        <f t="shared" si="69"/>
        <v> </v>
      </c>
      <c r="V75" s="82" t="str">
        <f t="shared" si="70"/>
        <v> </v>
      </c>
      <c r="W75" s="5"/>
      <c r="X75" s="5"/>
      <c r="Y75" s="5"/>
      <c r="Z75" s="5"/>
      <c r="AA75" s="5"/>
      <c r="AB75" s="5"/>
      <c r="AC75" s="5"/>
    </row>
    <row r="76" ht="14.25" customHeight="1">
      <c r="A76" s="48">
        <v>3.0</v>
      </c>
      <c r="B76" s="88" t="s">
        <v>72</v>
      </c>
      <c r="C76" s="56"/>
      <c r="D76" s="49">
        <v>10.0</v>
      </c>
      <c r="E76" s="49">
        <v>5.0</v>
      </c>
      <c r="F76" s="89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ht="14.25" customHeight="1">
      <c r="A77" s="48">
        <v>4.0</v>
      </c>
      <c r="B77" s="88" t="s">
        <v>55</v>
      </c>
      <c r="C77" s="56"/>
      <c r="D77" s="49">
        <v>10.0</v>
      </c>
      <c r="E77" s="49">
        <v>5.0</v>
      </c>
      <c r="F77" s="8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ht="14.25" customHeight="1">
      <c r="A78" s="48">
        <v>5.0</v>
      </c>
      <c r="B78" s="90" t="s">
        <v>65</v>
      </c>
      <c r="C78" s="91"/>
      <c r="D78" s="92">
        <v>8.0</v>
      </c>
      <c r="E78" s="92">
        <v>4.0</v>
      </c>
      <c r="F78" s="93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ht="14.25" customHeight="1">
      <c r="A79" s="48"/>
      <c r="B79" s="49"/>
      <c r="C79" s="56"/>
      <c r="D79" s="49"/>
      <c r="E79" s="49"/>
      <c r="F79" s="49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ht="14.25" customHeight="1">
      <c r="A80" s="48"/>
      <c r="B80" s="62" t="s">
        <v>57</v>
      </c>
      <c r="C80" s="63" t="s">
        <v>20</v>
      </c>
      <c r="D80" s="64" t="s">
        <v>51</v>
      </c>
      <c r="E80" s="64" t="s">
        <v>52</v>
      </c>
      <c r="F80" s="65" t="s">
        <v>53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ht="14.25" customHeight="1">
      <c r="A81" s="48">
        <v>1.0</v>
      </c>
      <c r="B81" s="77" t="s">
        <v>73</v>
      </c>
      <c r="C81" s="78">
        <v>0.5</v>
      </c>
      <c r="D81" s="79">
        <v>3.0</v>
      </c>
      <c r="E81" s="80">
        <v>1.0</v>
      </c>
      <c r="F81" s="81">
        <f>'1RM'!$C$5*C81</f>
        <v>50</v>
      </c>
      <c r="G81" s="5"/>
      <c r="H81" s="5"/>
      <c r="I81" s="82">
        <f t="shared" ref="I81:I83" si="73">D81*E81</f>
        <v>3</v>
      </c>
      <c r="J81" s="82">
        <f t="shared" ref="J81:J83" si="74">F81*I81</f>
        <v>150</v>
      </c>
      <c r="K81" s="5"/>
      <c r="L81" s="5"/>
      <c r="M81" s="5"/>
      <c r="N81" s="5"/>
      <c r="O81" s="5"/>
      <c r="P81" s="5"/>
      <c r="Q81" s="5"/>
      <c r="R81" s="82">
        <f t="shared" ref="R81:R87" si="75">IF(ISNUMBER(SEARCH("Press de banca",$B81)),IF($C81&gt;=0.5,IF($C81&lt;0.6,$D81*$E81," ")," ")," ")</f>
        <v>3</v>
      </c>
      <c r="S81" s="82" t="str">
        <f t="shared" ref="S81:S87" si="76">IF(ISNUMBER(SEARCH("Press de banca",$B81)),IF($C81&gt;=0.6,IF($C81&lt;0.7,$D81*$E81," ")," ")," ")</f>
        <v> </v>
      </c>
      <c r="T81" s="82" t="str">
        <f t="shared" ref="T81:T87" si="77">IF(ISNUMBER(SEARCH("Press de banca",$B81)),IF($C81&gt;=0.7,IF($C81&lt;0.8,$D81*$E81," ")," ")," ")</f>
        <v> </v>
      </c>
      <c r="U81" s="82" t="str">
        <f t="shared" ref="U81:U87" si="78">IF(ISNUMBER(SEARCH("Press de banca",$B81)),IF($C81&gt;=0.8,IF($C81&lt;0.9,$D81*$E81," ")," ")," ")</f>
        <v> </v>
      </c>
      <c r="V81" s="82" t="str">
        <f t="shared" ref="V81:V87" si="79">IF(ISNUMBER(SEARCH("Press de banca",$B81)),IF($C81&gt;=0.9,$D81*$E81," ")," ")</f>
        <v> </v>
      </c>
      <c r="W81" s="5" t="str">
        <f t="shared" ref="W81:W87" si="80">IF(ISNUMBER(SEARCH("Peso muerto",$B81)),IF($C81&gt;=0.5,IF($C81&lt;0.6,$D81*$E81," ")," ")," ")</f>
        <v> </v>
      </c>
      <c r="X81" s="5" t="str">
        <f t="shared" ref="X81:X87" si="81">IF(ISNUMBER(SEARCH("Peso muerto",$B81)),IF($C81&gt;=0.6,IF($C81&lt;0.7,$D81*$E81," ")," ")," ")</f>
        <v> </v>
      </c>
      <c r="Y81" s="5" t="str">
        <f t="shared" ref="Y81:Y87" si="82">IF(ISNUMBER(SEARCH("Peso muerto",$B81)),IF($C81&gt;=0.7,IF($C81&lt;0.8,$D81*$E81," ")," ")," ")</f>
        <v> </v>
      </c>
      <c r="Z81" s="5" t="str">
        <f t="shared" ref="Z81:Z87" si="83">IF(ISNUMBER(SEARCH("Peso muerto",$B81)),IF($C81&gt;=0.8,IF($C81&lt;0.9,$D81*$E81," ")," ")," ")</f>
        <v> </v>
      </c>
      <c r="AA81" s="5" t="str">
        <f t="shared" ref="AA81:AA87" si="84">IF(ISNUMBER(SEARCH("Peso muerto",$B81)),IF($C81&gt;=0.9,$D81*$E81," ")," ")</f>
        <v> </v>
      </c>
      <c r="AB81" s="5"/>
      <c r="AC81" s="5"/>
    </row>
    <row r="82" ht="14.25" customHeight="1">
      <c r="A82" s="48"/>
      <c r="B82" s="83"/>
      <c r="C82" s="78">
        <v>0.6</v>
      </c>
      <c r="D82" s="79">
        <v>3.0</v>
      </c>
      <c r="E82" s="80">
        <v>1.0</v>
      </c>
      <c r="F82" s="81">
        <f>'1RM'!$C$5*C82</f>
        <v>60</v>
      </c>
      <c r="G82" s="5"/>
      <c r="H82" s="5"/>
      <c r="I82" s="82">
        <f t="shared" si="73"/>
        <v>3</v>
      </c>
      <c r="J82" s="82">
        <f t="shared" si="74"/>
        <v>180</v>
      </c>
      <c r="K82" s="5"/>
      <c r="L82" s="5"/>
      <c r="M82" s="5"/>
      <c r="N82" s="5"/>
      <c r="O82" s="5"/>
      <c r="P82" s="5"/>
      <c r="Q82" s="5"/>
      <c r="R82" s="82" t="str">
        <f t="shared" si="75"/>
        <v> </v>
      </c>
      <c r="S82" s="82" t="str">
        <f t="shared" si="76"/>
        <v> </v>
      </c>
      <c r="T82" s="82" t="str">
        <f t="shared" si="77"/>
        <v> </v>
      </c>
      <c r="U82" s="82" t="str">
        <f t="shared" si="78"/>
        <v> </v>
      </c>
      <c r="V82" s="82" t="str">
        <f t="shared" si="79"/>
        <v> </v>
      </c>
      <c r="W82" s="5" t="str">
        <f t="shared" si="80"/>
        <v> </v>
      </c>
      <c r="X82" s="5" t="str">
        <f t="shared" si="81"/>
        <v> </v>
      </c>
      <c r="Y82" s="5" t="str">
        <f t="shared" si="82"/>
        <v> </v>
      </c>
      <c r="Z82" s="5" t="str">
        <f t="shared" si="83"/>
        <v> </v>
      </c>
      <c r="AA82" s="5" t="str">
        <f t="shared" si="84"/>
        <v> </v>
      </c>
      <c r="AB82" s="5"/>
      <c r="AC82" s="5"/>
    </row>
    <row r="83" ht="14.25" customHeight="1">
      <c r="A83" s="48"/>
      <c r="B83" s="83"/>
      <c r="C83" s="84">
        <v>0.7</v>
      </c>
      <c r="D83" s="85">
        <v>3.0</v>
      </c>
      <c r="E83" s="86">
        <v>5.0</v>
      </c>
      <c r="F83" s="87">
        <f>'1RM'!$C$5*C83</f>
        <v>70</v>
      </c>
      <c r="G83" s="5"/>
      <c r="H83" s="5"/>
      <c r="I83" s="82">
        <f t="shared" si="73"/>
        <v>15</v>
      </c>
      <c r="J83" s="82">
        <f t="shared" si="74"/>
        <v>1050</v>
      </c>
      <c r="K83" s="5"/>
      <c r="L83" s="5"/>
      <c r="M83" s="5"/>
      <c r="N83" s="5"/>
      <c r="O83" s="5"/>
      <c r="P83" s="5"/>
      <c r="Q83" s="5"/>
      <c r="R83" s="82" t="str">
        <f t="shared" si="75"/>
        <v> </v>
      </c>
      <c r="S83" s="82" t="str">
        <f t="shared" si="76"/>
        <v> </v>
      </c>
      <c r="T83" s="82" t="str">
        <f t="shared" si="77"/>
        <v> </v>
      </c>
      <c r="U83" s="82" t="str">
        <f t="shared" si="78"/>
        <v> </v>
      </c>
      <c r="V83" s="82" t="str">
        <f t="shared" si="79"/>
        <v> </v>
      </c>
      <c r="W83" s="5" t="str">
        <f t="shared" si="80"/>
        <v> </v>
      </c>
      <c r="X83" s="5" t="str">
        <f t="shared" si="81"/>
        <v> </v>
      </c>
      <c r="Y83" s="5" t="str">
        <f t="shared" si="82"/>
        <v> </v>
      </c>
      <c r="Z83" s="5" t="str">
        <f t="shared" si="83"/>
        <v> </v>
      </c>
      <c r="AA83" s="5" t="str">
        <f t="shared" si="84"/>
        <v> </v>
      </c>
      <c r="AB83" s="5"/>
      <c r="AC83" s="5"/>
    </row>
    <row r="84" ht="14.25" customHeight="1">
      <c r="A84" s="48">
        <v>2.0</v>
      </c>
      <c r="B84" s="94" t="s">
        <v>59</v>
      </c>
      <c r="C84" s="95">
        <v>0.5</v>
      </c>
      <c r="D84" s="96">
        <v>3.0</v>
      </c>
      <c r="E84" s="97">
        <v>1.0</v>
      </c>
      <c r="F84" s="98">
        <f>'1RM'!$C$6*C84</f>
        <v>50</v>
      </c>
      <c r="G84" s="5"/>
      <c r="H84" s="5"/>
      <c r="I84" s="5"/>
      <c r="J84" s="5"/>
      <c r="K84" s="99">
        <f t="shared" ref="K84:K87" si="85">D84*E84</f>
        <v>3</v>
      </c>
      <c r="L84" s="99">
        <f t="shared" ref="L84:L87" si="86">F84*K84</f>
        <v>150</v>
      </c>
      <c r="M84" s="5"/>
      <c r="N84" s="5"/>
      <c r="O84" s="5"/>
      <c r="P84" s="5"/>
      <c r="Q84" s="5"/>
      <c r="R84" s="5" t="str">
        <f t="shared" si="75"/>
        <v> </v>
      </c>
      <c r="S84" s="5" t="str">
        <f t="shared" si="76"/>
        <v> </v>
      </c>
      <c r="T84" s="5" t="str">
        <f t="shared" si="77"/>
        <v> </v>
      </c>
      <c r="U84" s="5" t="str">
        <f t="shared" si="78"/>
        <v> </v>
      </c>
      <c r="V84" s="5" t="str">
        <f t="shared" si="79"/>
        <v> </v>
      </c>
      <c r="W84" s="100">
        <f t="shared" si="80"/>
        <v>3</v>
      </c>
      <c r="X84" s="100" t="str">
        <f t="shared" si="81"/>
        <v> </v>
      </c>
      <c r="Y84" s="100" t="str">
        <f t="shared" si="82"/>
        <v> </v>
      </c>
      <c r="Z84" s="100" t="str">
        <f t="shared" si="83"/>
        <v> </v>
      </c>
      <c r="AA84" s="100" t="str">
        <f t="shared" si="84"/>
        <v> </v>
      </c>
      <c r="AB84" s="5"/>
      <c r="AC84" s="5"/>
    </row>
    <row r="85" ht="14.25" customHeight="1">
      <c r="A85" s="48"/>
      <c r="B85" s="105"/>
      <c r="C85" s="95">
        <v>0.6</v>
      </c>
      <c r="D85" s="96">
        <v>3.0</v>
      </c>
      <c r="E85" s="97">
        <v>1.0</v>
      </c>
      <c r="F85" s="98">
        <f>'1RM'!$C$6*C85</f>
        <v>60</v>
      </c>
      <c r="G85" s="5"/>
      <c r="H85" s="5"/>
      <c r="I85" s="5"/>
      <c r="J85" s="5"/>
      <c r="K85" s="99">
        <f t="shared" si="85"/>
        <v>3</v>
      </c>
      <c r="L85" s="99">
        <f t="shared" si="86"/>
        <v>180</v>
      </c>
      <c r="M85" s="5"/>
      <c r="N85" s="5"/>
      <c r="O85" s="5"/>
      <c r="P85" s="5"/>
      <c r="Q85" s="5"/>
      <c r="R85" s="5" t="str">
        <f t="shared" si="75"/>
        <v> </v>
      </c>
      <c r="S85" s="5" t="str">
        <f t="shared" si="76"/>
        <v> </v>
      </c>
      <c r="T85" s="5" t="str">
        <f t="shared" si="77"/>
        <v> </v>
      </c>
      <c r="U85" s="5" t="str">
        <f t="shared" si="78"/>
        <v> </v>
      </c>
      <c r="V85" s="5" t="str">
        <f t="shared" si="79"/>
        <v> </v>
      </c>
      <c r="W85" s="100" t="str">
        <f t="shared" si="80"/>
        <v> </v>
      </c>
      <c r="X85" s="100" t="str">
        <f t="shared" si="81"/>
        <v> </v>
      </c>
      <c r="Y85" s="100" t="str">
        <f t="shared" si="82"/>
        <v> </v>
      </c>
      <c r="Z85" s="100" t="str">
        <f t="shared" si="83"/>
        <v> </v>
      </c>
      <c r="AA85" s="100" t="str">
        <f t="shared" si="84"/>
        <v> </v>
      </c>
      <c r="AB85" s="5"/>
      <c r="AC85" s="5"/>
    </row>
    <row r="86" ht="14.25" customHeight="1">
      <c r="A86" s="48"/>
      <c r="B86" s="105"/>
      <c r="C86" s="95">
        <v>0.7</v>
      </c>
      <c r="D86" s="96">
        <v>3.0</v>
      </c>
      <c r="E86" s="97">
        <v>1.0</v>
      </c>
      <c r="F86" s="98">
        <f>'1RM'!$C$6*C86</f>
        <v>70</v>
      </c>
      <c r="G86" s="5"/>
      <c r="H86" s="5"/>
      <c r="I86" s="5"/>
      <c r="J86" s="5"/>
      <c r="K86" s="99">
        <f t="shared" si="85"/>
        <v>3</v>
      </c>
      <c r="L86" s="99">
        <f t="shared" si="86"/>
        <v>210</v>
      </c>
      <c r="M86" s="5"/>
      <c r="N86" s="5"/>
      <c r="O86" s="5"/>
      <c r="P86" s="5"/>
      <c r="Q86" s="5"/>
      <c r="R86" s="5" t="str">
        <f t="shared" si="75"/>
        <v> </v>
      </c>
      <c r="S86" s="5" t="str">
        <f t="shared" si="76"/>
        <v> </v>
      </c>
      <c r="T86" s="5" t="str">
        <f t="shared" si="77"/>
        <v> </v>
      </c>
      <c r="U86" s="5" t="str">
        <f t="shared" si="78"/>
        <v> </v>
      </c>
      <c r="V86" s="5" t="str">
        <f t="shared" si="79"/>
        <v> </v>
      </c>
      <c r="W86" s="100" t="str">
        <f t="shared" si="80"/>
        <v> </v>
      </c>
      <c r="X86" s="100" t="str">
        <f t="shared" si="81"/>
        <v> </v>
      </c>
      <c r="Y86" s="100" t="str">
        <f t="shared" si="82"/>
        <v> </v>
      </c>
      <c r="Z86" s="100" t="str">
        <f t="shared" si="83"/>
        <v> </v>
      </c>
      <c r="AA86" s="100" t="str">
        <f t="shared" si="84"/>
        <v> </v>
      </c>
      <c r="AB86" s="5"/>
      <c r="AC86" s="5"/>
    </row>
    <row r="87" ht="14.25" customHeight="1">
      <c r="A87" s="48"/>
      <c r="B87" s="105"/>
      <c r="C87" s="101">
        <v>0.75</v>
      </c>
      <c r="D87" s="102">
        <v>2.0</v>
      </c>
      <c r="E87" s="103">
        <v>5.0</v>
      </c>
      <c r="F87" s="104">
        <f>'1RM'!$C$6*C87</f>
        <v>75</v>
      </c>
      <c r="G87" s="5"/>
      <c r="H87" s="5"/>
      <c r="I87" s="5"/>
      <c r="J87" s="5"/>
      <c r="K87" s="99">
        <f t="shared" si="85"/>
        <v>10</v>
      </c>
      <c r="L87" s="99">
        <f t="shared" si="86"/>
        <v>750</v>
      </c>
      <c r="M87" s="5"/>
      <c r="N87" s="5"/>
      <c r="O87" s="5"/>
      <c r="P87" s="5"/>
      <c r="Q87" s="5"/>
      <c r="R87" s="5" t="str">
        <f t="shared" si="75"/>
        <v> </v>
      </c>
      <c r="S87" s="5" t="str">
        <f t="shared" si="76"/>
        <v> </v>
      </c>
      <c r="T87" s="5" t="str">
        <f t="shared" si="77"/>
        <v> </v>
      </c>
      <c r="U87" s="5" t="str">
        <f t="shared" si="78"/>
        <v> </v>
      </c>
      <c r="V87" s="5" t="str">
        <f t="shared" si="79"/>
        <v> </v>
      </c>
      <c r="W87" s="100" t="str">
        <f t="shared" si="80"/>
        <v> </v>
      </c>
      <c r="X87" s="100" t="str">
        <f t="shared" si="81"/>
        <v> </v>
      </c>
      <c r="Y87" s="100" t="str">
        <f t="shared" si="82"/>
        <v> </v>
      </c>
      <c r="Z87" s="100" t="str">
        <f t="shared" si="83"/>
        <v> </v>
      </c>
      <c r="AA87" s="100" t="str">
        <f t="shared" si="84"/>
        <v> </v>
      </c>
      <c r="AB87" s="5"/>
      <c r="AC87" s="5"/>
    </row>
    <row r="88" ht="14.25" customHeight="1">
      <c r="A88" s="48">
        <v>3.0</v>
      </c>
      <c r="B88" s="88" t="s">
        <v>74</v>
      </c>
      <c r="C88" s="56"/>
      <c r="D88" s="49">
        <v>10.0</v>
      </c>
      <c r="E88" s="49">
        <v>5.0</v>
      </c>
      <c r="F88" s="89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ht="14.25" customHeight="1">
      <c r="A89" s="48">
        <v>4.0</v>
      </c>
      <c r="B89" s="88" t="s">
        <v>75</v>
      </c>
      <c r="C89" s="56"/>
      <c r="D89" s="49">
        <v>8.0</v>
      </c>
      <c r="E89" s="49">
        <v>4.0</v>
      </c>
      <c r="F89" s="89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ht="14.25" customHeight="1">
      <c r="A90" s="48"/>
      <c r="B90" s="88"/>
      <c r="C90" s="56"/>
      <c r="D90" s="49"/>
      <c r="E90" s="49"/>
      <c r="F90" s="89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ht="14.25" customHeight="1">
      <c r="A91" s="48">
        <v>5.0</v>
      </c>
      <c r="B91" s="90" t="s">
        <v>56</v>
      </c>
      <c r="C91" s="91"/>
      <c r="D91" s="92">
        <v>8.0</v>
      </c>
      <c r="E91" s="92">
        <v>4.0</v>
      </c>
      <c r="F91" s="93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ht="14.25" customHeight="1">
      <c r="A92" s="48"/>
      <c r="B92" s="49"/>
      <c r="C92" s="56"/>
      <c r="D92" s="49"/>
      <c r="E92" s="49"/>
      <c r="F92" s="49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ht="14.25" customHeight="1">
      <c r="A93" s="48"/>
      <c r="B93" s="62" t="s">
        <v>62</v>
      </c>
      <c r="C93" s="63" t="s">
        <v>20</v>
      </c>
      <c r="D93" s="64" t="s">
        <v>51</v>
      </c>
      <c r="E93" s="64" t="s">
        <v>52</v>
      </c>
      <c r="F93" s="65" t="s">
        <v>53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ht="14.25" customHeight="1">
      <c r="A94" s="48">
        <v>1.0</v>
      </c>
      <c r="B94" s="66" t="s">
        <v>54</v>
      </c>
      <c r="C94" s="67">
        <v>0.3</v>
      </c>
      <c r="D94" s="72">
        <v>4.0</v>
      </c>
      <c r="E94" s="68">
        <v>1.0</v>
      </c>
      <c r="F94" s="69">
        <f>'1RM'!$C$4*C94</f>
        <v>30</v>
      </c>
      <c r="G94" s="70">
        <f t="shared" ref="G94:G96" si="87">D94*E94</f>
        <v>4</v>
      </c>
      <c r="H94" s="70">
        <f t="shared" ref="H94:H96" si="88">F94*G94</f>
        <v>120</v>
      </c>
      <c r="I94" s="5"/>
      <c r="J94" s="5"/>
      <c r="K94" s="5"/>
      <c r="L94" s="5"/>
      <c r="M94" s="70" t="str">
        <f t="shared" ref="M94:M101" si="89">IF(ISNUMBER(SEARCH("Sentadilla",$B94)),IF($C94&gt;=0.5,IF($C94&lt;0.6,$D94*$E94," ")," ")," ")</f>
        <v> </v>
      </c>
      <c r="N94" s="70" t="str">
        <f t="shared" ref="N94:N101" si="90">IF(ISNUMBER(SEARCH("Sentadilla",$B94)),IF($C94&gt;=0.6,IF($C94&lt;0.7,$D94*$E94," ")," ")," ")</f>
        <v> </v>
      </c>
      <c r="O94" s="70" t="str">
        <f t="shared" ref="O94:O101" si="91">IF(ISNUMBER(SEARCH("Sentadilla",$B94)),IF($C94&gt;=0.7,IF($C94&lt;0.8,$D94*$E94," ")," ")," ")</f>
        <v> </v>
      </c>
      <c r="P94" s="70" t="str">
        <f t="shared" ref="P94:P101" si="92">IF(ISNUMBER(SEARCH("Sentadilla",$B94)),IF($C94&gt;=0.8,IF($C94&lt;0.9,$D94*$E94," ")," ")," ")</f>
        <v> </v>
      </c>
      <c r="Q94" s="70" t="str">
        <f t="shared" ref="Q94:Q101" si="93">IF(ISNUMBER(SEARCH("Sentadilla",$B94)),IF($C94&gt;=0.9,$D94*$E94," ")," ")</f>
        <v> </v>
      </c>
      <c r="R94" s="5" t="str">
        <f t="shared" ref="R94:R101" si="94">IF(ISNUMBER(SEARCH("Press de banca",$B94)),IF($C94&gt;=0.5,IF($C94&lt;0.6,$D94*$E94," ")," ")," ")</f>
        <v> </v>
      </c>
      <c r="S94" s="5" t="str">
        <f t="shared" ref="S94:S101" si="95">IF(ISNUMBER(SEARCH("Press de banca",$B94)),IF($C94&gt;=0.6,IF($C94&lt;0.7,$D94*$E94," ")," ")," ")</f>
        <v> </v>
      </c>
      <c r="T94" s="5" t="str">
        <f t="shared" ref="T94:T101" si="96">IF(ISNUMBER(SEARCH("Press de banca",$B94)),IF($C94&gt;=0.7,IF($C94&lt;0.8,$D94*$E94," ")," ")," ")</f>
        <v> </v>
      </c>
      <c r="U94" s="5" t="str">
        <f t="shared" ref="U94:U101" si="97">IF(ISNUMBER(SEARCH("Press de banca",$B94)),IF($C94&gt;=0.8,IF($C94&lt;0.9,$D94*$E94," ")," ")," ")</f>
        <v> </v>
      </c>
      <c r="V94" s="5" t="str">
        <f t="shared" ref="V94:V101" si="98">IF(ISNUMBER(SEARCH("Press de banca",$B94)),IF($C94&gt;=0.9,$D94*$E94," ")," ")</f>
        <v> </v>
      </c>
      <c r="W94" s="5"/>
      <c r="X94" s="5"/>
      <c r="Y94" s="5"/>
      <c r="Z94" s="5"/>
      <c r="AA94" s="5"/>
      <c r="AB94" s="5"/>
      <c r="AC94" s="5"/>
    </row>
    <row r="95" ht="14.25" customHeight="1">
      <c r="A95" s="48"/>
      <c r="B95" s="71"/>
      <c r="C95" s="67">
        <v>0.4</v>
      </c>
      <c r="D95" s="72">
        <v>4.0</v>
      </c>
      <c r="E95" s="68">
        <v>1.0</v>
      </c>
      <c r="F95" s="69">
        <f>'1RM'!$C$4*C95</f>
        <v>40</v>
      </c>
      <c r="G95" s="70">
        <f t="shared" si="87"/>
        <v>4</v>
      </c>
      <c r="H95" s="70">
        <f t="shared" si="88"/>
        <v>160</v>
      </c>
      <c r="I95" s="5"/>
      <c r="J95" s="5"/>
      <c r="K95" s="5"/>
      <c r="L95" s="5"/>
      <c r="M95" s="70" t="str">
        <f t="shared" si="89"/>
        <v> </v>
      </c>
      <c r="N95" s="70" t="str">
        <f t="shared" si="90"/>
        <v> </v>
      </c>
      <c r="O95" s="70" t="str">
        <f t="shared" si="91"/>
        <v> </v>
      </c>
      <c r="P95" s="70" t="str">
        <f t="shared" si="92"/>
        <v> </v>
      </c>
      <c r="Q95" s="70" t="str">
        <f t="shared" si="93"/>
        <v> </v>
      </c>
      <c r="R95" s="5" t="str">
        <f t="shared" si="94"/>
        <v> </v>
      </c>
      <c r="S95" s="5" t="str">
        <f t="shared" si="95"/>
        <v> </v>
      </c>
      <c r="T95" s="5" t="str">
        <f t="shared" si="96"/>
        <v> </v>
      </c>
      <c r="U95" s="5" t="str">
        <f t="shared" si="97"/>
        <v> </v>
      </c>
      <c r="V95" s="5" t="str">
        <f t="shared" si="98"/>
        <v> </v>
      </c>
      <c r="W95" s="5"/>
      <c r="X95" s="5"/>
      <c r="Y95" s="5"/>
      <c r="Z95" s="5"/>
      <c r="AA95" s="5"/>
      <c r="AB95" s="5"/>
      <c r="AC95" s="5"/>
    </row>
    <row r="96" ht="14.25" customHeight="1">
      <c r="A96" s="48"/>
      <c r="B96" s="71"/>
      <c r="C96" s="73">
        <v>0.5</v>
      </c>
      <c r="D96" s="74">
        <v>4.0</v>
      </c>
      <c r="E96" s="75">
        <v>4.0</v>
      </c>
      <c r="F96" s="76">
        <f>'1RM'!$C$4*C96</f>
        <v>50</v>
      </c>
      <c r="G96" s="70">
        <f t="shared" si="87"/>
        <v>16</v>
      </c>
      <c r="H96" s="70">
        <f t="shared" si="88"/>
        <v>800</v>
      </c>
      <c r="I96" s="5"/>
      <c r="J96" s="5"/>
      <c r="K96" s="5"/>
      <c r="L96" s="5"/>
      <c r="M96" s="70" t="str">
        <f t="shared" si="89"/>
        <v> </v>
      </c>
      <c r="N96" s="70" t="str">
        <f t="shared" si="90"/>
        <v> </v>
      </c>
      <c r="O96" s="70" t="str">
        <f t="shared" si="91"/>
        <v> </v>
      </c>
      <c r="P96" s="70" t="str">
        <f t="shared" si="92"/>
        <v> </v>
      </c>
      <c r="Q96" s="70" t="str">
        <f t="shared" si="93"/>
        <v> </v>
      </c>
      <c r="R96" s="5" t="str">
        <f t="shared" si="94"/>
        <v> </v>
      </c>
      <c r="S96" s="5" t="str">
        <f t="shared" si="95"/>
        <v> </v>
      </c>
      <c r="T96" s="5" t="str">
        <f t="shared" si="96"/>
        <v> </v>
      </c>
      <c r="U96" s="5" t="str">
        <f t="shared" si="97"/>
        <v> </v>
      </c>
      <c r="V96" s="5" t="str">
        <f t="shared" si="98"/>
        <v> </v>
      </c>
      <c r="W96" s="5"/>
      <c r="X96" s="5"/>
      <c r="Y96" s="5"/>
      <c r="Z96" s="5"/>
      <c r="AA96" s="5"/>
      <c r="AB96" s="5"/>
      <c r="AC96" s="5"/>
    </row>
    <row r="97" ht="14.25" customHeight="1">
      <c r="A97" s="48">
        <v>2.0</v>
      </c>
      <c r="B97" s="77" t="s">
        <v>64</v>
      </c>
      <c r="C97" s="78">
        <v>0.6</v>
      </c>
      <c r="D97" s="79">
        <v>3.0</v>
      </c>
      <c r="E97" s="80">
        <v>1.0</v>
      </c>
      <c r="F97" s="81">
        <f>'1RM'!$C$5*C97</f>
        <v>60</v>
      </c>
      <c r="G97" s="5"/>
      <c r="H97" s="5"/>
      <c r="I97" s="82">
        <f t="shared" ref="I97:I101" si="99">D97*E97</f>
        <v>3</v>
      </c>
      <c r="J97" s="82">
        <f t="shared" ref="J97:J101" si="100">F97*I97</f>
        <v>180</v>
      </c>
      <c r="K97" s="5"/>
      <c r="L97" s="5"/>
      <c r="M97" s="5" t="str">
        <f t="shared" si="89"/>
        <v> </v>
      </c>
      <c r="N97" s="5" t="str">
        <f t="shared" si="90"/>
        <v> </v>
      </c>
      <c r="O97" s="5" t="str">
        <f t="shared" si="91"/>
        <v> </v>
      </c>
      <c r="P97" s="5" t="str">
        <f t="shared" si="92"/>
        <v> </v>
      </c>
      <c r="Q97" s="5" t="str">
        <f t="shared" si="93"/>
        <v> </v>
      </c>
      <c r="R97" s="82" t="str">
        <f t="shared" si="94"/>
        <v> </v>
      </c>
      <c r="S97" s="82">
        <f t="shared" si="95"/>
        <v>3</v>
      </c>
      <c r="T97" s="82" t="str">
        <f t="shared" si="96"/>
        <v> </v>
      </c>
      <c r="U97" s="82" t="str">
        <f t="shared" si="97"/>
        <v> </v>
      </c>
      <c r="V97" s="82" t="str">
        <f t="shared" si="98"/>
        <v> </v>
      </c>
      <c r="W97" s="5"/>
      <c r="X97" s="5"/>
      <c r="Y97" s="5"/>
      <c r="Z97" s="5"/>
      <c r="AA97" s="5"/>
      <c r="AB97" s="5"/>
      <c r="AC97" s="5"/>
    </row>
    <row r="98" ht="14.25" customHeight="1">
      <c r="A98" s="48"/>
      <c r="B98" s="83"/>
      <c r="C98" s="78">
        <v>0.7</v>
      </c>
      <c r="D98" s="79">
        <v>3.0</v>
      </c>
      <c r="E98" s="80">
        <v>1.0</v>
      </c>
      <c r="F98" s="81">
        <f>'1RM'!$C$5*C98</f>
        <v>70</v>
      </c>
      <c r="G98" s="5"/>
      <c r="H98" s="5"/>
      <c r="I98" s="82">
        <f t="shared" si="99"/>
        <v>3</v>
      </c>
      <c r="J98" s="82">
        <f t="shared" si="100"/>
        <v>210</v>
      </c>
      <c r="K98" s="5"/>
      <c r="L98" s="5"/>
      <c r="M98" s="5" t="str">
        <f t="shared" si="89"/>
        <v> </v>
      </c>
      <c r="N98" s="5" t="str">
        <f t="shared" si="90"/>
        <v> </v>
      </c>
      <c r="O98" s="5" t="str">
        <f t="shared" si="91"/>
        <v> </v>
      </c>
      <c r="P98" s="5" t="str">
        <f t="shared" si="92"/>
        <v> </v>
      </c>
      <c r="Q98" s="5" t="str">
        <f t="shared" si="93"/>
        <v> </v>
      </c>
      <c r="R98" s="82" t="str">
        <f t="shared" si="94"/>
        <v> </v>
      </c>
      <c r="S98" s="82" t="str">
        <f t="shared" si="95"/>
        <v> </v>
      </c>
      <c r="T98" s="82" t="str">
        <f t="shared" si="96"/>
        <v> </v>
      </c>
      <c r="U98" s="82" t="str">
        <f t="shared" si="97"/>
        <v> </v>
      </c>
      <c r="V98" s="82" t="str">
        <f t="shared" si="98"/>
        <v> </v>
      </c>
      <c r="W98" s="5"/>
      <c r="X98" s="5"/>
      <c r="Y98" s="5"/>
      <c r="Z98" s="5"/>
      <c r="AA98" s="5"/>
      <c r="AB98" s="5"/>
      <c r="AC98" s="5"/>
    </row>
    <row r="99" ht="14.25" customHeight="1">
      <c r="A99" s="48"/>
      <c r="B99" s="83"/>
      <c r="C99" s="78">
        <v>0.8</v>
      </c>
      <c r="D99" s="79">
        <v>3.0</v>
      </c>
      <c r="E99" s="80">
        <v>1.0</v>
      </c>
      <c r="F99" s="81">
        <f>'1RM'!$C$5*C99</f>
        <v>80</v>
      </c>
      <c r="G99" s="5"/>
      <c r="H99" s="5"/>
      <c r="I99" s="82">
        <f t="shared" si="99"/>
        <v>3</v>
      </c>
      <c r="J99" s="82">
        <f t="shared" si="100"/>
        <v>240</v>
      </c>
      <c r="K99" s="5"/>
      <c r="L99" s="5"/>
      <c r="M99" s="5" t="str">
        <f t="shared" si="89"/>
        <v> </v>
      </c>
      <c r="N99" s="5" t="str">
        <f t="shared" si="90"/>
        <v> </v>
      </c>
      <c r="O99" s="5" t="str">
        <f t="shared" si="91"/>
        <v> </v>
      </c>
      <c r="P99" s="5" t="str">
        <f t="shared" si="92"/>
        <v> </v>
      </c>
      <c r="Q99" s="5" t="str">
        <f t="shared" si="93"/>
        <v> </v>
      </c>
      <c r="R99" s="82" t="str">
        <f t="shared" si="94"/>
        <v> </v>
      </c>
      <c r="S99" s="82" t="str">
        <f t="shared" si="95"/>
        <v> </v>
      </c>
      <c r="T99" s="82" t="str">
        <f t="shared" si="96"/>
        <v> </v>
      </c>
      <c r="U99" s="82" t="str">
        <f t="shared" si="97"/>
        <v> </v>
      </c>
      <c r="V99" s="82" t="str">
        <f t="shared" si="98"/>
        <v> </v>
      </c>
      <c r="W99" s="5"/>
      <c r="X99" s="5"/>
      <c r="Y99" s="5"/>
      <c r="Z99" s="5"/>
      <c r="AA99" s="5"/>
      <c r="AB99" s="5"/>
      <c r="AC99" s="5"/>
    </row>
    <row r="100" ht="14.25" customHeight="1">
      <c r="A100" s="48"/>
      <c r="B100" s="83"/>
      <c r="C100" s="84">
        <v>0.85</v>
      </c>
      <c r="D100" s="85">
        <v>2.0</v>
      </c>
      <c r="E100" s="86">
        <v>2.0</v>
      </c>
      <c r="F100" s="87">
        <f>'1RM'!$C$5*C100</f>
        <v>85</v>
      </c>
      <c r="G100" s="5"/>
      <c r="H100" s="5"/>
      <c r="I100" s="82">
        <f t="shared" si="99"/>
        <v>4</v>
      </c>
      <c r="J100" s="82">
        <f t="shared" si="100"/>
        <v>340</v>
      </c>
      <c r="K100" s="5"/>
      <c r="L100" s="5"/>
      <c r="M100" s="5" t="str">
        <f t="shared" si="89"/>
        <v> </v>
      </c>
      <c r="N100" s="5" t="str">
        <f t="shared" si="90"/>
        <v> </v>
      </c>
      <c r="O100" s="5" t="str">
        <f t="shared" si="91"/>
        <v> </v>
      </c>
      <c r="P100" s="5" t="str">
        <f t="shared" si="92"/>
        <v> </v>
      </c>
      <c r="Q100" s="5" t="str">
        <f t="shared" si="93"/>
        <v> </v>
      </c>
      <c r="R100" s="82" t="str">
        <f t="shared" si="94"/>
        <v> </v>
      </c>
      <c r="S100" s="82" t="str">
        <f t="shared" si="95"/>
        <v> </v>
      </c>
      <c r="T100" s="82" t="str">
        <f t="shared" si="96"/>
        <v> </v>
      </c>
      <c r="U100" s="82" t="str">
        <f t="shared" si="97"/>
        <v> </v>
      </c>
      <c r="V100" s="82" t="str">
        <f t="shared" si="98"/>
        <v> </v>
      </c>
      <c r="W100" s="5"/>
      <c r="X100" s="5"/>
      <c r="Y100" s="5"/>
      <c r="Z100" s="5"/>
      <c r="AA100" s="5"/>
      <c r="AB100" s="5"/>
      <c r="AC100" s="5"/>
    </row>
    <row r="101" ht="14.25" customHeight="1">
      <c r="A101" s="48"/>
      <c r="B101" s="83"/>
      <c r="C101" s="84">
        <v>0.9</v>
      </c>
      <c r="D101" s="85">
        <v>1.0</v>
      </c>
      <c r="E101" s="86">
        <v>3.0</v>
      </c>
      <c r="F101" s="87">
        <f>'1RM'!$C$5*C101</f>
        <v>90</v>
      </c>
      <c r="G101" s="5"/>
      <c r="H101" s="5"/>
      <c r="I101" s="82">
        <f t="shared" si="99"/>
        <v>3</v>
      </c>
      <c r="J101" s="82">
        <f t="shared" si="100"/>
        <v>270</v>
      </c>
      <c r="K101" s="5"/>
      <c r="L101" s="5"/>
      <c r="M101" s="5" t="str">
        <f t="shared" si="89"/>
        <v> </v>
      </c>
      <c r="N101" s="5" t="str">
        <f t="shared" si="90"/>
        <v> </v>
      </c>
      <c r="O101" s="5" t="str">
        <f t="shared" si="91"/>
        <v> </v>
      </c>
      <c r="P101" s="5" t="str">
        <f t="shared" si="92"/>
        <v> </v>
      </c>
      <c r="Q101" s="5" t="str">
        <f t="shared" si="93"/>
        <v> </v>
      </c>
      <c r="R101" s="82" t="str">
        <f t="shared" si="94"/>
        <v> </v>
      </c>
      <c r="S101" s="82" t="str">
        <f t="shared" si="95"/>
        <v> </v>
      </c>
      <c r="T101" s="82" t="str">
        <f t="shared" si="96"/>
        <v> </v>
      </c>
      <c r="U101" s="82" t="str">
        <f t="shared" si="97"/>
        <v> </v>
      </c>
      <c r="V101" s="82" t="str">
        <f t="shared" si="98"/>
        <v> </v>
      </c>
      <c r="W101" s="5"/>
      <c r="X101" s="5"/>
      <c r="Y101" s="5"/>
      <c r="Z101" s="5"/>
      <c r="AA101" s="5"/>
      <c r="AB101" s="5"/>
      <c r="AC101" s="5"/>
    </row>
    <row r="102" ht="14.25" customHeight="1">
      <c r="A102" s="48">
        <v>3.0</v>
      </c>
      <c r="B102" s="88" t="s">
        <v>69</v>
      </c>
      <c r="C102" s="56"/>
      <c r="D102" s="49">
        <v>10.0</v>
      </c>
      <c r="E102" s="49">
        <v>5.0</v>
      </c>
      <c r="F102" s="89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ht="14.25" customHeight="1">
      <c r="A103" s="48">
        <v>4.0</v>
      </c>
      <c r="B103" s="88" t="s">
        <v>60</v>
      </c>
      <c r="C103" s="56"/>
      <c r="D103" s="49">
        <v>10.0</v>
      </c>
      <c r="E103" s="49">
        <v>5.0</v>
      </c>
      <c r="F103" s="89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ht="14.25" customHeight="1">
      <c r="A104" s="48">
        <v>5.0</v>
      </c>
      <c r="B104" s="90" t="s">
        <v>61</v>
      </c>
      <c r="C104" s="91"/>
      <c r="D104" s="92">
        <v>5.0</v>
      </c>
      <c r="E104" s="92">
        <v>5.0</v>
      </c>
      <c r="F104" s="93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ht="14.25" customHeight="1">
      <c r="A105" s="48"/>
      <c r="B105" s="49"/>
      <c r="C105" s="56"/>
      <c r="D105" s="49"/>
      <c r="E105" s="49"/>
      <c r="F105" s="49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ht="14.25" customHeight="1">
      <c r="A106" s="48"/>
      <c r="B106" s="62" t="s">
        <v>66</v>
      </c>
      <c r="C106" s="63" t="s">
        <v>20</v>
      </c>
      <c r="D106" s="64" t="s">
        <v>51</v>
      </c>
      <c r="E106" s="64" t="s">
        <v>52</v>
      </c>
      <c r="F106" s="65" t="s">
        <v>53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ht="14.25" customHeight="1">
      <c r="A107" s="48">
        <v>1.0</v>
      </c>
      <c r="B107" s="77" t="s">
        <v>76</v>
      </c>
      <c r="C107" s="78">
        <v>0.5</v>
      </c>
      <c r="D107" s="80">
        <v>4.0</v>
      </c>
      <c r="E107" s="80">
        <v>1.0</v>
      </c>
      <c r="F107" s="81">
        <f>'1RM'!$C$5*C107</f>
        <v>50</v>
      </c>
      <c r="G107" s="5"/>
      <c r="H107" s="5"/>
      <c r="I107" s="82">
        <f t="shared" ref="I107:I109" si="101">D107*E107</f>
        <v>4</v>
      </c>
      <c r="J107" s="82">
        <f t="shared" ref="J107:J109" si="102">F107*I107</f>
        <v>200</v>
      </c>
      <c r="K107" s="5"/>
      <c r="L107" s="5"/>
      <c r="M107" s="5"/>
      <c r="N107" s="5"/>
      <c r="O107" s="5"/>
      <c r="P107" s="5"/>
      <c r="Q107" s="5"/>
      <c r="R107" s="82">
        <f t="shared" ref="R107:R113" si="103">IF(ISNUMBER(SEARCH("Press de banca",$B107)),IF($C107&gt;=0.5,IF($C107&lt;0.6,$D107*$E107," ")," ")," ")</f>
        <v>4</v>
      </c>
      <c r="S107" s="82" t="str">
        <f t="shared" ref="S107:S113" si="104">IF(ISNUMBER(SEARCH("Press de banca",$B107)),IF($C107&gt;=0.6,IF($C107&lt;0.7,$D107*$E107," ")," ")," ")</f>
        <v> </v>
      </c>
      <c r="T107" s="82" t="str">
        <f t="shared" ref="T107:T113" si="105">IF(ISNUMBER(SEARCH("Press de banca",$B107)),IF($C107&gt;=0.7,IF($C107&lt;0.8,$D107*$E107," ")," ")," ")</f>
        <v> </v>
      </c>
      <c r="U107" s="82" t="str">
        <f t="shared" ref="U107:U113" si="106">IF(ISNUMBER(SEARCH("Press de banca",$B107)),IF($C107&gt;=0.8,IF($C107&lt;0.9,$D107*$E107," ")," ")," ")</f>
        <v> </v>
      </c>
      <c r="V107" s="82" t="str">
        <f t="shared" ref="V107:V113" si="107">IF(ISNUMBER(SEARCH("Press de banca",$B107)),IF($C107&gt;=0.9,$D107*$E107," ")," ")</f>
        <v> </v>
      </c>
      <c r="W107" s="5" t="str">
        <f t="shared" ref="W107:W113" si="108">IF(ISNUMBER(SEARCH("Peso muerto",$B107)),IF($C107&gt;=0.5,IF($C107&lt;0.6,$D107*$E107," ")," ")," ")</f>
        <v> </v>
      </c>
      <c r="X107" s="5" t="str">
        <f t="shared" ref="X107:X113" si="109">IF(ISNUMBER(SEARCH("Peso muerto",$B107)),IF($C107&gt;=0.6,IF($C107&lt;0.7,$D107*$E107," ")," ")," ")</f>
        <v> </v>
      </c>
      <c r="Y107" s="5" t="str">
        <f t="shared" ref="Y107:Y113" si="110">IF(ISNUMBER(SEARCH("Peso muerto",$B107)),IF($C107&gt;=0.7,IF($C107&lt;0.8,$D107*$E107," ")," ")," ")</f>
        <v> </v>
      </c>
      <c r="Z107" s="5" t="str">
        <f t="shared" ref="Z107:Z113" si="111">IF(ISNUMBER(SEARCH("Peso muerto",$B107)),IF($C107&gt;=0.8,IF($C107&lt;0.9,$D107*$E107," ")," ")," ")</f>
        <v> </v>
      </c>
      <c r="AA107" s="5" t="str">
        <f t="shared" ref="AA107:AA113" si="112">IF(ISNUMBER(SEARCH("Peso muerto",$B107)),IF($C107&gt;=0.9,$D107*$E107," ")," ")</f>
        <v> </v>
      </c>
      <c r="AB107" s="5"/>
      <c r="AC107" s="5"/>
    </row>
    <row r="108" ht="14.25" customHeight="1">
      <c r="A108" s="48"/>
      <c r="B108" s="83"/>
      <c r="C108" s="78">
        <v>0.6</v>
      </c>
      <c r="D108" s="80">
        <v>3.0</v>
      </c>
      <c r="E108" s="80">
        <v>1.0</v>
      </c>
      <c r="F108" s="81">
        <f>'1RM'!$C$5*C108</f>
        <v>60</v>
      </c>
      <c r="G108" s="5"/>
      <c r="H108" s="5"/>
      <c r="I108" s="82">
        <f t="shared" si="101"/>
        <v>3</v>
      </c>
      <c r="J108" s="82">
        <f t="shared" si="102"/>
        <v>180</v>
      </c>
      <c r="K108" s="5"/>
      <c r="L108" s="5"/>
      <c r="M108" s="5"/>
      <c r="N108" s="5"/>
      <c r="O108" s="5"/>
      <c r="P108" s="5"/>
      <c r="Q108" s="5"/>
      <c r="R108" s="82" t="str">
        <f t="shared" si="103"/>
        <v> </v>
      </c>
      <c r="S108" s="82" t="str">
        <f t="shared" si="104"/>
        <v> </v>
      </c>
      <c r="T108" s="82" t="str">
        <f t="shared" si="105"/>
        <v> </v>
      </c>
      <c r="U108" s="82" t="str">
        <f t="shared" si="106"/>
        <v> </v>
      </c>
      <c r="V108" s="82" t="str">
        <f t="shared" si="107"/>
        <v> </v>
      </c>
      <c r="W108" s="5" t="str">
        <f t="shared" si="108"/>
        <v> </v>
      </c>
      <c r="X108" s="5" t="str">
        <f t="shared" si="109"/>
        <v> </v>
      </c>
      <c r="Y108" s="5" t="str">
        <f t="shared" si="110"/>
        <v> </v>
      </c>
      <c r="Z108" s="5" t="str">
        <f t="shared" si="111"/>
        <v> </v>
      </c>
      <c r="AA108" s="5" t="str">
        <f t="shared" si="112"/>
        <v> </v>
      </c>
      <c r="AB108" s="5"/>
      <c r="AC108" s="5"/>
    </row>
    <row r="109" ht="14.25" customHeight="1">
      <c r="A109" s="48"/>
      <c r="B109" s="83"/>
      <c r="C109" s="84">
        <v>0.65</v>
      </c>
      <c r="D109" s="86">
        <v>8.0</v>
      </c>
      <c r="E109" s="86">
        <v>4.0</v>
      </c>
      <c r="F109" s="87">
        <f>'1RM'!$C$5*C109</f>
        <v>65</v>
      </c>
      <c r="G109" s="5"/>
      <c r="H109" s="5"/>
      <c r="I109" s="82">
        <f t="shared" si="101"/>
        <v>32</v>
      </c>
      <c r="J109" s="82">
        <f t="shared" si="102"/>
        <v>2080</v>
      </c>
      <c r="K109" s="5"/>
      <c r="L109" s="5"/>
      <c r="M109" s="5"/>
      <c r="N109" s="5"/>
      <c r="O109" s="5"/>
      <c r="P109" s="5"/>
      <c r="Q109" s="5"/>
      <c r="R109" s="82" t="str">
        <f t="shared" si="103"/>
        <v> </v>
      </c>
      <c r="S109" s="82" t="str">
        <f t="shared" si="104"/>
        <v> </v>
      </c>
      <c r="T109" s="82" t="str">
        <f t="shared" si="105"/>
        <v> </v>
      </c>
      <c r="U109" s="82" t="str">
        <f t="shared" si="106"/>
        <v> </v>
      </c>
      <c r="V109" s="82" t="str">
        <f t="shared" si="107"/>
        <v> </v>
      </c>
      <c r="W109" s="5" t="str">
        <f t="shared" si="108"/>
        <v> </v>
      </c>
      <c r="X109" s="5" t="str">
        <f t="shared" si="109"/>
        <v> </v>
      </c>
      <c r="Y109" s="5" t="str">
        <f t="shared" si="110"/>
        <v> </v>
      </c>
      <c r="Z109" s="5" t="str">
        <f t="shared" si="111"/>
        <v> </v>
      </c>
      <c r="AA109" s="5" t="str">
        <f t="shared" si="112"/>
        <v> </v>
      </c>
      <c r="AB109" s="5"/>
      <c r="AC109" s="5"/>
    </row>
    <row r="110" ht="14.25" customHeight="1">
      <c r="A110" s="48">
        <v>2.0</v>
      </c>
      <c r="B110" s="94" t="s">
        <v>77</v>
      </c>
      <c r="C110" s="95">
        <v>0.5</v>
      </c>
      <c r="D110" s="96">
        <v>3.0</v>
      </c>
      <c r="E110" s="97">
        <v>1.0</v>
      </c>
      <c r="F110" s="98">
        <f>'1RM'!$C$6*C110</f>
        <v>50</v>
      </c>
      <c r="G110" s="5"/>
      <c r="H110" s="5"/>
      <c r="I110" s="5"/>
      <c r="J110" s="5"/>
      <c r="K110" s="99">
        <f t="shared" ref="K110:K113" si="113">D110*E110</f>
        <v>3</v>
      </c>
      <c r="L110" s="99">
        <f t="shared" ref="L110:L113" si="114">F110*K110</f>
        <v>150</v>
      </c>
      <c r="M110" s="5"/>
      <c r="N110" s="5"/>
      <c r="O110" s="5"/>
      <c r="P110" s="5"/>
      <c r="Q110" s="5"/>
      <c r="R110" s="5" t="str">
        <f t="shared" si="103"/>
        <v> </v>
      </c>
      <c r="S110" s="5" t="str">
        <f t="shared" si="104"/>
        <v> </v>
      </c>
      <c r="T110" s="5" t="str">
        <f t="shared" si="105"/>
        <v> </v>
      </c>
      <c r="U110" s="5" t="str">
        <f t="shared" si="106"/>
        <v> </v>
      </c>
      <c r="V110" s="5" t="str">
        <f t="shared" si="107"/>
        <v> </v>
      </c>
      <c r="W110" s="100">
        <f t="shared" si="108"/>
        <v>3</v>
      </c>
      <c r="X110" s="100" t="str">
        <f t="shared" si="109"/>
        <v> </v>
      </c>
      <c r="Y110" s="100" t="str">
        <f t="shared" si="110"/>
        <v> </v>
      </c>
      <c r="Z110" s="100" t="str">
        <f t="shared" si="111"/>
        <v> </v>
      </c>
      <c r="AA110" s="100" t="str">
        <f t="shared" si="112"/>
        <v> </v>
      </c>
      <c r="AB110" s="5"/>
      <c r="AC110" s="5"/>
    </row>
    <row r="111" ht="14.25" customHeight="1">
      <c r="A111" s="48"/>
      <c r="B111" s="105"/>
      <c r="C111" s="95">
        <v>0.6</v>
      </c>
      <c r="D111" s="96">
        <v>3.0</v>
      </c>
      <c r="E111" s="97">
        <v>1.0</v>
      </c>
      <c r="F111" s="98">
        <f>'1RM'!$C$6*C111</f>
        <v>60</v>
      </c>
      <c r="G111" s="5"/>
      <c r="H111" s="5"/>
      <c r="I111" s="5"/>
      <c r="J111" s="5"/>
      <c r="K111" s="99">
        <f t="shared" si="113"/>
        <v>3</v>
      </c>
      <c r="L111" s="99">
        <f t="shared" si="114"/>
        <v>180</v>
      </c>
      <c r="M111" s="5"/>
      <c r="N111" s="5"/>
      <c r="O111" s="5"/>
      <c r="P111" s="5"/>
      <c r="Q111" s="5"/>
      <c r="R111" s="5" t="str">
        <f t="shared" si="103"/>
        <v> </v>
      </c>
      <c r="S111" s="5" t="str">
        <f t="shared" si="104"/>
        <v> </v>
      </c>
      <c r="T111" s="5" t="str">
        <f t="shared" si="105"/>
        <v> </v>
      </c>
      <c r="U111" s="5" t="str">
        <f t="shared" si="106"/>
        <v> </v>
      </c>
      <c r="V111" s="5" t="str">
        <f t="shared" si="107"/>
        <v> </v>
      </c>
      <c r="W111" s="100" t="str">
        <f t="shared" si="108"/>
        <v> </v>
      </c>
      <c r="X111" s="100" t="str">
        <f t="shared" si="109"/>
        <v> </v>
      </c>
      <c r="Y111" s="100" t="str">
        <f t="shared" si="110"/>
        <v> </v>
      </c>
      <c r="Z111" s="100" t="str">
        <f t="shared" si="111"/>
        <v> </v>
      </c>
      <c r="AA111" s="100" t="str">
        <f t="shared" si="112"/>
        <v> </v>
      </c>
      <c r="AB111" s="5"/>
      <c r="AC111" s="5"/>
    </row>
    <row r="112" ht="14.25" customHeight="1">
      <c r="A112" s="48"/>
      <c r="B112" s="105"/>
      <c r="C112" s="101">
        <v>0.7</v>
      </c>
      <c r="D112" s="102">
        <v>2.0</v>
      </c>
      <c r="E112" s="103">
        <v>2.0</v>
      </c>
      <c r="F112" s="104">
        <f>'1RM'!$C$6*C112</f>
        <v>70</v>
      </c>
      <c r="G112" s="5"/>
      <c r="H112" s="5"/>
      <c r="I112" s="5"/>
      <c r="J112" s="5"/>
      <c r="K112" s="99">
        <f t="shared" si="113"/>
        <v>4</v>
      </c>
      <c r="L112" s="99">
        <f t="shared" si="114"/>
        <v>280</v>
      </c>
      <c r="M112" s="5"/>
      <c r="N112" s="5"/>
      <c r="O112" s="5"/>
      <c r="P112" s="5"/>
      <c r="Q112" s="5"/>
      <c r="R112" s="5" t="str">
        <f t="shared" si="103"/>
        <v> </v>
      </c>
      <c r="S112" s="5" t="str">
        <f t="shared" si="104"/>
        <v> </v>
      </c>
      <c r="T112" s="5" t="str">
        <f t="shared" si="105"/>
        <v> </v>
      </c>
      <c r="U112" s="5" t="str">
        <f t="shared" si="106"/>
        <v> </v>
      </c>
      <c r="V112" s="5" t="str">
        <f t="shared" si="107"/>
        <v> </v>
      </c>
      <c r="W112" s="100" t="str">
        <f t="shared" si="108"/>
        <v> </v>
      </c>
      <c r="X112" s="100" t="str">
        <f t="shared" si="109"/>
        <v> </v>
      </c>
      <c r="Y112" s="100" t="str">
        <f t="shared" si="110"/>
        <v> </v>
      </c>
      <c r="Z112" s="100" t="str">
        <f t="shared" si="111"/>
        <v> </v>
      </c>
      <c r="AA112" s="100" t="str">
        <f t="shared" si="112"/>
        <v> </v>
      </c>
      <c r="AB112" s="5"/>
      <c r="AC112" s="5"/>
    </row>
    <row r="113" ht="14.25" customHeight="1">
      <c r="A113" s="48"/>
      <c r="B113" s="105"/>
      <c r="C113" s="101">
        <v>0.75</v>
      </c>
      <c r="D113" s="102">
        <v>1.0</v>
      </c>
      <c r="E113" s="103">
        <v>3.0</v>
      </c>
      <c r="F113" s="104">
        <f>'1RM'!$C$6*C113</f>
        <v>75</v>
      </c>
      <c r="G113" s="5"/>
      <c r="H113" s="5"/>
      <c r="I113" s="5"/>
      <c r="J113" s="5"/>
      <c r="K113" s="99">
        <f t="shared" si="113"/>
        <v>3</v>
      </c>
      <c r="L113" s="99">
        <f t="shared" si="114"/>
        <v>225</v>
      </c>
      <c r="M113" s="5"/>
      <c r="N113" s="5"/>
      <c r="O113" s="5"/>
      <c r="P113" s="5"/>
      <c r="Q113" s="5"/>
      <c r="R113" s="5" t="str">
        <f t="shared" si="103"/>
        <v> </v>
      </c>
      <c r="S113" s="5" t="str">
        <f t="shared" si="104"/>
        <v> </v>
      </c>
      <c r="T113" s="5" t="str">
        <f t="shared" si="105"/>
        <v> </v>
      </c>
      <c r="U113" s="5" t="str">
        <f t="shared" si="106"/>
        <v> </v>
      </c>
      <c r="V113" s="5" t="str">
        <f t="shared" si="107"/>
        <v> </v>
      </c>
      <c r="W113" s="100" t="str">
        <f t="shared" si="108"/>
        <v> </v>
      </c>
      <c r="X113" s="100" t="str">
        <f t="shared" si="109"/>
        <v> </v>
      </c>
      <c r="Y113" s="100" t="str">
        <f t="shared" si="110"/>
        <v> </v>
      </c>
      <c r="Z113" s="100" t="str">
        <f t="shared" si="111"/>
        <v> </v>
      </c>
      <c r="AA113" s="100" t="str">
        <f t="shared" si="112"/>
        <v> </v>
      </c>
      <c r="AB113" s="5"/>
      <c r="AC113" s="5"/>
    </row>
    <row r="114" ht="14.25" customHeight="1">
      <c r="A114" s="48">
        <v>3.0</v>
      </c>
      <c r="B114" s="88" t="s">
        <v>78</v>
      </c>
      <c r="C114" s="56"/>
      <c r="D114" s="49">
        <v>10.0</v>
      </c>
      <c r="E114" s="49">
        <v>5.0</v>
      </c>
      <c r="F114" s="89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ht="14.25" customHeight="1">
      <c r="A115" s="48">
        <v>4.0</v>
      </c>
      <c r="B115" s="88" t="s">
        <v>70</v>
      </c>
      <c r="C115" s="56"/>
      <c r="D115" s="49">
        <v>8.0</v>
      </c>
      <c r="E115" s="49">
        <v>5.0</v>
      </c>
      <c r="F115" s="89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ht="14.25" customHeight="1">
      <c r="A116" s="48">
        <v>5.0</v>
      </c>
      <c r="B116" s="90" t="s">
        <v>71</v>
      </c>
      <c r="C116" s="91"/>
      <c r="D116" s="92">
        <v>8.0</v>
      </c>
      <c r="E116" s="92">
        <v>4.0</v>
      </c>
      <c r="F116" s="93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ht="14.25" customHeight="1">
      <c r="A117" s="111"/>
      <c r="B117" s="112"/>
      <c r="C117" s="113"/>
      <c r="D117" s="112"/>
      <c r="E117" s="112"/>
      <c r="F117" s="112"/>
      <c r="G117" s="114">
        <f t="shared" ref="G117:AA117" si="115">SUM(G67:G114)</f>
        <v>59</v>
      </c>
      <c r="H117" s="114">
        <f t="shared" si="115"/>
        <v>3605</v>
      </c>
      <c r="I117" s="115">
        <f t="shared" si="115"/>
        <v>108</v>
      </c>
      <c r="J117" s="115">
        <f t="shared" si="115"/>
        <v>7380</v>
      </c>
      <c r="K117" s="115">
        <f t="shared" si="115"/>
        <v>32</v>
      </c>
      <c r="L117" s="115">
        <f t="shared" si="115"/>
        <v>2125</v>
      </c>
      <c r="M117" s="114">
        <f t="shared" si="115"/>
        <v>5</v>
      </c>
      <c r="N117" s="114">
        <f t="shared" si="115"/>
        <v>0</v>
      </c>
      <c r="O117" s="114">
        <f t="shared" si="115"/>
        <v>0</v>
      </c>
      <c r="P117" s="114">
        <f t="shared" si="115"/>
        <v>0</v>
      </c>
      <c r="Q117" s="114">
        <f t="shared" si="115"/>
        <v>0</v>
      </c>
      <c r="R117" s="115">
        <f t="shared" si="115"/>
        <v>12</v>
      </c>
      <c r="S117" s="115">
        <f t="shared" si="115"/>
        <v>3</v>
      </c>
      <c r="T117" s="115">
        <f t="shared" si="115"/>
        <v>0</v>
      </c>
      <c r="U117" s="115">
        <f t="shared" si="115"/>
        <v>0</v>
      </c>
      <c r="V117" s="115">
        <f t="shared" si="115"/>
        <v>0</v>
      </c>
      <c r="W117" s="115">
        <f t="shared" si="115"/>
        <v>6</v>
      </c>
      <c r="X117" s="115">
        <f t="shared" si="115"/>
        <v>0</v>
      </c>
      <c r="Y117" s="115">
        <f t="shared" si="115"/>
        <v>0</v>
      </c>
      <c r="Z117" s="115">
        <f t="shared" si="115"/>
        <v>0</v>
      </c>
      <c r="AA117" s="115">
        <f t="shared" si="115"/>
        <v>0</v>
      </c>
      <c r="AB117" s="115"/>
      <c r="AC117" s="115"/>
    </row>
    <row r="118" ht="14.25" customHeight="1">
      <c r="A118" s="57"/>
      <c r="B118" s="58" t="s">
        <v>23</v>
      </c>
      <c r="C118" s="59"/>
      <c r="D118" s="60"/>
      <c r="E118" s="60"/>
      <c r="F118" s="60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</row>
    <row r="119" ht="14.25" customHeight="1">
      <c r="A119" s="48"/>
      <c r="B119" s="62" t="s">
        <v>50</v>
      </c>
      <c r="C119" s="63" t="s">
        <v>20</v>
      </c>
      <c r="D119" s="64" t="s">
        <v>51</v>
      </c>
      <c r="E119" s="64" t="s">
        <v>52</v>
      </c>
      <c r="F119" s="65" t="s">
        <v>53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ht="14.25" customHeight="1">
      <c r="A120" s="48">
        <v>1.0</v>
      </c>
      <c r="B120" s="66" t="s">
        <v>54</v>
      </c>
      <c r="C120" s="67">
        <v>0.4</v>
      </c>
      <c r="D120" s="72">
        <v>4.0</v>
      </c>
      <c r="E120" s="68">
        <v>1.0</v>
      </c>
      <c r="F120" s="69">
        <f>'1RM'!$C$4*C120</f>
        <v>40</v>
      </c>
      <c r="G120" s="70">
        <f t="shared" ref="G120:G122" si="116">D120*E120</f>
        <v>4</v>
      </c>
      <c r="H120" s="70">
        <f t="shared" ref="H120:H122" si="117">F120*G120</f>
        <v>160</v>
      </c>
      <c r="I120" s="5"/>
      <c r="J120" s="5"/>
      <c r="K120" s="5"/>
      <c r="L120" s="5"/>
      <c r="M120" s="70" t="str">
        <f t="shared" ref="M120:M132" si="118">IF(ISNUMBER(SEARCH("Sentadilla",$B120)),IF($C120&gt;=0.5,IF($C120&lt;0.6,$D120*$E120," ")," ")," ")</f>
        <v> </v>
      </c>
      <c r="N120" s="70" t="str">
        <f t="shared" ref="N120:N132" si="119">IF(ISNUMBER(SEARCH("Sentadilla",$B120)),IF($C120&gt;=0.6,IF($C120&lt;0.7,$D120*$E120," ")," ")," ")</f>
        <v> </v>
      </c>
      <c r="O120" s="70" t="str">
        <f t="shared" ref="O120:O132" si="120">IF(ISNUMBER(SEARCH("Sentadilla",$B120)),IF($C120&gt;=0.7,IF($C120&lt;0.8,$D120*$E120," ")," ")," ")</f>
        <v> </v>
      </c>
      <c r="P120" s="70" t="str">
        <f t="shared" ref="P120:P132" si="121">IF(ISNUMBER(SEARCH("Sentadilla",$B120)),IF($C120&gt;=0.8,IF($C120&lt;0.9,$D120*$E120," ")," ")," ")</f>
        <v> </v>
      </c>
      <c r="Q120" s="70" t="str">
        <f t="shared" ref="Q120:Q132" si="122">IF(ISNUMBER(SEARCH("Sentadilla",$B120)),IF($C120&gt;=0.9,$D120*$E120," ")," ")</f>
        <v> </v>
      </c>
      <c r="R120" s="5" t="str">
        <f t="shared" ref="R120:R132" si="123">IF(ISNUMBER(SEARCH("Press de banca",$B120)),IF($C120&gt;=0.5,IF($C120&lt;0.6,$D120*$E120," ")," ")," ")</f>
        <v> </v>
      </c>
      <c r="S120" s="5" t="str">
        <f t="shared" ref="S120:S132" si="124">IF(ISNUMBER(SEARCH("Press de banca",$B120)),IF($C120&gt;=0.6,IF($C120&lt;0.7,$D120*$E120," ")," ")," ")</f>
        <v> </v>
      </c>
      <c r="T120" s="5" t="str">
        <f t="shared" ref="T120:T132" si="125">IF(ISNUMBER(SEARCH("Press de banca",$B120)),IF($C120&gt;=0.7,IF($C120&lt;0.8,$D120*$E120," ")," ")," ")</f>
        <v> </v>
      </c>
      <c r="U120" s="5" t="str">
        <f t="shared" ref="U120:U132" si="126">IF(ISNUMBER(SEARCH("Press de banca",$B120)),IF($C120&gt;=0.8,IF($C120&lt;0.9,$D120*$E120," ")," ")," ")</f>
        <v> </v>
      </c>
      <c r="V120" s="5" t="str">
        <f t="shared" ref="V120:V132" si="127">IF(ISNUMBER(SEARCH("Press de banca",$B120)),IF($C120&gt;=0.9,$D120*$E120," ")," ")</f>
        <v> </v>
      </c>
      <c r="W120" s="5"/>
      <c r="X120" s="5"/>
      <c r="Y120" s="5"/>
      <c r="Z120" s="5"/>
      <c r="AA120" s="5"/>
      <c r="AB120" s="5"/>
      <c r="AC120" s="5"/>
    </row>
    <row r="121" ht="14.25" customHeight="1">
      <c r="A121" s="48"/>
      <c r="B121" s="71"/>
      <c r="C121" s="67">
        <v>0.5</v>
      </c>
      <c r="D121" s="72">
        <v>4.0</v>
      </c>
      <c r="E121" s="68">
        <v>1.0</v>
      </c>
      <c r="F121" s="69">
        <f>'1RM'!$C$4*C121</f>
        <v>50</v>
      </c>
      <c r="G121" s="70">
        <f t="shared" si="116"/>
        <v>4</v>
      </c>
      <c r="H121" s="70">
        <f t="shared" si="117"/>
        <v>200</v>
      </c>
      <c r="I121" s="5"/>
      <c r="J121" s="5"/>
      <c r="K121" s="5"/>
      <c r="L121" s="5"/>
      <c r="M121" s="70" t="str">
        <f t="shared" si="118"/>
        <v> </v>
      </c>
      <c r="N121" s="70" t="str">
        <f t="shared" si="119"/>
        <v> </v>
      </c>
      <c r="O121" s="70" t="str">
        <f t="shared" si="120"/>
        <v> </v>
      </c>
      <c r="P121" s="70" t="str">
        <f t="shared" si="121"/>
        <v> </v>
      </c>
      <c r="Q121" s="70" t="str">
        <f t="shared" si="122"/>
        <v> </v>
      </c>
      <c r="R121" s="5" t="str">
        <f t="shared" si="123"/>
        <v> </v>
      </c>
      <c r="S121" s="5" t="str">
        <f t="shared" si="124"/>
        <v> </v>
      </c>
      <c r="T121" s="5" t="str">
        <f t="shared" si="125"/>
        <v> </v>
      </c>
      <c r="U121" s="5" t="str">
        <f t="shared" si="126"/>
        <v> </v>
      </c>
      <c r="V121" s="5" t="str">
        <f t="shared" si="127"/>
        <v> </v>
      </c>
      <c r="W121" s="5"/>
      <c r="X121" s="5"/>
      <c r="Y121" s="5"/>
      <c r="Z121" s="5"/>
      <c r="AA121" s="5"/>
      <c r="AB121" s="5"/>
      <c r="AC121" s="5"/>
    </row>
    <row r="122" ht="14.25" customHeight="1">
      <c r="A122" s="48"/>
      <c r="B122" s="71"/>
      <c r="C122" s="73">
        <v>0.55</v>
      </c>
      <c r="D122" s="74">
        <v>3.0</v>
      </c>
      <c r="E122" s="75">
        <v>3.0</v>
      </c>
      <c r="F122" s="76">
        <f>'1RM'!$C$4*C122</f>
        <v>55</v>
      </c>
      <c r="G122" s="70">
        <f t="shared" si="116"/>
        <v>9</v>
      </c>
      <c r="H122" s="70">
        <f t="shared" si="117"/>
        <v>495</v>
      </c>
      <c r="I122" s="5"/>
      <c r="J122" s="5"/>
      <c r="K122" s="5"/>
      <c r="L122" s="5"/>
      <c r="M122" s="70" t="str">
        <f t="shared" si="118"/>
        <v> </v>
      </c>
      <c r="N122" s="70" t="str">
        <f t="shared" si="119"/>
        <v> </v>
      </c>
      <c r="O122" s="70" t="str">
        <f t="shared" si="120"/>
        <v> </v>
      </c>
      <c r="P122" s="70" t="str">
        <f t="shared" si="121"/>
        <v> </v>
      </c>
      <c r="Q122" s="70" t="str">
        <f t="shared" si="122"/>
        <v> </v>
      </c>
      <c r="R122" s="5" t="str">
        <f t="shared" si="123"/>
        <v> </v>
      </c>
      <c r="S122" s="5" t="str">
        <f t="shared" si="124"/>
        <v> </v>
      </c>
      <c r="T122" s="5" t="str">
        <f t="shared" si="125"/>
        <v> </v>
      </c>
      <c r="U122" s="5" t="str">
        <f t="shared" si="126"/>
        <v> </v>
      </c>
      <c r="V122" s="5" t="str">
        <f t="shared" si="127"/>
        <v> </v>
      </c>
      <c r="W122" s="5"/>
      <c r="X122" s="5"/>
      <c r="Y122" s="5"/>
      <c r="Z122" s="5"/>
      <c r="AA122" s="5"/>
      <c r="AB122" s="5"/>
      <c r="AC122" s="5"/>
    </row>
    <row r="123" ht="14.25" customHeight="1">
      <c r="A123" s="48">
        <v>2.0</v>
      </c>
      <c r="B123" s="77" t="s">
        <v>5</v>
      </c>
      <c r="C123" s="78">
        <v>0.5</v>
      </c>
      <c r="D123" s="79">
        <v>5.0</v>
      </c>
      <c r="E123" s="80">
        <v>1.0</v>
      </c>
      <c r="F123" s="81">
        <f>'1RM'!$C$5*C123</f>
        <v>50</v>
      </c>
      <c r="G123" s="5"/>
      <c r="H123" s="5"/>
      <c r="I123" s="82">
        <f t="shared" ref="I123:I128" si="128">D123*E123</f>
        <v>5</v>
      </c>
      <c r="J123" s="82">
        <f t="shared" ref="J123:J128" si="129">F123*I123</f>
        <v>250</v>
      </c>
      <c r="K123" s="5"/>
      <c r="L123" s="5"/>
      <c r="M123" s="5" t="str">
        <f t="shared" si="118"/>
        <v> </v>
      </c>
      <c r="N123" s="5" t="str">
        <f t="shared" si="119"/>
        <v> </v>
      </c>
      <c r="O123" s="5" t="str">
        <f t="shared" si="120"/>
        <v> </v>
      </c>
      <c r="P123" s="5" t="str">
        <f t="shared" si="121"/>
        <v> </v>
      </c>
      <c r="Q123" s="5" t="str">
        <f t="shared" si="122"/>
        <v> </v>
      </c>
      <c r="R123" s="82">
        <f t="shared" si="123"/>
        <v>5</v>
      </c>
      <c r="S123" s="82" t="str">
        <f t="shared" si="124"/>
        <v> </v>
      </c>
      <c r="T123" s="82" t="str">
        <f t="shared" si="125"/>
        <v> </v>
      </c>
      <c r="U123" s="82" t="str">
        <f t="shared" si="126"/>
        <v> </v>
      </c>
      <c r="V123" s="82" t="str">
        <f t="shared" si="127"/>
        <v> </v>
      </c>
      <c r="W123" s="5"/>
      <c r="X123" s="5"/>
      <c r="Y123" s="5"/>
      <c r="Z123" s="5"/>
      <c r="AA123" s="5"/>
      <c r="AB123" s="5"/>
      <c r="AC123" s="5"/>
    </row>
    <row r="124" ht="14.25" customHeight="1">
      <c r="A124" s="48"/>
      <c r="B124" s="83"/>
      <c r="C124" s="78">
        <v>0.6</v>
      </c>
      <c r="D124" s="79">
        <v>4.0</v>
      </c>
      <c r="E124" s="80">
        <v>1.0</v>
      </c>
      <c r="F124" s="81">
        <f>'1RM'!$C$5*C124</f>
        <v>60</v>
      </c>
      <c r="G124" s="5"/>
      <c r="H124" s="5"/>
      <c r="I124" s="82">
        <f t="shared" si="128"/>
        <v>4</v>
      </c>
      <c r="J124" s="82">
        <f t="shared" si="129"/>
        <v>240</v>
      </c>
      <c r="K124" s="5"/>
      <c r="L124" s="5"/>
      <c r="M124" s="5" t="str">
        <f t="shared" si="118"/>
        <v> </v>
      </c>
      <c r="N124" s="5" t="str">
        <f t="shared" si="119"/>
        <v> </v>
      </c>
      <c r="O124" s="5" t="str">
        <f t="shared" si="120"/>
        <v> </v>
      </c>
      <c r="P124" s="5" t="str">
        <f t="shared" si="121"/>
        <v> </v>
      </c>
      <c r="Q124" s="5" t="str">
        <f t="shared" si="122"/>
        <v> </v>
      </c>
      <c r="R124" s="82" t="str">
        <f t="shared" si="123"/>
        <v> </v>
      </c>
      <c r="S124" s="82" t="str">
        <f t="shared" si="124"/>
        <v> </v>
      </c>
      <c r="T124" s="82" t="str">
        <f t="shared" si="125"/>
        <v> </v>
      </c>
      <c r="U124" s="82" t="str">
        <f t="shared" si="126"/>
        <v> </v>
      </c>
      <c r="V124" s="82" t="str">
        <f t="shared" si="127"/>
        <v> </v>
      </c>
      <c r="W124" s="5"/>
      <c r="X124" s="5"/>
      <c r="Y124" s="5"/>
      <c r="Z124" s="5"/>
      <c r="AA124" s="5"/>
      <c r="AB124" s="5"/>
      <c r="AC124" s="5"/>
    </row>
    <row r="125" ht="14.25" customHeight="1">
      <c r="A125" s="48"/>
      <c r="B125" s="83"/>
      <c r="C125" s="78">
        <v>0.7</v>
      </c>
      <c r="D125" s="79">
        <v>3.0</v>
      </c>
      <c r="E125" s="80">
        <v>1.0</v>
      </c>
      <c r="F125" s="81">
        <f>'1RM'!$C$5*C125</f>
        <v>70</v>
      </c>
      <c r="G125" s="5"/>
      <c r="H125" s="5"/>
      <c r="I125" s="82">
        <f t="shared" si="128"/>
        <v>3</v>
      </c>
      <c r="J125" s="82">
        <f t="shared" si="129"/>
        <v>210</v>
      </c>
      <c r="K125" s="5"/>
      <c r="L125" s="5"/>
      <c r="M125" s="5" t="str">
        <f t="shared" si="118"/>
        <v> </v>
      </c>
      <c r="N125" s="5" t="str">
        <f t="shared" si="119"/>
        <v> </v>
      </c>
      <c r="O125" s="5" t="str">
        <f t="shared" si="120"/>
        <v> </v>
      </c>
      <c r="P125" s="5" t="str">
        <f t="shared" si="121"/>
        <v> </v>
      </c>
      <c r="Q125" s="5" t="str">
        <f t="shared" si="122"/>
        <v> </v>
      </c>
      <c r="R125" s="82" t="str">
        <f t="shared" si="123"/>
        <v> </v>
      </c>
      <c r="S125" s="82" t="str">
        <f t="shared" si="124"/>
        <v> </v>
      </c>
      <c r="T125" s="82" t="str">
        <f t="shared" si="125"/>
        <v> </v>
      </c>
      <c r="U125" s="82" t="str">
        <f t="shared" si="126"/>
        <v> </v>
      </c>
      <c r="V125" s="82" t="str">
        <f t="shared" si="127"/>
        <v> </v>
      </c>
      <c r="W125" s="5"/>
      <c r="X125" s="5"/>
      <c r="Y125" s="5"/>
      <c r="Z125" s="5"/>
      <c r="AA125" s="5"/>
      <c r="AB125" s="5"/>
      <c r="AC125" s="5"/>
    </row>
    <row r="126" ht="14.25" customHeight="1">
      <c r="A126" s="48"/>
      <c r="B126" s="83"/>
      <c r="C126" s="84">
        <v>0.8</v>
      </c>
      <c r="D126" s="85">
        <v>2.0</v>
      </c>
      <c r="E126" s="86">
        <v>2.0</v>
      </c>
      <c r="F126" s="87">
        <f>'1RM'!$C$5*C126</f>
        <v>80</v>
      </c>
      <c r="G126" s="5"/>
      <c r="H126" s="5"/>
      <c r="I126" s="82">
        <f t="shared" si="128"/>
        <v>4</v>
      </c>
      <c r="J126" s="82">
        <f t="shared" si="129"/>
        <v>320</v>
      </c>
      <c r="K126" s="5"/>
      <c r="L126" s="5"/>
      <c r="M126" s="5" t="str">
        <f t="shared" si="118"/>
        <v> </v>
      </c>
      <c r="N126" s="5" t="str">
        <f t="shared" si="119"/>
        <v> </v>
      </c>
      <c r="O126" s="5" t="str">
        <f t="shared" si="120"/>
        <v> </v>
      </c>
      <c r="P126" s="5" t="str">
        <f t="shared" si="121"/>
        <v> </v>
      </c>
      <c r="Q126" s="5" t="str">
        <f t="shared" si="122"/>
        <v> </v>
      </c>
      <c r="R126" s="82" t="str">
        <f t="shared" si="123"/>
        <v> </v>
      </c>
      <c r="S126" s="82" t="str">
        <f t="shared" si="124"/>
        <v> </v>
      </c>
      <c r="T126" s="82" t="str">
        <f t="shared" si="125"/>
        <v> </v>
      </c>
      <c r="U126" s="82" t="str">
        <f t="shared" si="126"/>
        <v> </v>
      </c>
      <c r="V126" s="82" t="str">
        <f t="shared" si="127"/>
        <v> </v>
      </c>
      <c r="W126" s="5"/>
      <c r="X126" s="5"/>
      <c r="Y126" s="5"/>
      <c r="Z126" s="5"/>
      <c r="AA126" s="5"/>
      <c r="AB126" s="5"/>
      <c r="AC126" s="5"/>
    </row>
    <row r="127" ht="14.25" customHeight="1">
      <c r="A127" s="48"/>
      <c r="B127" s="83"/>
      <c r="C127" s="84">
        <v>0.85</v>
      </c>
      <c r="D127" s="85">
        <v>1.0</v>
      </c>
      <c r="E127" s="86">
        <v>2.0</v>
      </c>
      <c r="F127" s="87">
        <f>'1RM'!$C$5*C127</f>
        <v>85</v>
      </c>
      <c r="G127" s="5"/>
      <c r="H127" s="5"/>
      <c r="I127" s="82">
        <f t="shared" si="128"/>
        <v>2</v>
      </c>
      <c r="J127" s="82">
        <f t="shared" si="129"/>
        <v>170</v>
      </c>
      <c r="K127" s="5"/>
      <c r="L127" s="5"/>
      <c r="M127" s="5" t="str">
        <f t="shared" si="118"/>
        <v> </v>
      </c>
      <c r="N127" s="5" t="str">
        <f t="shared" si="119"/>
        <v> </v>
      </c>
      <c r="O127" s="5" t="str">
        <f t="shared" si="120"/>
        <v> </v>
      </c>
      <c r="P127" s="5" t="str">
        <f t="shared" si="121"/>
        <v> </v>
      </c>
      <c r="Q127" s="5" t="str">
        <f t="shared" si="122"/>
        <v> </v>
      </c>
      <c r="R127" s="82" t="str">
        <f t="shared" si="123"/>
        <v> </v>
      </c>
      <c r="S127" s="82" t="str">
        <f t="shared" si="124"/>
        <v> </v>
      </c>
      <c r="T127" s="82" t="str">
        <f t="shared" si="125"/>
        <v> </v>
      </c>
      <c r="U127" s="82" t="str">
        <f t="shared" si="126"/>
        <v> </v>
      </c>
      <c r="V127" s="82" t="str">
        <f t="shared" si="127"/>
        <v> </v>
      </c>
      <c r="W127" s="5"/>
      <c r="X127" s="5"/>
      <c r="Y127" s="5"/>
      <c r="Z127" s="5"/>
      <c r="AA127" s="5"/>
      <c r="AB127" s="5"/>
      <c r="AC127" s="5"/>
    </row>
    <row r="128" ht="14.25" customHeight="1">
      <c r="A128" s="48"/>
      <c r="B128" s="83"/>
      <c r="C128" s="84">
        <v>0.8</v>
      </c>
      <c r="D128" s="85">
        <v>4.0</v>
      </c>
      <c r="E128" s="86">
        <v>2.0</v>
      </c>
      <c r="F128" s="87">
        <f>'1RM'!$C$5*C128</f>
        <v>80</v>
      </c>
      <c r="G128" s="5"/>
      <c r="H128" s="5"/>
      <c r="I128" s="82">
        <f t="shared" si="128"/>
        <v>8</v>
      </c>
      <c r="J128" s="82">
        <f t="shared" si="129"/>
        <v>640</v>
      </c>
      <c r="K128" s="5"/>
      <c r="L128" s="5"/>
      <c r="M128" s="5" t="str">
        <f t="shared" si="118"/>
        <v> </v>
      </c>
      <c r="N128" s="5" t="str">
        <f t="shared" si="119"/>
        <v> </v>
      </c>
      <c r="O128" s="5" t="str">
        <f t="shared" si="120"/>
        <v> </v>
      </c>
      <c r="P128" s="5" t="str">
        <f t="shared" si="121"/>
        <v> </v>
      </c>
      <c r="Q128" s="5" t="str">
        <f t="shared" si="122"/>
        <v> </v>
      </c>
      <c r="R128" s="82" t="str">
        <f t="shared" si="123"/>
        <v> </v>
      </c>
      <c r="S128" s="82" t="str">
        <f t="shared" si="124"/>
        <v> </v>
      </c>
      <c r="T128" s="82" t="str">
        <f t="shared" si="125"/>
        <v> </v>
      </c>
      <c r="U128" s="82" t="str">
        <f t="shared" si="126"/>
        <v> </v>
      </c>
      <c r="V128" s="82" t="str">
        <f t="shared" si="127"/>
        <v> </v>
      </c>
      <c r="W128" s="5"/>
      <c r="X128" s="5"/>
      <c r="Y128" s="5"/>
      <c r="Z128" s="5"/>
      <c r="AA128" s="5"/>
      <c r="AB128" s="5"/>
      <c r="AC128" s="5"/>
    </row>
    <row r="129" ht="14.25" customHeight="1">
      <c r="A129" s="48">
        <v>3.0</v>
      </c>
      <c r="B129" s="66" t="s">
        <v>63</v>
      </c>
      <c r="C129" s="67">
        <v>0.5</v>
      </c>
      <c r="D129" s="72">
        <v>3.0</v>
      </c>
      <c r="E129" s="68">
        <v>1.0</v>
      </c>
      <c r="F129" s="69">
        <f>'1RM'!$C$4*C129</f>
        <v>50</v>
      </c>
      <c r="G129" s="70">
        <f t="shared" ref="G129:G132" si="130">D129*E129</f>
        <v>3</v>
      </c>
      <c r="H129" s="70">
        <f t="shared" ref="H129:H132" si="131">F129*G129</f>
        <v>150</v>
      </c>
      <c r="I129" s="5"/>
      <c r="J129" s="5"/>
      <c r="K129" s="5"/>
      <c r="L129" s="5"/>
      <c r="M129" s="70">
        <f t="shared" si="118"/>
        <v>3</v>
      </c>
      <c r="N129" s="70" t="str">
        <f t="shared" si="119"/>
        <v> </v>
      </c>
      <c r="O129" s="70" t="str">
        <f t="shared" si="120"/>
        <v> </v>
      </c>
      <c r="P129" s="70" t="str">
        <f t="shared" si="121"/>
        <v> </v>
      </c>
      <c r="Q129" s="70" t="str">
        <f t="shared" si="122"/>
        <v> </v>
      </c>
      <c r="R129" s="5" t="str">
        <f t="shared" si="123"/>
        <v> </v>
      </c>
      <c r="S129" s="5" t="str">
        <f t="shared" si="124"/>
        <v> </v>
      </c>
      <c r="T129" s="5" t="str">
        <f t="shared" si="125"/>
        <v> </v>
      </c>
      <c r="U129" s="5" t="str">
        <f t="shared" si="126"/>
        <v> </v>
      </c>
      <c r="V129" s="5" t="str">
        <f t="shared" si="127"/>
        <v> </v>
      </c>
      <c r="W129" s="5"/>
      <c r="X129" s="5"/>
      <c r="Y129" s="5"/>
      <c r="Z129" s="5"/>
      <c r="AA129" s="5"/>
      <c r="AB129" s="5"/>
      <c r="AC129" s="5"/>
    </row>
    <row r="130" ht="14.25" customHeight="1">
      <c r="A130" s="48"/>
      <c r="B130" s="71"/>
      <c r="C130" s="67">
        <v>0.6</v>
      </c>
      <c r="D130" s="72">
        <v>3.0</v>
      </c>
      <c r="E130" s="68">
        <v>1.0</v>
      </c>
      <c r="F130" s="69">
        <f>'1RM'!$C$4*C130</f>
        <v>60</v>
      </c>
      <c r="G130" s="70">
        <f t="shared" si="130"/>
        <v>3</v>
      </c>
      <c r="H130" s="70">
        <f t="shared" si="131"/>
        <v>180</v>
      </c>
      <c r="I130" s="5"/>
      <c r="J130" s="5"/>
      <c r="K130" s="5"/>
      <c r="L130" s="5"/>
      <c r="M130" s="70" t="str">
        <f t="shared" si="118"/>
        <v> </v>
      </c>
      <c r="N130" s="70" t="str">
        <f t="shared" si="119"/>
        <v> </v>
      </c>
      <c r="O130" s="70" t="str">
        <f t="shared" si="120"/>
        <v> </v>
      </c>
      <c r="P130" s="70" t="str">
        <f t="shared" si="121"/>
        <v> </v>
      </c>
      <c r="Q130" s="70" t="str">
        <f t="shared" si="122"/>
        <v> </v>
      </c>
      <c r="R130" s="5" t="str">
        <f t="shared" si="123"/>
        <v> </v>
      </c>
      <c r="S130" s="5" t="str">
        <f t="shared" si="124"/>
        <v> </v>
      </c>
      <c r="T130" s="5" t="str">
        <f t="shared" si="125"/>
        <v> </v>
      </c>
      <c r="U130" s="5" t="str">
        <f t="shared" si="126"/>
        <v> </v>
      </c>
      <c r="V130" s="5" t="str">
        <f t="shared" si="127"/>
        <v> </v>
      </c>
      <c r="W130" s="5"/>
      <c r="X130" s="5"/>
      <c r="Y130" s="5"/>
      <c r="Z130" s="5"/>
      <c r="AA130" s="5"/>
      <c r="AB130" s="5"/>
      <c r="AC130" s="5"/>
    </row>
    <row r="131" ht="14.25" customHeight="1">
      <c r="A131" s="48"/>
      <c r="B131" s="71"/>
      <c r="C131" s="67">
        <v>0.7</v>
      </c>
      <c r="D131" s="72">
        <v>3.0</v>
      </c>
      <c r="E131" s="68">
        <v>1.0</v>
      </c>
      <c r="F131" s="69">
        <f>'1RM'!$C$4*C131</f>
        <v>70</v>
      </c>
      <c r="G131" s="70">
        <f t="shared" si="130"/>
        <v>3</v>
      </c>
      <c r="H131" s="70">
        <f t="shared" si="131"/>
        <v>210</v>
      </c>
      <c r="I131" s="5"/>
      <c r="J131" s="5"/>
      <c r="K131" s="5"/>
      <c r="L131" s="5"/>
      <c r="M131" s="70" t="str">
        <f t="shared" si="118"/>
        <v> </v>
      </c>
      <c r="N131" s="70" t="str">
        <f t="shared" si="119"/>
        <v> </v>
      </c>
      <c r="O131" s="70" t="str">
        <f t="shared" si="120"/>
        <v> </v>
      </c>
      <c r="P131" s="70" t="str">
        <f t="shared" si="121"/>
        <v> </v>
      </c>
      <c r="Q131" s="70" t="str">
        <f t="shared" si="122"/>
        <v> </v>
      </c>
      <c r="R131" s="5" t="str">
        <f t="shared" si="123"/>
        <v> </v>
      </c>
      <c r="S131" s="5" t="str">
        <f t="shared" si="124"/>
        <v> </v>
      </c>
      <c r="T131" s="5" t="str">
        <f t="shared" si="125"/>
        <v> </v>
      </c>
      <c r="U131" s="5" t="str">
        <f t="shared" si="126"/>
        <v> </v>
      </c>
      <c r="V131" s="5" t="str">
        <f t="shared" si="127"/>
        <v> </v>
      </c>
      <c r="W131" s="5"/>
      <c r="X131" s="5"/>
      <c r="Y131" s="5"/>
      <c r="Z131" s="5"/>
      <c r="AA131" s="5"/>
      <c r="AB131" s="5"/>
      <c r="AC131" s="5"/>
    </row>
    <row r="132" ht="14.25" customHeight="1">
      <c r="A132" s="48"/>
      <c r="B132" s="71"/>
      <c r="C132" s="73">
        <v>0.75</v>
      </c>
      <c r="D132" s="74">
        <v>2.0</v>
      </c>
      <c r="E132" s="75">
        <v>4.0</v>
      </c>
      <c r="F132" s="76">
        <f>'1RM'!$C$4*C132</f>
        <v>75</v>
      </c>
      <c r="G132" s="70">
        <f t="shared" si="130"/>
        <v>8</v>
      </c>
      <c r="H132" s="70">
        <f t="shared" si="131"/>
        <v>600</v>
      </c>
      <c r="I132" s="5"/>
      <c r="J132" s="5"/>
      <c r="K132" s="5"/>
      <c r="L132" s="5"/>
      <c r="M132" s="70" t="str">
        <f t="shared" si="118"/>
        <v> </v>
      </c>
      <c r="N132" s="70" t="str">
        <f t="shared" si="119"/>
        <v> </v>
      </c>
      <c r="O132" s="70" t="str">
        <f t="shared" si="120"/>
        <v> </v>
      </c>
      <c r="P132" s="70" t="str">
        <f t="shared" si="121"/>
        <v> </v>
      </c>
      <c r="Q132" s="70" t="str">
        <f t="shared" si="122"/>
        <v> </v>
      </c>
      <c r="R132" s="5" t="str">
        <f t="shared" si="123"/>
        <v> </v>
      </c>
      <c r="S132" s="5" t="str">
        <f t="shared" si="124"/>
        <v> </v>
      </c>
      <c r="T132" s="5" t="str">
        <f t="shared" si="125"/>
        <v> </v>
      </c>
      <c r="U132" s="5" t="str">
        <f t="shared" si="126"/>
        <v> </v>
      </c>
      <c r="V132" s="5" t="str">
        <f t="shared" si="127"/>
        <v> </v>
      </c>
      <c r="W132" s="5"/>
      <c r="X132" s="5"/>
      <c r="Y132" s="5"/>
      <c r="Z132" s="5"/>
      <c r="AA132" s="5"/>
      <c r="AB132" s="5"/>
      <c r="AC132" s="5"/>
    </row>
    <row r="133" ht="14.25" customHeight="1">
      <c r="A133" s="48">
        <v>4.0</v>
      </c>
      <c r="B133" s="88" t="s">
        <v>60</v>
      </c>
      <c r="C133" s="56"/>
      <c r="D133" s="49">
        <v>10.0</v>
      </c>
      <c r="E133" s="49">
        <v>5.0</v>
      </c>
      <c r="F133" s="89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ht="14.25" customHeight="1">
      <c r="A134" s="48">
        <v>5.0</v>
      </c>
      <c r="B134" s="90" t="s">
        <v>61</v>
      </c>
      <c r="C134" s="91"/>
      <c r="D134" s="92">
        <v>5.0</v>
      </c>
      <c r="E134" s="92">
        <v>4.0</v>
      </c>
      <c r="F134" s="93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ht="14.25" customHeight="1">
      <c r="A135" s="48"/>
      <c r="B135" s="49"/>
      <c r="C135" s="56"/>
      <c r="D135" s="49"/>
      <c r="E135" s="49"/>
      <c r="F135" s="49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ht="14.25" customHeight="1">
      <c r="A136" s="48"/>
      <c r="B136" s="62" t="s">
        <v>57</v>
      </c>
      <c r="C136" s="63" t="s">
        <v>20</v>
      </c>
      <c r="D136" s="64" t="s">
        <v>51</v>
      </c>
      <c r="E136" s="64" t="s">
        <v>52</v>
      </c>
      <c r="F136" s="65" t="s">
        <v>53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ht="14.25" customHeight="1">
      <c r="A137" s="48">
        <v>1.0</v>
      </c>
      <c r="B137" s="94" t="s">
        <v>79</v>
      </c>
      <c r="C137" s="95">
        <v>0.5</v>
      </c>
      <c r="D137" s="96">
        <v>3.0</v>
      </c>
      <c r="E137" s="97">
        <v>1.0</v>
      </c>
      <c r="F137" s="98">
        <f>'1RM'!$C$6*C137</f>
        <v>50</v>
      </c>
      <c r="G137" s="5"/>
      <c r="H137" s="5"/>
      <c r="I137" s="5"/>
      <c r="J137" s="5"/>
      <c r="K137" s="99">
        <f t="shared" ref="K137:K140" si="132">D137*E137</f>
        <v>3</v>
      </c>
      <c r="L137" s="99">
        <f t="shared" ref="L137:L140" si="133">F137*K137</f>
        <v>150</v>
      </c>
      <c r="M137" s="5"/>
      <c r="N137" s="5"/>
      <c r="O137" s="5"/>
      <c r="P137" s="5"/>
      <c r="Q137" s="5"/>
      <c r="R137" s="5" t="str">
        <f t="shared" ref="R137:R151" si="134">IF(ISNUMBER(SEARCH("Press de banca",$B137)),IF($C137&gt;=0.5,IF($C137&lt;0.6,$D137*$E137," ")," ")," ")</f>
        <v> </v>
      </c>
      <c r="S137" s="5" t="str">
        <f t="shared" ref="S137:S151" si="135">IF(ISNUMBER(SEARCH("Press de banca",$B137)),IF($C137&gt;=0.6,IF($C137&lt;0.7,$D137*$E137," ")," ")," ")</f>
        <v> </v>
      </c>
      <c r="T137" s="5" t="str">
        <f t="shared" ref="T137:T151" si="136">IF(ISNUMBER(SEARCH("Press de banca",$B137)),IF($C137&gt;=0.7,IF($C137&lt;0.8,$D137*$E137," ")," ")," ")</f>
        <v> </v>
      </c>
      <c r="U137" s="5" t="str">
        <f t="shared" ref="U137:U151" si="137">IF(ISNUMBER(SEARCH("Press de banca",$B137)),IF($C137&gt;=0.8,IF($C137&lt;0.9,$D137*$E137," ")," ")," ")</f>
        <v> </v>
      </c>
      <c r="V137" s="5" t="str">
        <f t="shared" ref="V137:V151" si="138">IF(ISNUMBER(SEARCH("Press de banca",$B137)),IF($C137&gt;=0.9,$D137*$E137," ")," ")</f>
        <v> </v>
      </c>
      <c r="W137" s="100">
        <f t="shared" ref="W137:W151" si="139">IF(ISNUMBER(SEARCH("Peso muerto",$B137)),IF($C137&gt;=0.5,IF($C137&lt;0.6,$D137*$E137," ")," ")," ")</f>
        <v>3</v>
      </c>
      <c r="X137" s="100" t="str">
        <f t="shared" ref="X137:X151" si="140">IF(ISNUMBER(SEARCH("Peso muerto",$B137)),IF($C137&gt;=0.6,IF($C137&lt;0.7,$D137*$E137," ")," ")," ")</f>
        <v> </v>
      </c>
      <c r="Y137" s="100" t="str">
        <f t="shared" ref="Y137:Y151" si="141">IF(ISNUMBER(SEARCH("Peso muerto",$B137)),IF($C137&gt;=0.7,IF($C137&lt;0.8,$D137*$E137," ")," ")," ")</f>
        <v> </v>
      </c>
      <c r="Z137" s="100" t="str">
        <f t="shared" ref="Z137:Z151" si="142">IF(ISNUMBER(SEARCH("Peso muerto",$B137)),IF($C137&gt;=0.8,IF($C137&lt;0.9,$D137*$E137," ")," ")," ")</f>
        <v> </v>
      </c>
      <c r="AA137" s="100" t="str">
        <f t="shared" ref="AA137:AA151" si="143">IF(ISNUMBER(SEARCH("Peso muerto",$B137)),IF($C137&gt;=0.9,$D137*$E137," ")," ")</f>
        <v> </v>
      </c>
      <c r="AB137" s="5"/>
      <c r="AC137" s="5"/>
    </row>
    <row r="138" ht="14.25" customHeight="1">
      <c r="A138" s="48"/>
      <c r="B138" s="105"/>
      <c r="C138" s="95">
        <v>0.6</v>
      </c>
      <c r="D138" s="96">
        <v>3.0</v>
      </c>
      <c r="E138" s="97">
        <v>1.0</v>
      </c>
      <c r="F138" s="98">
        <f>'1RM'!$C$6*C138</f>
        <v>60</v>
      </c>
      <c r="G138" s="5"/>
      <c r="H138" s="5"/>
      <c r="I138" s="5"/>
      <c r="J138" s="5"/>
      <c r="K138" s="99">
        <f t="shared" si="132"/>
        <v>3</v>
      </c>
      <c r="L138" s="99">
        <f t="shared" si="133"/>
        <v>180</v>
      </c>
      <c r="M138" s="5"/>
      <c r="N138" s="5"/>
      <c r="O138" s="5"/>
      <c r="P138" s="5"/>
      <c r="Q138" s="5"/>
      <c r="R138" s="5" t="str">
        <f t="shared" si="134"/>
        <v> </v>
      </c>
      <c r="S138" s="5" t="str">
        <f t="shared" si="135"/>
        <v> </v>
      </c>
      <c r="T138" s="5" t="str">
        <f t="shared" si="136"/>
        <v> </v>
      </c>
      <c r="U138" s="5" t="str">
        <f t="shared" si="137"/>
        <v> </v>
      </c>
      <c r="V138" s="5" t="str">
        <f t="shared" si="138"/>
        <v> </v>
      </c>
      <c r="W138" s="100" t="str">
        <f t="shared" si="139"/>
        <v> </v>
      </c>
      <c r="X138" s="100" t="str">
        <f t="shared" si="140"/>
        <v> </v>
      </c>
      <c r="Y138" s="100" t="str">
        <f t="shared" si="141"/>
        <v> </v>
      </c>
      <c r="Z138" s="100" t="str">
        <f t="shared" si="142"/>
        <v> </v>
      </c>
      <c r="AA138" s="100" t="str">
        <f t="shared" si="143"/>
        <v> </v>
      </c>
      <c r="AB138" s="5"/>
      <c r="AC138" s="5"/>
    </row>
    <row r="139" ht="14.25" customHeight="1">
      <c r="A139" s="48"/>
      <c r="B139" s="105"/>
      <c r="C139" s="95">
        <v>0.7</v>
      </c>
      <c r="D139" s="96">
        <v>3.0</v>
      </c>
      <c r="E139" s="97">
        <v>1.0</v>
      </c>
      <c r="F139" s="98">
        <f>'1RM'!$C$6*C139</f>
        <v>70</v>
      </c>
      <c r="G139" s="5"/>
      <c r="H139" s="5"/>
      <c r="I139" s="5"/>
      <c r="J139" s="5"/>
      <c r="K139" s="99">
        <f t="shared" si="132"/>
        <v>3</v>
      </c>
      <c r="L139" s="99">
        <f t="shared" si="133"/>
        <v>210</v>
      </c>
      <c r="M139" s="5"/>
      <c r="N139" s="5"/>
      <c r="O139" s="5"/>
      <c r="P139" s="5"/>
      <c r="Q139" s="5"/>
      <c r="R139" s="5" t="str">
        <f t="shared" si="134"/>
        <v> </v>
      </c>
      <c r="S139" s="5" t="str">
        <f t="shared" si="135"/>
        <v> </v>
      </c>
      <c r="T139" s="5" t="str">
        <f t="shared" si="136"/>
        <v> </v>
      </c>
      <c r="U139" s="5" t="str">
        <f t="shared" si="137"/>
        <v> </v>
      </c>
      <c r="V139" s="5" t="str">
        <f t="shared" si="138"/>
        <v> </v>
      </c>
      <c r="W139" s="100" t="str">
        <f t="shared" si="139"/>
        <v> </v>
      </c>
      <c r="X139" s="100" t="str">
        <f t="shared" si="140"/>
        <v> </v>
      </c>
      <c r="Y139" s="100" t="str">
        <f t="shared" si="141"/>
        <v> </v>
      </c>
      <c r="Z139" s="100" t="str">
        <f t="shared" si="142"/>
        <v> </v>
      </c>
      <c r="AA139" s="100" t="str">
        <f t="shared" si="143"/>
        <v> </v>
      </c>
      <c r="AB139" s="5"/>
      <c r="AC139" s="5"/>
    </row>
    <row r="140" ht="14.25" customHeight="1">
      <c r="A140" s="48"/>
      <c r="B140" s="105"/>
      <c r="C140" s="101">
        <v>0.75</v>
      </c>
      <c r="D140" s="102">
        <v>2.0</v>
      </c>
      <c r="E140" s="103">
        <v>4.0</v>
      </c>
      <c r="F140" s="104">
        <f>'1RM'!$C$6*C140</f>
        <v>75</v>
      </c>
      <c r="G140" s="5"/>
      <c r="H140" s="5"/>
      <c r="I140" s="5"/>
      <c r="J140" s="5"/>
      <c r="K140" s="99">
        <f t="shared" si="132"/>
        <v>8</v>
      </c>
      <c r="L140" s="99">
        <f t="shared" si="133"/>
        <v>600</v>
      </c>
      <c r="M140" s="5"/>
      <c r="N140" s="5"/>
      <c r="O140" s="5"/>
      <c r="P140" s="5"/>
      <c r="Q140" s="5"/>
      <c r="R140" s="5" t="str">
        <f t="shared" si="134"/>
        <v> </v>
      </c>
      <c r="S140" s="5" t="str">
        <f t="shared" si="135"/>
        <v> </v>
      </c>
      <c r="T140" s="5" t="str">
        <f t="shared" si="136"/>
        <v> </v>
      </c>
      <c r="U140" s="5" t="str">
        <f t="shared" si="137"/>
        <v> </v>
      </c>
      <c r="V140" s="5" t="str">
        <f t="shared" si="138"/>
        <v> </v>
      </c>
      <c r="W140" s="100" t="str">
        <f t="shared" si="139"/>
        <v> </v>
      </c>
      <c r="X140" s="100" t="str">
        <f t="shared" si="140"/>
        <v> </v>
      </c>
      <c r="Y140" s="100" t="str">
        <f t="shared" si="141"/>
        <v> </v>
      </c>
      <c r="Z140" s="100" t="str">
        <f t="shared" si="142"/>
        <v> </v>
      </c>
      <c r="AA140" s="100" t="str">
        <f t="shared" si="143"/>
        <v> </v>
      </c>
      <c r="AB140" s="5"/>
      <c r="AC140" s="5"/>
    </row>
    <row r="141" ht="14.25" customHeight="1">
      <c r="A141" s="48">
        <v>2.0</v>
      </c>
      <c r="B141" s="77" t="s">
        <v>5</v>
      </c>
      <c r="C141" s="78">
        <v>0.5</v>
      </c>
      <c r="D141" s="79">
        <v>5.0</v>
      </c>
      <c r="E141" s="80">
        <v>1.0</v>
      </c>
      <c r="F141" s="81">
        <f>'1RM'!$C$5*C141</f>
        <v>50</v>
      </c>
      <c r="G141" s="5"/>
      <c r="H141" s="5"/>
      <c r="I141" s="82">
        <f t="shared" ref="I141:I148" si="144">D141*E141</f>
        <v>5</v>
      </c>
      <c r="J141" s="82">
        <f t="shared" ref="J141:J148" si="145">F141*I141</f>
        <v>250</v>
      </c>
      <c r="K141" s="5"/>
      <c r="L141" s="5"/>
      <c r="M141" s="5"/>
      <c r="N141" s="5"/>
      <c r="O141" s="5"/>
      <c r="P141" s="5"/>
      <c r="Q141" s="5"/>
      <c r="R141" s="82">
        <f t="shared" si="134"/>
        <v>5</v>
      </c>
      <c r="S141" s="82" t="str">
        <f t="shared" si="135"/>
        <v> </v>
      </c>
      <c r="T141" s="82" t="str">
        <f t="shared" si="136"/>
        <v> </v>
      </c>
      <c r="U141" s="82" t="str">
        <f t="shared" si="137"/>
        <v> </v>
      </c>
      <c r="V141" s="82" t="str">
        <f t="shared" si="138"/>
        <v> </v>
      </c>
      <c r="W141" s="5" t="str">
        <f t="shared" si="139"/>
        <v> </v>
      </c>
      <c r="X141" s="5" t="str">
        <f t="shared" si="140"/>
        <v> </v>
      </c>
      <c r="Y141" s="5" t="str">
        <f t="shared" si="141"/>
        <v> </v>
      </c>
      <c r="Z141" s="5" t="str">
        <f t="shared" si="142"/>
        <v> </v>
      </c>
      <c r="AA141" s="5" t="str">
        <f t="shared" si="143"/>
        <v> </v>
      </c>
      <c r="AB141" s="5"/>
      <c r="AC141" s="5"/>
    </row>
    <row r="142" ht="14.25" customHeight="1">
      <c r="A142" s="48"/>
      <c r="B142" s="83"/>
      <c r="C142" s="78">
        <v>0.6</v>
      </c>
      <c r="D142" s="79">
        <v>5.0</v>
      </c>
      <c r="E142" s="80">
        <v>1.0</v>
      </c>
      <c r="F142" s="81">
        <f>'1RM'!$C$5*C142</f>
        <v>60</v>
      </c>
      <c r="G142" s="5"/>
      <c r="H142" s="5"/>
      <c r="I142" s="82">
        <f t="shared" si="144"/>
        <v>5</v>
      </c>
      <c r="J142" s="82">
        <f t="shared" si="145"/>
        <v>300</v>
      </c>
      <c r="K142" s="5"/>
      <c r="L142" s="5"/>
      <c r="M142" s="5"/>
      <c r="N142" s="5"/>
      <c r="O142" s="5"/>
      <c r="P142" s="5"/>
      <c r="Q142" s="5"/>
      <c r="R142" s="82" t="str">
        <f t="shared" si="134"/>
        <v> </v>
      </c>
      <c r="S142" s="82" t="str">
        <f t="shared" si="135"/>
        <v> </v>
      </c>
      <c r="T142" s="82" t="str">
        <f t="shared" si="136"/>
        <v> </v>
      </c>
      <c r="U142" s="82" t="str">
        <f t="shared" si="137"/>
        <v> </v>
      </c>
      <c r="V142" s="82" t="str">
        <f t="shared" si="138"/>
        <v> </v>
      </c>
      <c r="W142" s="5" t="str">
        <f t="shared" si="139"/>
        <v> </v>
      </c>
      <c r="X142" s="5" t="str">
        <f t="shared" si="140"/>
        <v> </v>
      </c>
      <c r="Y142" s="5" t="str">
        <f t="shared" si="141"/>
        <v> </v>
      </c>
      <c r="Z142" s="5" t="str">
        <f t="shared" si="142"/>
        <v> </v>
      </c>
      <c r="AA142" s="5" t="str">
        <f t="shared" si="143"/>
        <v> </v>
      </c>
      <c r="AB142" s="5"/>
      <c r="AC142" s="5"/>
    </row>
    <row r="143" ht="14.25" customHeight="1">
      <c r="A143" s="48"/>
      <c r="B143" s="83"/>
      <c r="C143" s="84">
        <v>0.7</v>
      </c>
      <c r="D143" s="85">
        <v>5.0</v>
      </c>
      <c r="E143" s="86">
        <v>1.0</v>
      </c>
      <c r="F143" s="87">
        <f>'1RM'!$C$5*C143</f>
        <v>70</v>
      </c>
      <c r="G143" s="5"/>
      <c r="H143" s="5"/>
      <c r="I143" s="82">
        <f t="shared" si="144"/>
        <v>5</v>
      </c>
      <c r="J143" s="82">
        <f t="shared" si="145"/>
        <v>350</v>
      </c>
      <c r="K143" s="5"/>
      <c r="L143" s="5"/>
      <c r="M143" s="5"/>
      <c r="N143" s="5"/>
      <c r="O143" s="5"/>
      <c r="P143" s="5"/>
      <c r="Q143" s="5"/>
      <c r="R143" s="82" t="str">
        <f t="shared" si="134"/>
        <v> </v>
      </c>
      <c r="S143" s="82" t="str">
        <f t="shared" si="135"/>
        <v> </v>
      </c>
      <c r="T143" s="82" t="str">
        <f t="shared" si="136"/>
        <v> </v>
      </c>
      <c r="U143" s="82" t="str">
        <f t="shared" si="137"/>
        <v> </v>
      </c>
      <c r="V143" s="82" t="str">
        <f t="shared" si="138"/>
        <v> </v>
      </c>
      <c r="W143" s="5" t="str">
        <f t="shared" si="139"/>
        <v> </v>
      </c>
      <c r="X143" s="5" t="str">
        <f t="shared" si="140"/>
        <v> </v>
      </c>
      <c r="Y143" s="5" t="str">
        <f t="shared" si="141"/>
        <v> </v>
      </c>
      <c r="Z143" s="5" t="str">
        <f t="shared" si="142"/>
        <v> </v>
      </c>
      <c r="AA143" s="5" t="str">
        <f t="shared" si="143"/>
        <v> </v>
      </c>
      <c r="AB143" s="5"/>
      <c r="AC143" s="5"/>
    </row>
    <row r="144" ht="14.25" customHeight="1">
      <c r="A144" s="48"/>
      <c r="B144" s="83"/>
      <c r="C144" s="84">
        <v>0.7</v>
      </c>
      <c r="D144" s="85">
        <v>8.0</v>
      </c>
      <c r="E144" s="86">
        <v>1.0</v>
      </c>
      <c r="F144" s="87">
        <f>'1RM'!$C$5*C144</f>
        <v>70</v>
      </c>
      <c r="G144" s="5"/>
      <c r="H144" s="5"/>
      <c r="I144" s="82">
        <f t="shared" si="144"/>
        <v>8</v>
      </c>
      <c r="J144" s="82">
        <f t="shared" si="145"/>
        <v>560</v>
      </c>
      <c r="K144" s="5"/>
      <c r="L144" s="5"/>
      <c r="M144" s="5"/>
      <c r="N144" s="5"/>
      <c r="O144" s="5"/>
      <c r="P144" s="5"/>
      <c r="Q144" s="5"/>
      <c r="R144" s="82" t="str">
        <f t="shared" si="134"/>
        <v> </v>
      </c>
      <c r="S144" s="82" t="str">
        <f t="shared" si="135"/>
        <v> </v>
      </c>
      <c r="T144" s="82" t="str">
        <f t="shared" si="136"/>
        <v> </v>
      </c>
      <c r="U144" s="82" t="str">
        <f t="shared" si="137"/>
        <v> </v>
      </c>
      <c r="V144" s="82" t="str">
        <f t="shared" si="138"/>
        <v> </v>
      </c>
      <c r="W144" s="5" t="str">
        <f t="shared" si="139"/>
        <v> </v>
      </c>
      <c r="X144" s="5" t="str">
        <f t="shared" si="140"/>
        <v> </v>
      </c>
      <c r="Y144" s="5" t="str">
        <f t="shared" si="141"/>
        <v> </v>
      </c>
      <c r="Z144" s="5" t="str">
        <f t="shared" si="142"/>
        <v> </v>
      </c>
      <c r="AA144" s="5" t="str">
        <f t="shared" si="143"/>
        <v> </v>
      </c>
      <c r="AB144" s="5"/>
      <c r="AC144" s="5"/>
    </row>
    <row r="145" ht="14.25" customHeight="1">
      <c r="A145" s="48"/>
      <c r="B145" s="83"/>
      <c r="C145" s="84">
        <v>0.7</v>
      </c>
      <c r="D145" s="85">
        <v>5.0</v>
      </c>
      <c r="E145" s="86">
        <v>1.0</v>
      </c>
      <c r="F145" s="87">
        <f>'1RM'!$C$5*C145</f>
        <v>70</v>
      </c>
      <c r="G145" s="5"/>
      <c r="H145" s="5"/>
      <c r="I145" s="82">
        <f t="shared" si="144"/>
        <v>5</v>
      </c>
      <c r="J145" s="82">
        <f t="shared" si="145"/>
        <v>350</v>
      </c>
      <c r="K145" s="5"/>
      <c r="L145" s="5"/>
      <c r="M145" s="5"/>
      <c r="N145" s="5"/>
      <c r="O145" s="5"/>
      <c r="P145" s="5"/>
      <c r="Q145" s="5"/>
      <c r="R145" s="82" t="str">
        <f t="shared" si="134"/>
        <v> </v>
      </c>
      <c r="S145" s="82" t="str">
        <f t="shared" si="135"/>
        <v> </v>
      </c>
      <c r="T145" s="82" t="str">
        <f t="shared" si="136"/>
        <v> </v>
      </c>
      <c r="U145" s="82" t="str">
        <f t="shared" si="137"/>
        <v> </v>
      </c>
      <c r="V145" s="82" t="str">
        <f t="shared" si="138"/>
        <v> </v>
      </c>
      <c r="W145" s="5" t="str">
        <f t="shared" si="139"/>
        <v> </v>
      </c>
      <c r="X145" s="5" t="str">
        <f t="shared" si="140"/>
        <v> </v>
      </c>
      <c r="Y145" s="5" t="str">
        <f t="shared" si="141"/>
        <v> </v>
      </c>
      <c r="Z145" s="5" t="str">
        <f t="shared" si="142"/>
        <v> </v>
      </c>
      <c r="AA145" s="5" t="str">
        <f t="shared" si="143"/>
        <v> </v>
      </c>
      <c r="AB145" s="5"/>
      <c r="AC145" s="5"/>
    </row>
    <row r="146" ht="14.25" customHeight="1">
      <c r="A146" s="48"/>
      <c r="B146" s="83"/>
      <c r="C146" s="84">
        <v>0.7</v>
      </c>
      <c r="D146" s="85">
        <v>8.0</v>
      </c>
      <c r="E146" s="86">
        <v>1.0</v>
      </c>
      <c r="F146" s="87">
        <f>'1RM'!$C$5*C146</f>
        <v>70</v>
      </c>
      <c r="G146" s="5"/>
      <c r="H146" s="5"/>
      <c r="I146" s="82">
        <f t="shared" si="144"/>
        <v>8</v>
      </c>
      <c r="J146" s="82">
        <f t="shared" si="145"/>
        <v>560</v>
      </c>
      <c r="K146" s="5"/>
      <c r="L146" s="5"/>
      <c r="M146" s="5"/>
      <c r="N146" s="5"/>
      <c r="O146" s="5"/>
      <c r="P146" s="5"/>
      <c r="Q146" s="5"/>
      <c r="R146" s="82" t="str">
        <f t="shared" si="134"/>
        <v> </v>
      </c>
      <c r="S146" s="82" t="str">
        <f t="shared" si="135"/>
        <v> </v>
      </c>
      <c r="T146" s="82" t="str">
        <f t="shared" si="136"/>
        <v> </v>
      </c>
      <c r="U146" s="82" t="str">
        <f t="shared" si="137"/>
        <v> </v>
      </c>
      <c r="V146" s="82" t="str">
        <f t="shared" si="138"/>
        <v> </v>
      </c>
      <c r="W146" s="5" t="str">
        <f t="shared" si="139"/>
        <v> </v>
      </c>
      <c r="X146" s="5" t="str">
        <f t="shared" si="140"/>
        <v> </v>
      </c>
      <c r="Y146" s="5" t="str">
        <f t="shared" si="141"/>
        <v> </v>
      </c>
      <c r="Z146" s="5" t="str">
        <f t="shared" si="142"/>
        <v> </v>
      </c>
      <c r="AA146" s="5" t="str">
        <f t="shared" si="143"/>
        <v> </v>
      </c>
      <c r="AB146" s="5"/>
      <c r="AC146" s="5"/>
    </row>
    <row r="147" ht="14.25" customHeight="1">
      <c r="A147" s="48"/>
      <c r="B147" s="83"/>
      <c r="C147" s="84">
        <v>0.7</v>
      </c>
      <c r="D147" s="85">
        <v>5.0</v>
      </c>
      <c r="E147" s="86">
        <v>1.0</v>
      </c>
      <c r="F147" s="87">
        <f>'1RM'!$C$5*C147</f>
        <v>70</v>
      </c>
      <c r="G147" s="5"/>
      <c r="H147" s="5"/>
      <c r="I147" s="82">
        <f t="shared" si="144"/>
        <v>5</v>
      </c>
      <c r="J147" s="82">
        <f t="shared" si="145"/>
        <v>350</v>
      </c>
      <c r="K147" s="5"/>
      <c r="L147" s="5"/>
      <c r="M147" s="5"/>
      <c r="N147" s="5"/>
      <c r="O147" s="5"/>
      <c r="P147" s="5"/>
      <c r="Q147" s="5"/>
      <c r="R147" s="82" t="str">
        <f t="shared" si="134"/>
        <v> </v>
      </c>
      <c r="S147" s="82" t="str">
        <f t="shared" si="135"/>
        <v> </v>
      </c>
      <c r="T147" s="82" t="str">
        <f t="shared" si="136"/>
        <v> </v>
      </c>
      <c r="U147" s="82" t="str">
        <f t="shared" si="137"/>
        <v> </v>
      </c>
      <c r="V147" s="82" t="str">
        <f t="shared" si="138"/>
        <v> </v>
      </c>
      <c r="W147" s="5" t="str">
        <f t="shared" si="139"/>
        <v> </v>
      </c>
      <c r="X147" s="5" t="str">
        <f t="shared" si="140"/>
        <v> </v>
      </c>
      <c r="Y147" s="5" t="str">
        <f t="shared" si="141"/>
        <v> </v>
      </c>
      <c r="Z147" s="5" t="str">
        <f t="shared" si="142"/>
        <v> </v>
      </c>
      <c r="AA147" s="5" t="str">
        <f t="shared" si="143"/>
        <v> </v>
      </c>
      <c r="AB147" s="5"/>
      <c r="AC147" s="5"/>
    </row>
    <row r="148" ht="14.25" customHeight="1">
      <c r="A148" s="48"/>
      <c r="B148" s="83"/>
      <c r="C148" s="84">
        <v>0.7</v>
      </c>
      <c r="D148" s="85">
        <v>8.0</v>
      </c>
      <c r="E148" s="86">
        <v>1.0</v>
      </c>
      <c r="F148" s="87">
        <f>'1RM'!$C$5*C148</f>
        <v>70</v>
      </c>
      <c r="G148" s="5"/>
      <c r="H148" s="5"/>
      <c r="I148" s="82">
        <f t="shared" si="144"/>
        <v>8</v>
      </c>
      <c r="J148" s="82">
        <f t="shared" si="145"/>
        <v>560</v>
      </c>
      <c r="K148" s="5"/>
      <c r="L148" s="5"/>
      <c r="M148" s="5"/>
      <c r="N148" s="5"/>
      <c r="O148" s="5"/>
      <c r="P148" s="5"/>
      <c r="Q148" s="5"/>
      <c r="R148" s="82" t="str">
        <f t="shared" si="134"/>
        <v> </v>
      </c>
      <c r="S148" s="82" t="str">
        <f t="shared" si="135"/>
        <v> </v>
      </c>
      <c r="T148" s="82" t="str">
        <f t="shared" si="136"/>
        <v> </v>
      </c>
      <c r="U148" s="82" t="str">
        <f t="shared" si="137"/>
        <v> </v>
      </c>
      <c r="V148" s="82" t="str">
        <f t="shared" si="138"/>
        <v> </v>
      </c>
      <c r="W148" s="5" t="str">
        <f t="shared" si="139"/>
        <v> </v>
      </c>
      <c r="X148" s="5" t="str">
        <f t="shared" si="140"/>
        <v> </v>
      </c>
      <c r="Y148" s="5" t="str">
        <f t="shared" si="141"/>
        <v> </v>
      </c>
      <c r="Z148" s="5" t="str">
        <f t="shared" si="142"/>
        <v> </v>
      </c>
      <c r="AA148" s="5" t="str">
        <f t="shared" si="143"/>
        <v> </v>
      </c>
      <c r="AB148" s="5"/>
      <c r="AC148" s="5"/>
    </row>
    <row r="149" ht="14.25" customHeight="1">
      <c r="A149" s="48">
        <v>3.0</v>
      </c>
      <c r="B149" s="94" t="s">
        <v>68</v>
      </c>
      <c r="C149" s="95">
        <v>0.6</v>
      </c>
      <c r="D149" s="96">
        <v>4.0</v>
      </c>
      <c r="E149" s="97">
        <v>1.0</v>
      </c>
      <c r="F149" s="98">
        <f>'1RM'!$C$6*C149</f>
        <v>60</v>
      </c>
      <c r="G149" s="5"/>
      <c r="H149" s="5"/>
      <c r="I149" s="5"/>
      <c r="J149" s="5"/>
      <c r="K149" s="99">
        <f t="shared" ref="K149:K151" si="146">D149*E149</f>
        <v>4</v>
      </c>
      <c r="L149" s="99">
        <f t="shared" ref="L149:L151" si="147">F149*K149</f>
        <v>240</v>
      </c>
      <c r="M149" s="5"/>
      <c r="N149" s="5"/>
      <c r="O149" s="5"/>
      <c r="P149" s="5"/>
      <c r="Q149" s="5"/>
      <c r="R149" s="5" t="str">
        <f t="shared" si="134"/>
        <v> </v>
      </c>
      <c r="S149" s="5" t="str">
        <f t="shared" si="135"/>
        <v> </v>
      </c>
      <c r="T149" s="5" t="str">
        <f t="shared" si="136"/>
        <v> </v>
      </c>
      <c r="U149" s="5" t="str">
        <f t="shared" si="137"/>
        <v> </v>
      </c>
      <c r="V149" s="5" t="str">
        <f t="shared" si="138"/>
        <v> </v>
      </c>
      <c r="W149" s="100" t="str">
        <f t="shared" si="139"/>
        <v> </v>
      </c>
      <c r="X149" s="100">
        <f t="shared" si="140"/>
        <v>4</v>
      </c>
      <c r="Y149" s="100" t="str">
        <f t="shared" si="141"/>
        <v> </v>
      </c>
      <c r="Z149" s="100" t="str">
        <f t="shared" si="142"/>
        <v> </v>
      </c>
      <c r="AA149" s="100" t="str">
        <f t="shared" si="143"/>
        <v> </v>
      </c>
      <c r="AB149" s="5"/>
      <c r="AC149" s="5"/>
    </row>
    <row r="150" ht="14.25" customHeight="1">
      <c r="A150" s="48"/>
      <c r="B150" s="105"/>
      <c r="C150" s="95">
        <v>0.7</v>
      </c>
      <c r="D150" s="96">
        <v>4.0</v>
      </c>
      <c r="E150" s="97">
        <v>1.0</v>
      </c>
      <c r="F150" s="98">
        <f>'1RM'!$C$6*C150</f>
        <v>70</v>
      </c>
      <c r="G150" s="5"/>
      <c r="H150" s="5"/>
      <c r="I150" s="5"/>
      <c r="J150" s="5"/>
      <c r="K150" s="99">
        <f t="shared" si="146"/>
        <v>4</v>
      </c>
      <c r="L150" s="99">
        <f t="shared" si="147"/>
        <v>280</v>
      </c>
      <c r="M150" s="5"/>
      <c r="N150" s="5"/>
      <c r="O150" s="5"/>
      <c r="P150" s="5"/>
      <c r="Q150" s="5"/>
      <c r="R150" s="5" t="str">
        <f t="shared" si="134"/>
        <v> </v>
      </c>
      <c r="S150" s="5" t="str">
        <f t="shared" si="135"/>
        <v> </v>
      </c>
      <c r="T150" s="5" t="str">
        <f t="shared" si="136"/>
        <v> </v>
      </c>
      <c r="U150" s="5" t="str">
        <f t="shared" si="137"/>
        <v> </v>
      </c>
      <c r="V150" s="5" t="str">
        <f t="shared" si="138"/>
        <v> </v>
      </c>
      <c r="W150" s="100" t="str">
        <f t="shared" si="139"/>
        <v> </v>
      </c>
      <c r="X150" s="100" t="str">
        <f t="shared" si="140"/>
        <v> </v>
      </c>
      <c r="Y150" s="100" t="str">
        <f t="shared" si="141"/>
        <v> </v>
      </c>
      <c r="Z150" s="100" t="str">
        <f t="shared" si="142"/>
        <v> </v>
      </c>
      <c r="AA150" s="100" t="str">
        <f t="shared" si="143"/>
        <v> </v>
      </c>
      <c r="AB150" s="5"/>
      <c r="AC150" s="5"/>
    </row>
    <row r="151" ht="14.25" customHeight="1">
      <c r="A151" s="48"/>
      <c r="B151" s="105"/>
      <c r="C151" s="101">
        <v>0.8</v>
      </c>
      <c r="D151" s="102">
        <v>4.0</v>
      </c>
      <c r="E151" s="103">
        <v>4.0</v>
      </c>
      <c r="F151" s="104">
        <f>'1RM'!$C$6*C151</f>
        <v>80</v>
      </c>
      <c r="G151" s="5"/>
      <c r="H151" s="5"/>
      <c r="I151" s="5"/>
      <c r="J151" s="5"/>
      <c r="K151" s="99">
        <f t="shared" si="146"/>
        <v>16</v>
      </c>
      <c r="L151" s="99">
        <f t="shared" si="147"/>
        <v>1280</v>
      </c>
      <c r="M151" s="5"/>
      <c r="N151" s="5"/>
      <c r="O151" s="5"/>
      <c r="P151" s="5"/>
      <c r="Q151" s="5"/>
      <c r="R151" s="5" t="str">
        <f t="shared" si="134"/>
        <v> </v>
      </c>
      <c r="S151" s="5" t="str">
        <f t="shared" si="135"/>
        <v> </v>
      </c>
      <c r="T151" s="5" t="str">
        <f t="shared" si="136"/>
        <v> </v>
      </c>
      <c r="U151" s="5" t="str">
        <f t="shared" si="137"/>
        <v> </v>
      </c>
      <c r="V151" s="5" t="str">
        <f t="shared" si="138"/>
        <v> </v>
      </c>
      <c r="W151" s="100" t="str">
        <f t="shared" si="139"/>
        <v> </v>
      </c>
      <c r="X151" s="100" t="str">
        <f t="shared" si="140"/>
        <v> </v>
      </c>
      <c r="Y151" s="100" t="str">
        <f t="shared" si="141"/>
        <v> </v>
      </c>
      <c r="Z151" s="100" t="str">
        <f t="shared" si="142"/>
        <v> </v>
      </c>
      <c r="AA151" s="100" t="str">
        <f t="shared" si="143"/>
        <v> </v>
      </c>
      <c r="AB151" s="5"/>
      <c r="AC151" s="5"/>
    </row>
    <row r="152" ht="14.25" customHeight="1">
      <c r="A152" s="48">
        <v>4.0</v>
      </c>
      <c r="B152" s="88" t="s">
        <v>55</v>
      </c>
      <c r="C152" s="56"/>
      <c r="D152" s="49">
        <v>10.0</v>
      </c>
      <c r="E152" s="49">
        <v>5.0</v>
      </c>
      <c r="F152" s="89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ht="14.25" customHeight="1">
      <c r="A153" s="48">
        <v>5.0</v>
      </c>
      <c r="B153" s="90" t="s">
        <v>56</v>
      </c>
      <c r="C153" s="91"/>
      <c r="D153" s="92">
        <v>10.0</v>
      </c>
      <c r="E153" s="92">
        <v>3.0</v>
      </c>
      <c r="F153" s="93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ht="14.25" customHeight="1">
      <c r="A154" s="48"/>
      <c r="B154" s="49"/>
      <c r="C154" s="56"/>
      <c r="D154" s="49"/>
      <c r="E154" s="49"/>
      <c r="F154" s="49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ht="14.25" customHeight="1">
      <c r="A155" s="48"/>
      <c r="B155" s="62" t="s">
        <v>62</v>
      </c>
      <c r="C155" s="63" t="s">
        <v>20</v>
      </c>
      <c r="D155" s="64" t="s">
        <v>51</v>
      </c>
      <c r="E155" s="64" t="s">
        <v>52</v>
      </c>
      <c r="F155" s="65" t="s">
        <v>53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ht="14.25" customHeight="1">
      <c r="A156" s="48">
        <v>1.0</v>
      </c>
      <c r="B156" s="77" t="s">
        <v>64</v>
      </c>
      <c r="C156" s="78">
        <v>0.55</v>
      </c>
      <c r="D156" s="79">
        <v>3.0</v>
      </c>
      <c r="E156" s="80">
        <v>1.0</v>
      </c>
      <c r="F156" s="81">
        <f>'1RM'!$C$5*C156</f>
        <v>55</v>
      </c>
      <c r="G156" s="5"/>
      <c r="H156" s="5"/>
      <c r="I156" s="82">
        <f t="shared" ref="I156:I160" si="148">D156*E156</f>
        <v>3</v>
      </c>
      <c r="J156" s="82">
        <f t="shared" ref="J156:J160" si="149">F156*I156</f>
        <v>165</v>
      </c>
      <c r="K156" s="5"/>
      <c r="L156" s="5"/>
      <c r="M156" s="5" t="str">
        <f t="shared" ref="M156:M167" si="150">IF(ISNUMBER(SEARCH("Sentadilla",$B156)),IF($C156&gt;=0.5,IF($C156&lt;0.6,$D156*$E156," ")," ")," ")</f>
        <v> </v>
      </c>
      <c r="N156" s="5" t="str">
        <f t="shared" ref="N156:N167" si="151">IF(ISNUMBER(SEARCH("Sentadilla",$B156)),IF($C156&gt;=0.6,IF($C156&lt;0.7,$D156*$E156," ")," ")," ")</f>
        <v> </v>
      </c>
      <c r="O156" s="5" t="str">
        <f t="shared" ref="O156:O167" si="152">IF(ISNUMBER(SEARCH("Sentadilla",$B156)),IF($C156&gt;=0.7,IF($C156&lt;0.8,$D156*$E156," ")," ")," ")</f>
        <v> </v>
      </c>
      <c r="P156" s="5" t="str">
        <f t="shared" ref="P156:P167" si="153">IF(ISNUMBER(SEARCH("Sentadilla",$B156)),IF($C156&gt;=0.8,IF($C156&lt;0.9,$D156*$E156," ")," ")," ")</f>
        <v> </v>
      </c>
      <c r="Q156" s="5" t="str">
        <f t="shared" ref="Q156:Q167" si="154">IF(ISNUMBER(SEARCH("Sentadilla",$B156)),IF($C156&gt;=0.9,$D156*$E156," ")," ")</f>
        <v> </v>
      </c>
      <c r="R156" s="82">
        <f t="shared" ref="R156:R167" si="155">IF(ISNUMBER(SEARCH("Press de banca",$B156)),IF($C156&gt;=0.5,IF($C156&lt;0.6,$D156*$E156," ")," ")," ")</f>
        <v>3</v>
      </c>
      <c r="S156" s="82" t="str">
        <f t="shared" ref="S156:S167" si="156">IF(ISNUMBER(SEARCH("Press de banca",$B156)),IF($C156&gt;=0.6,IF($C156&lt;0.7,$D156*$E156," ")," ")," ")</f>
        <v> </v>
      </c>
      <c r="T156" s="82" t="str">
        <f t="shared" ref="T156:T167" si="157">IF(ISNUMBER(SEARCH("Press de banca",$B156)),IF($C156&gt;=0.7,IF($C156&lt;0.8,$D156*$E156," ")," ")," ")</f>
        <v> </v>
      </c>
      <c r="U156" s="82" t="str">
        <f t="shared" ref="U156:U167" si="158">IF(ISNUMBER(SEARCH("Press de banca",$B156)),IF($C156&gt;=0.8,IF($C156&lt;0.9,$D156*$E156," ")," ")," ")</f>
        <v> </v>
      </c>
      <c r="V156" s="82" t="str">
        <f t="shared" ref="V156:V167" si="159">IF(ISNUMBER(SEARCH("Press de banca",$B156)),IF($C156&gt;=0.9,$D156*$E156," ")," ")</f>
        <v> </v>
      </c>
      <c r="W156" s="5"/>
      <c r="X156" s="5"/>
      <c r="Y156" s="5"/>
      <c r="Z156" s="5"/>
      <c r="AA156" s="5"/>
      <c r="AB156" s="5"/>
      <c r="AC156" s="5"/>
    </row>
    <row r="157" ht="14.25" customHeight="1">
      <c r="A157" s="48"/>
      <c r="B157" s="83"/>
      <c r="C157" s="78">
        <v>0.65</v>
      </c>
      <c r="D157" s="79">
        <v>3.0</v>
      </c>
      <c r="E157" s="80">
        <v>1.0</v>
      </c>
      <c r="F157" s="81">
        <f>'1RM'!$C$5*C157</f>
        <v>65</v>
      </c>
      <c r="G157" s="5"/>
      <c r="H157" s="5"/>
      <c r="I157" s="82">
        <f t="shared" si="148"/>
        <v>3</v>
      </c>
      <c r="J157" s="82">
        <f t="shared" si="149"/>
        <v>195</v>
      </c>
      <c r="K157" s="5"/>
      <c r="L157" s="5"/>
      <c r="M157" s="5" t="str">
        <f t="shared" si="150"/>
        <v> </v>
      </c>
      <c r="N157" s="5" t="str">
        <f t="shared" si="151"/>
        <v> </v>
      </c>
      <c r="O157" s="5" t="str">
        <f t="shared" si="152"/>
        <v> </v>
      </c>
      <c r="P157" s="5" t="str">
        <f t="shared" si="153"/>
        <v> </v>
      </c>
      <c r="Q157" s="5" t="str">
        <f t="shared" si="154"/>
        <v> </v>
      </c>
      <c r="R157" s="82" t="str">
        <f t="shared" si="155"/>
        <v> </v>
      </c>
      <c r="S157" s="82" t="str">
        <f t="shared" si="156"/>
        <v> </v>
      </c>
      <c r="T157" s="82" t="str">
        <f t="shared" si="157"/>
        <v> </v>
      </c>
      <c r="U157" s="82" t="str">
        <f t="shared" si="158"/>
        <v> </v>
      </c>
      <c r="V157" s="82" t="str">
        <f t="shared" si="159"/>
        <v> </v>
      </c>
      <c r="W157" s="5"/>
      <c r="X157" s="5"/>
      <c r="Y157" s="5"/>
      <c r="Z157" s="5"/>
      <c r="AA157" s="5"/>
      <c r="AB157" s="5"/>
      <c r="AC157" s="5"/>
    </row>
    <row r="158" ht="14.25" customHeight="1">
      <c r="A158" s="48"/>
      <c r="B158" s="83"/>
      <c r="C158" s="78">
        <v>0.75</v>
      </c>
      <c r="D158" s="79">
        <v>3.0</v>
      </c>
      <c r="E158" s="80">
        <v>1.0</v>
      </c>
      <c r="F158" s="81">
        <f>'1RM'!$C$5*C158</f>
        <v>75</v>
      </c>
      <c r="G158" s="5"/>
      <c r="H158" s="5"/>
      <c r="I158" s="82">
        <f t="shared" si="148"/>
        <v>3</v>
      </c>
      <c r="J158" s="82">
        <f t="shared" si="149"/>
        <v>225</v>
      </c>
      <c r="K158" s="5"/>
      <c r="L158" s="5"/>
      <c r="M158" s="5" t="str">
        <f t="shared" si="150"/>
        <v> </v>
      </c>
      <c r="N158" s="5" t="str">
        <f t="shared" si="151"/>
        <v> </v>
      </c>
      <c r="O158" s="5" t="str">
        <f t="shared" si="152"/>
        <v> </v>
      </c>
      <c r="P158" s="5" t="str">
        <f t="shared" si="153"/>
        <v> </v>
      </c>
      <c r="Q158" s="5" t="str">
        <f t="shared" si="154"/>
        <v> </v>
      </c>
      <c r="R158" s="82" t="str">
        <f t="shared" si="155"/>
        <v> </v>
      </c>
      <c r="S158" s="82" t="str">
        <f t="shared" si="156"/>
        <v> </v>
      </c>
      <c r="T158" s="82" t="str">
        <f t="shared" si="157"/>
        <v> </v>
      </c>
      <c r="U158" s="82" t="str">
        <f t="shared" si="158"/>
        <v> </v>
      </c>
      <c r="V158" s="82" t="str">
        <f t="shared" si="159"/>
        <v> </v>
      </c>
      <c r="W158" s="5"/>
      <c r="X158" s="5"/>
      <c r="Y158" s="5"/>
      <c r="Z158" s="5"/>
      <c r="AA158" s="5"/>
      <c r="AB158" s="5"/>
      <c r="AC158" s="5"/>
    </row>
    <row r="159" ht="14.25" customHeight="1">
      <c r="A159" s="48"/>
      <c r="B159" s="83"/>
      <c r="C159" s="84">
        <v>0.85</v>
      </c>
      <c r="D159" s="85">
        <v>2.0</v>
      </c>
      <c r="E159" s="86">
        <v>2.0</v>
      </c>
      <c r="F159" s="87">
        <f>'1RM'!$C$5*C159</f>
        <v>85</v>
      </c>
      <c r="G159" s="5"/>
      <c r="H159" s="5"/>
      <c r="I159" s="82">
        <f t="shared" si="148"/>
        <v>4</v>
      </c>
      <c r="J159" s="82">
        <f t="shared" si="149"/>
        <v>340</v>
      </c>
      <c r="K159" s="5"/>
      <c r="L159" s="5"/>
      <c r="M159" s="5" t="str">
        <f t="shared" si="150"/>
        <v> </v>
      </c>
      <c r="N159" s="5" t="str">
        <f t="shared" si="151"/>
        <v> </v>
      </c>
      <c r="O159" s="5" t="str">
        <f t="shared" si="152"/>
        <v> </v>
      </c>
      <c r="P159" s="5" t="str">
        <f t="shared" si="153"/>
        <v> </v>
      </c>
      <c r="Q159" s="5" t="str">
        <f t="shared" si="154"/>
        <v> </v>
      </c>
      <c r="R159" s="82" t="str">
        <f t="shared" si="155"/>
        <v> </v>
      </c>
      <c r="S159" s="82" t="str">
        <f t="shared" si="156"/>
        <v> </v>
      </c>
      <c r="T159" s="82" t="str">
        <f t="shared" si="157"/>
        <v> </v>
      </c>
      <c r="U159" s="82" t="str">
        <f t="shared" si="158"/>
        <v> </v>
      </c>
      <c r="V159" s="82" t="str">
        <f t="shared" si="159"/>
        <v> </v>
      </c>
      <c r="W159" s="5"/>
      <c r="X159" s="5"/>
      <c r="Y159" s="5"/>
      <c r="Z159" s="5"/>
      <c r="AA159" s="5"/>
      <c r="AB159" s="5"/>
      <c r="AC159" s="5"/>
    </row>
    <row r="160" ht="14.25" customHeight="1">
      <c r="A160" s="48"/>
      <c r="B160" s="83"/>
      <c r="C160" s="84">
        <v>0.9</v>
      </c>
      <c r="D160" s="85">
        <v>1.0</v>
      </c>
      <c r="E160" s="86">
        <v>3.0</v>
      </c>
      <c r="F160" s="87">
        <f>'1RM'!$C$5*C160</f>
        <v>90</v>
      </c>
      <c r="G160" s="5"/>
      <c r="H160" s="5"/>
      <c r="I160" s="82">
        <f t="shared" si="148"/>
        <v>3</v>
      </c>
      <c r="J160" s="82">
        <f t="shared" si="149"/>
        <v>270</v>
      </c>
      <c r="K160" s="5"/>
      <c r="L160" s="5"/>
      <c r="M160" s="5" t="str">
        <f t="shared" si="150"/>
        <v> </v>
      </c>
      <c r="N160" s="5" t="str">
        <f t="shared" si="151"/>
        <v> </v>
      </c>
      <c r="O160" s="5" t="str">
        <f t="shared" si="152"/>
        <v> </v>
      </c>
      <c r="P160" s="5" t="str">
        <f t="shared" si="153"/>
        <v> </v>
      </c>
      <c r="Q160" s="5" t="str">
        <f t="shared" si="154"/>
        <v> </v>
      </c>
      <c r="R160" s="82" t="str">
        <f t="shared" si="155"/>
        <v> </v>
      </c>
      <c r="S160" s="82" t="str">
        <f t="shared" si="156"/>
        <v> </v>
      </c>
      <c r="T160" s="82" t="str">
        <f t="shared" si="157"/>
        <v> </v>
      </c>
      <c r="U160" s="82" t="str">
        <f t="shared" si="158"/>
        <v> </v>
      </c>
      <c r="V160" s="82" t="str">
        <f t="shared" si="159"/>
        <v> </v>
      </c>
      <c r="W160" s="5"/>
      <c r="X160" s="5"/>
      <c r="Y160" s="5"/>
      <c r="Z160" s="5"/>
      <c r="AA160" s="5"/>
      <c r="AB160" s="5"/>
      <c r="AC160" s="5"/>
    </row>
    <row r="161" ht="14.25" customHeight="1">
      <c r="A161" s="48">
        <v>2.0</v>
      </c>
      <c r="B161" s="66" t="s">
        <v>4</v>
      </c>
      <c r="C161" s="67">
        <v>0.5</v>
      </c>
      <c r="D161" s="72">
        <v>5.0</v>
      </c>
      <c r="E161" s="68">
        <v>1.0</v>
      </c>
      <c r="F161" s="69">
        <f>'1RM'!$C$4*C161</f>
        <v>50</v>
      </c>
      <c r="G161" s="70">
        <f t="shared" ref="G161:G164" si="160">D161*E161</f>
        <v>5</v>
      </c>
      <c r="H161" s="70">
        <f t="shared" ref="H161:H164" si="161">F161*G161</f>
        <v>250</v>
      </c>
      <c r="I161" s="5"/>
      <c r="J161" s="5"/>
      <c r="K161" s="5"/>
      <c r="L161" s="5"/>
      <c r="M161" s="70">
        <f t="shared" si="150"/>
        <v>5</v>
      </c>
      <c r="N161" s="70" t="str">
        <f t="shared" si="151"/>
        <v> </v>
      </c>
      <c r="O161" s="70" t="str">
        <f t="shared" si="152"/>
        <v> </v>
      </c>
      <c r="P161" s="70" t="str">
        <f t="shared" si="153"/>
        <v> </v>
      </c>
      <c r="Q161" s="70" t="str">
        <f t="shared" si="154"/>
        <v> </v>
      </c>
      <c r="R161" s="5" t="str">
        <f t="shared" si="155"/>
        <v> </v>
      </c>
      <c r="S161" s="5" t="str">
        <f t="shared" si="156"/>
        <v> </v>
      </c>
      <c r="T161" s="5" t="str">
        <f t="shared" si="157"/>
        <v> </v>
      </c>
      <c r="U161" s="5" t="str">
        <f t="shared" si="158"/>
        <v> </v>
      </c>
      <c r="V161" s="5" t="str">
        <f t="shared" si="159"/>
        <v> </v>
      </c>
      <c r="W161" s="5"/>
      <c r="X161" s="5"/>
      <c r="Y161" s="5"/>
      <c r="Z161" s="5"/>
      <c r="AA161" s="5"/>
      <c r="AB161" s="5"/>
      <c r="AC161" s="5"/>
    </row>
    <row r="162" ht="14.25" customHeight="1">
      <c r="A162" s="48"/>
      <c r="B162" s="71"/>
      <c r="C162" s="67">
        <v>0.6</v>
      </c>
      <c r="D162" s="72">
        <v>4.0</v>
      </c>
      <c r="E162" s="68">
        <v>1.0</v>
      </c>
      <c r="F162" s="69">
        <f>'1RM'!$C$4*C162</f>
        <v>60</v>
      </c>
      <c r="G162" s="70">
        <f t="shared" si="160"/>
        <v>4</v>
      </c>
      <c r="H162" s="70">
        <f t="shared" si="161"/>
        <v>240</v>
      </c>
      <c r="I162" s="5"/>
      <c r="J162" s="5"/>
      <c r="K162" s="5"/>
      <c r="L162" s="5"/>
      <c r="M162" s="70" t="str">
        <f t="shared" si="150"/>
        <v> </v>
      </c>
      <c r="N162" s="70" t="str">
        <f t="shared" si="151"/>
        <v> </v>
      </c>
      <c r="O162" s="70" t="str">
        <f t="shared" si="152"/>
        <v> </v>
      </c>
      <c r="P162" s="70" t="str">
        <f t="shared" si="153"/>
        <v> </v>
      </c>
      <c r="Q162" s="70" t="str">
        <f t="shared" si="154"/>
        <v> </v>
      </c>
      <c r="R162" s="5" t="str">
        <f t="shared" si="155"/>
        <v> </v>
      </c>
      <c r="S162" s="5" t="str">
        <f t="shared" si="156"/>
        <v> </v>
      </c>
      <c r="T162" s="5" t="str">
        <f t="shared" si="157"/>
        <v> </v>
      </c>
      <c r="U162" s="5" t="str">
        <f t="shared" si="158"/>
        <v> </v>
      </c>
      <c r="V162" s="5" t="str">
        <f t="shared" si="159"/>
        <v> </v>
      </c>
      <c r="W162" s="5"/>
      <c r="X162" s="5"/>
      <c r="Y162" s="5"/>
      <c r="Z162" s="5"/>
      <c r="AA162" s="5"/>
      <c r="AB162" s="5"/>
      <c r="AC162" s="5"/>
    </row>
    <row r="163" ht="14.25" customHeight="1">
      <c r="A163" s="48"/>
      <c r="B163" s="71"/>
      <c r="C163" s="67">
        <v>0.7</v>
      </c>
      <c r="D163" s="72">
        <v>3.0</v>
      </c>
      <c r="E163" s="68">
        <v>1.0</v>
      </c>
      <c r="F163" s="69">
        <f>'1RM'!$C$4*C163</f>
        <v>70</v>
      </c>
      <c r="G163" s="70">
        <f t="shared" si="160"/>
        <v>3</v>
      </c>
      <c r="H163" s="70">
        <f t="shared" si="161"/>
        <v>210</v>
      </c>
      <c r="I163" s="5"/>
      <c r="J163" s="5"/>
      <c r="K163" s="5"/>
      <c r="L163" s="5"/>
      <c r="M163" s="70" t="str">
        <f t="shared" si="150"/>
        <v> </v>
      </c>
      <c r="N163" s="70" t="str">
        <f t="shared" si="151"/>
        <v> </v>
      </c>
      <c r="O163" s="70" t="str">
        <f t="shared" si="152"/>
        <v> </v>
      </c>
      <c r="P163" s="70" t="str">
        <f t="shared" si="153"/>
        <v> </v>
      </c>
      <c r="Q163" s="70" t="str">
        <f t="shared" si="154"/>
        <v> </v>
      </c>
      <c r="R163" s="5" t="str">
        <f t="shared" si="155"/>
        <v> </v>
      </c>
      <c r="S163" s="5" t="str">
        <f t="shared" si="156"/>
        <v> </v>
      </c>
      <c r="T163" s="5" t="str">
        <f t="shared" si="157"/>
        <v> </v>
      </c>
      <c r="U163" s="5" t="str">
        <f t="shared" si="158"/>
        <v> </v>
      </c>
      <c r="V163" s="5" t="str">
        <f t="shared" si="159"/>
        <v> </v>
      </c>
      <c r="W163" s="5"/>
      <c r="X163" s="5"/>
      <c r="Y163" s="5"/>
      <c r="Z163" s="5"/>
      <c r="AA163" s="5"/>
      <c r="AB163" s="5"/>
      <c r="AC163" s="5"/>
    </row>
    <row r="164" ht="14.25" customHeight="1">
      <c r="A164" s="48"/>
      <c r="B164" s="71"/>
      <c r="C164" s="73">
        <v>0.8</v>
      </c>
      <c r="D164" s="74">
        <v>5.0</v>
      </c>
      <c r="E164" s="75">
        <v>5.0</v>
      </c>
      <c r="F164" s="76">
        <f>'1RM'!$C$4*C164</f>
        <v>80</v>
      </c>
      <c r="G164" s="70">
        <f t="shared" si="160"/>
        <v>25</v>
      </c>
      <c r="H164" s="70">
        <f t="shared" si="161"/>
        <v>2000</v>
      </c>
      <c r="I164" s="5"/>
      <c r="J164" s="5"/>
      <c r="K164" s="5"/>
      <c r="L164" s="5"/>
      <c r="M164" s="70" t="str">
        <f t="shared" si="150"/>
        <v> </v>
      </c>
      <c r="N164" s="70" t="str">
        <f t="shared" si="151"/>
        <v> </v>
      </c>
      <c r="O164" s="70" t="str">
        <f t="shared" si="152"/>
        <v> </v>
      </c>
      <c r="P164" s="70" t="str">
        <f t="shared" si="153"/>
        <v> </v>
      </c>
      <c r="Q164" s="70" t="str">
        <f t="shared" si="154"/>
        <v> </v>
      </c>
      <c r="R164" s="5" t="str">
        <f t="shared" si="155"/>
        <v> </v>
      </c>
      <c r="S164" s="5" t="str">
        <f t="shared" si="156"/>
        <v> </v>
      </c>
      <c r="T164" s="5" t="str">
        <f t="shared" si="157"/>
        <v> </v>
      </c>
      <c r="U164" s="5" t="str">
        <f t="shared" si="158"/>
        <v> </v>
      </c>
      <c r="V164" s="5" t="str">
        <f t="shared" si="159"/>
        <v> </v>
      </c>
      <c r="W164" s="5"/>
      <c r="X164" s="5"/>
      <c r="Y164" s="5"/>
      <c r="Z164" s="5"/>
      <c r="AA164" s="5"/>
      <c r="AB164" s="5"/>
      <c r="AC164" s="5"/>
    </row>
    <row r="165" ht="14.25" customHeight="1">
      <c r="A165" s="48">
        <v>3.0</v>
      </c>
      <c r="B165" s="77" t="s">
        <v>73</v>
      </c>
      <c r="C165" s="78">
        <v>0.5</v>
      </c>
      <c r="D165" s="79">
        <v>4.0</v>
      </c>
      <c r="E165" s="80">
        <v>1.0</v>
      </c>
      <c r="F165" s="81">
        <f>'1RM'!$C$5*C165</f>
        <v>50</v>
      </c>
      <c r="G165" s="5"/>
      <c r="H165" s="5"/>
      <c r="I165" s="82">
        <f t="shared" ref="I165:I167" si="162">D165*E165</f>
        <v>4</v>
      </c>
      <c r="J165" s="82">
        <f t="shared" ref="J165:J167" si="163">F165*I165</f>
        <v>200</v>
      </c>
      <c r="K165" s="5"/>
      <c r="L165" s="5"/>
      <c r="M165" s="5" t="str">
        <f t="shared" si="150"/>
        <v> </v>
      </c>
      <c r="N165" s="5" t="str">
        <f t="shared" si="151"/>
        <v> </v>
      </c>
      <c r="O165" s="5" t="str">
        <f t="shared" si="152"/>
        <v> </v>
      </c>
      <c r="P165" s="5" t="str">
        <f t="shared" si="153"/>
        <v> </v>
      </c>
      <c r="Q165" s="5" t="str">
        <f t="shared" si="154"/>
        <v> </v>
      </c>
      <c r="R165" s="82">
        <f t="shared" si="155"/>
        <v>4</v>
      </c>
      <c r="S165" s="82" t="str">
        <f t="shared" si="156"/>
        <v> </v>
      </c>
      <c r="T165" s="82" t="str">
        <f t="shared" si="157"/>
        <v> </v>
      </c>
      <c r="U165" s="82" t="str">
        <f t="shared" si="158"/>
        <v> </v>
      </c>
      <c r="V165" s="82" t="str">
        <f t="shared" si="159"/>
        <v> </v>
      </c>
      <c r="W165" s="5"/>
      <c r="X165" s="5"/>
      <c r="Y165" s="5"/>
      <c r="Z165" s="5"/>
      <c r="AA165" s="5"/>
      <c r="AB165" s="5"/>
      <c r="AC165" s="5"/>
    </row>
    <row r="166" ht="14.25" customHeight="1">
      <c r="A166" s="48"/>
      <c r="B166" s="83"/>
      <c r="C166" s="78">
        <v>0.6</v>
      </c>
      <c r="D166" s="79">
        <v>4.0</v>
      </c>
      <c r="E166" s="80">
        <v>1.0</v>
      </c>
      <c r="F166" s="81">
        <f>'1RM'!$C$5*C166</f>
        <v>60</v>
      </c>
      <c r="G166" s="5"/>
      <c r="H166" s="5"/>
      <c r="I166" s="82">
        <f t="shared" si="162"/>
        <v>4</v>
      </c>
      <c r="J166" s="82">
        <f t="shared" si="163"/>
        <v>240</v>
      </c>
      <c r="K166" s="5"/>
      <c r="L166" s="5"/>
      <c r="M166" s="5" t="str">
        <f t="shared" si="150"/>
        <v> </v>
      </c>
      <c r="N166" s="5" t="str">
        <f t="shared" si="151"/>
        <v> </v>
      </c>
      <c r="O166" s="5" t="str">
        <f t="shared" si="152"/>
        <v> </v>
      </c>
      <c r="P166" s="5" t="str">
        <f t="shared" si="153"/>
        <v> </v>
      </c>
      <c r="Q166" s="5" t="str">
        <f t="shared" si="154"/>
        <v> </v>
      </c>
      <c r="R166" s="82" t="str">
        <f t="shared" si="155"/>
        <v> </v>
      </c>
      <c r="S166" s="82" t="str">
        <f t="shared" si="156"/>
        <v> </v>
      </c>
      <c r="T166" s="82" t="str">
        <f t="shared" si="157"/>
        <v> </v>
      </c>
      <c r="U166" s="82" t="str">
        <f t="shared" si="158"/>
        <v> </v>
      </c>
      <c r="V166" s="82" t="str">
        <f t="shared" si="159"/>
        <v> </v>
      </c>
      <c r="W166" s="5"/>
      <c r="X166" s="5"/>
      <c r="Y166" s="5"/>
      <c r="Z166" s="5"/>
      <c r="AA166" s="5"/>
      <c r="AB166" s="5"/>
      <c r="AC166" s="5"/>
    </row>
    <row r="167" ht="14.25" customHeight="1">
      <c r="A167" s="48"/>
      <c r="B167" s="83"/>
      <c r="C167" s="84">
        <v>0.65</v>
      </c>
      <c r="D167" s="85">
        <v>4.0</v>
      </c>
      <c r="E167" s="86">
        <v>4.0</v>
      </c>
      <c r="F167" s="87">
        <f>'1RM'!$C$5*C167</f>
        <v>65</v>
      </c>
      <c r="G167" s="5"/>
      <c r="H167" s="5"/>
      <c r="I167" s="82">
        <f t="shared" si="162"/>
        <v>16</v>
      </c>
      <c r="J167" s="82">
        <f t="shared" si="163"/>
        <v>1040</v>
      </c>
      <c r="K167" s="5"/>
      <c r="L167" s="5"/>
      <c r="M167" s="5" t="str">
        <f t="shared" si="150"/>
        <v> </v>
      </c>
      <c r="N167" s="5" t="str">
        <f t="shared" si="151"/>
        <v> </v>
      </c>
      <c r="O167" s="5" t="str">
        <f t="shared" si="152"/>
        <v> </v>
      </c>
      <c r="P167" s="5" t="str">
        <f t="shared" si="153"/>
        <v> </v>
      </c>
      <c r="Q167" s="5" t="str">
        <f t="shared" si="154"/>
        <v> </v>
      </c>
      <c r="R167" s="82" t="str">
        <f t="shared" si="155"/>
        <v> </v>
      </c>
      <c r="S167" s="82" t="str">
        <f t="shared" si="156"/>
        <v> </v>
      </c>
      <c r="T167" s="82" t="str">
        <f t="shared" si="157"/>
        <v> </v>
      </c>
      <c r="U167" s="82" t="str">
        <f t="shared" si="158"/>
        <v> </v>
      </c>
      <c r="V167" s="82" t="str">
        <f t="shared" si="159"/>
        <v> </v>
      </c>
      <c r="W167" s="5"/>
      <c r="X167" s="5"/>
      <c r="Y167" s="5"/>
      <c r="Z167" s="5"/>
      <c r="AA167" s="5"/>
      <c r="AB167" s="5"/>
      <c r="AC167" s="5"/>
    </row>
    <row r="168" ht="14.25" customHeight="1">
      <c r="A168" s="48">
        <v>4.0</v>
      </c>
      <c r="B168" s="88" t="s">
        <v>60</v>
      </c>
      <c r="C168" s="56"/>
      <c r="D168" s="49">
        <v>10.0</v>
      </c>
      <c r="E168" s="49">
        <v>5.0</v>
      </c>
      <c r="F168" s="89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ht="14.25" customHeight="1">
      <c r="A169" s="48">
        <v>5.0</v>
      </c>
      <c r="B169" s="90" t="s">
        <v>80</v>
      </c>
      <c r="C169" s="91"/>
      <c r="D169" s="92">
        <v>4.0</v>
      </c>
      <c r="E169" s="92">
        <v>4.0</v>
      </c>
      <c r="F169" s="93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ht="14.25" customHeight="1">
      <c r="A170" s="48"/>
      <c r="B170" s="49"/>
      <c r="C170" s="56"/>
      <c r="D170" s="49"/>
      <c r="E170" s="49"/>
      <c r="F170" s="49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ht="14.25" customHeight="1">
      <c r="A171" s="48"/>
      <c r="B171" s="62" t="s">
        <v>66</v>
      </c>
      <c r="C171" s="63" t="s">
        <v>20</v>
      </c>
      <c r="D171" s="64" t="s">
        <v>51</v>
      </c>
      <c r="E171" s="64" t="s">
        <v>52</v>
      </c>
      <c r="F171" s="65" t="s">
        <v>53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ht="14.25" customHeight="1">
      <c r="A172" s="48">
        <v>1.0</v>
      </c>
      <c r="B172" s="94" t="s">
        <v>59</v>
      </c>
      <c r="C172" s="95">
        <v>0.5</v>
      </c>
      <c r="D172" s="96">
        <v>3.0</v>
      </c>
      <c r="E172" s="97">
        <v>1.0</v>
      </c>
      <c r="F172" s="98">
        <f>'1RM'!$C$6*C172</f>
        <v>50</v>
      </c>
      <c r="G172" s="5"/>
      <c r="H172" s="5"/>
      <c r="I172" s="5"/>
      <c r="J172" s="5"/>
      <c r="K172" s="99">
        <f t="shared" ref="K172:K175" si="164">D172*E172</f>
        <v>3</v>
      </c>
      <c r="L172" s="99">
        <f t="shared" ref="L172:L175" si="165">F172*K172</f>
        <v>150</v>
      </c>
      <c r="M172" s="5"/>
      <c r="N172" s="5"/>
      <c r="O172" s="5"/>
      <c r="P172" s="5"/>
      <c r="Q172" s="5"/>
      <c r="R172" s="5" t="str">
        <f t="shared" ref="R172:R182" si="166">IF(ISNUMBER(SEARCH("Press de banca",$B172)),IF($C172&gt;=0.5,IF($C172&lt;0.6,$D172*$E172," ")," ")," ")</f>
        <v> </v>
      </c>
      <c r="S172" s="5" t="str">
        <f t="shared" ref="S172:S182" si="167">IF(ISNUMBER(SEARCH("Press de banca",$B172)),IF($C172&gt;=0.6,IF($C172&lt;0.7,$D172*$E172," ")," ")," ")</f>
        <v> </v>
      </c>
      <c r="T172" s="5" t="str">
        <f t="shared" ref="T172:T182" si="168">IF(ISNUMBER(SEARCH("Press de banca",$B172)),IF($C172&gt;=0.7,IF($C172&lt;0.8,$D172*$E172," ")," ")," ")</f>
        <v> </v>
      </c>
      <c r="U172" s="5" t="str">
        <f t="shared" ref="U172:U182" si="169">IF(ISNUMBER(SEARCH("Press de banca",$B172)),IF($C172&gt;=0.8,IF($C172&lt;0.9,$D172*$E172," ")," ")," ")</f>
        <v> </v>
      </c>
      <c r="V172" s="5" t="str">
        <f t="shared" ref="V172:V182" si="170">IF(ISNUMBER(SEARCH("Press de banca",$B172)),IF($C172&gt;=0.9,$D172*$E172," ")," ")</f>
        <v> </v>
      </c>
      <c r="W172" s="100">
        <f t="shared" ref="W172:W182" si="171">IF(ISNUMBER(SEARCH("Peso muerto",$B172)),IF($C172&gt;=0.5,IF($C172&lt;0.6,$D172*$E172," ")," ")," ")</f>
        <v>3</v>
      </c>
      <c r="X172" s="100" t="str">
        <f t="shared" ref="X172:X182" si="172">IF(ISNUMBER(SEARCH("Peso muerto",$B172)),IF($C172&gt;=0.6,IF($C172&lt;0.7,$D172*$E172," ")," ")," ")</f>
        <v> </v>
      </c>
      <c r="Y172" s="100" t="str">
        <f t="shared" ref="Y172:Y182" si="173">IF(ISNUMBER(SEARCH("Peso muerto",$B172)),IF($C172&gt;=0.7,IF($C172&lt;0.8,$D172*$E172," ")," ")," ")</f>
        <v> </v>
      </c>
      <c r="Z172" s="100" t="str">
        <f t="shared" ref="Z172:Z182" si="174">IF(ISNUMBER(SEARCH("Peso muerto",$B172)),IF($C172&gt;=0.8,IF($C172&lt;0.9,$D172*$E172," ")," ")," ")</f>
        <v> </v>
      </c>
      <c r="AA172" s="100" t="str">
        <f t="shared" ref="AA172:AA182" si="175">IF(ISNUMBER(SEARCH("Peso muerto",$B172)),IF($C172&gt;=0.9,$D172*$E172," ")," ")</f>
        <v> </v>
      </c>
      <c r="AB172" s="5"/>
      <c r="AC172" s="5"/>
    </row>
    <row r="173" ht="14.25" customHeight="1">
      <c r="A173" s="48"/>
      <c r="B173" s="105"/>
      <c r="C173" s="95">
        <v>0.6</v>
      </c>
      <c r="D173" s="96">
        <v>3.0</v>
      </c>
      <c r="E173" s="97">
        <v>1.0</v>
      </c>
      <c r="F173" s="98">
        <f>'1RM'!$C$6*C173</f>
        <v>60</v>
      </c>
      <c r="G173" s="5"/>
      <c r="H173" s="5"/>
      <c r="I173" s="5"/>
      <c r="J173" s="5"/>
      <c r="K173" s="99">
        <f t="shared" si="164"/>
        <v>3</v>
      </c>
      <c r="L173" s="99">
        <f t="shared" si="165"/>
        <v>180</v>
      </c>
      <c r="M173" s="5"/>
      <c r="N173" s="5"/>
      <c r="O173" s="5"/>
      <c r="P173" s="5"/>
      <c r="Q173" s="5"/>
      <c r="R173" s="5" t="str">
        <f t="shared" si="166"/>
        <v> </v>
      </c>
      <c r="S173" s="5" t="str">
        <f t="shared" si="167"/>
        <v> </v>
      </c>
      <c r="T173" s="5" t="str">
        <f t="shared" si="168"/>
        <v> </v>
      </c>
      <c r="U173" s="5" t="str">
        <f t="shared" si="169"/>
        <v> </v>
      </c>
      <c r="V173" s="5" t="str">
        <f t="shared" si="170"/>
        <v> </v>
      </c>
      <c r="W173" s="100" t="str">
        <f t="shared" si="171"/>
        <v> </v>
      </c>
      <c r="X173" s="100" t="str">
        <f t="shared" si="172"/>
        <v> </v>
      </c>
      <c r="Y173" s="100" t="str">
        <f t="shared" si="173"/>
        <v> </v>
      </c>
      <c r="Z173" s="100" t="str">
        <f t="shared" si="174"/>
        <v> </v>
      </c>
      <c r="AA173" s="100" t="str">
        <f t="shared" si="175"/>
        <v> </v>
      </c>
      <c r="AB173" s="5"/>
      <c r="AC173" s="5"/>
    </row>
    <row r="174" ht="14.25" customHeight="1">
      <c r="A174" s="48"/>
      <c r="B174" s="105"/>
      <c r="C174" s="95">
        <v>0.7</v>
      </c>
      <c r="D174" s="96">
        <v>3.0</v>
      </c>
      <c r="E174" s="97">
        <v>1.0</v>
      </c>
      <c r="F174" s="98">
        <f>'1RM'!$C$6*C174</f>
        <v>70</v>
      </c>
      <c r="G174" s="5"/>
      <c r="H174" s="5"/>
      <c r="I174" s="5"/>
      <c r="J174" s="5"/>
      <c r="K174" s="99">
        <f t="shared" si="164"/>
        <v>3</v>
      </c>
      <c r="L174" s="99">
        <f t="shared" si="165"/>
        <v>210</v>
      </c>
      <c r="M174" s="5"/>
      <c r="N174" s="5"/>
      <c r="O174" s="5"/>
      <c r="P174" s="5"/>
      <c r="Q174" s="5"/>
      <c r="R174" s="5" t="str">
        <f t="shared" si="166"/>
        <v> </v>
      </c>
      <c r="S174" s="5" t="str">
        <f t="shared" si="167"/>
        <v> </v>
      </c>
      <c r="T174" s="5" t="str">
        <f t="shared" si="168"/>
        <v> </v>
      </c>
      <c r="U174" s="5" t="str">
        <f t="shared" si="169"/>
        <v> </v>
      </c>
      <c r="V174" s="5" t="str">
        <f t="shared" si="170"/>
        <v> </v>
      </c>
      <c r="W174" s="100" t="str">
        <f t="shared" si="171"/>
        <v> </v>
      </c>
      <c r="X174" s="100" t="str">
        <f t="shared" si="172"/>
        <v> </v>
      </c>
      <c r="Y174" s="100" t="str">
        <f t="shared" si="173"/>
        <v> </v>
      </c>
      <c r="Z174" s="100" t="str">
        <f t="shared" si="174"/>
        <v> </v>
      </c>
      <c r="AA174" s="100" t="str">
        <f t="shared" si="175"/>
        <v> </v>
      </c>
      <c r="AB174" s="5"/>
      <c r="AC174" s="5"/>
    </row>
    <row r="175" ht="14.25" customHeight="1">
      <c r="A175" s="48"/>
      <c r="B175" s="105"/>
      <c r="C175" s="101">
        <v>0.75</v>
      </c>
      <c r="D175" s="102">
        <v>2.0</v>
      </c>
      <c r="E175" s="103">
        <v>4.0</v>
      </c>
      <c r="F175" s="104">
        <f>'1RM'!$C$6*C175</f>
        <v>75</v>
      </c>
      <c r="G175" s="5"/>
      <c r="H175" s="5"/>
      <c r="I175" s="5"/>
      <c r="J175" s="5"/>
      <c r="K175" s="99">
        <f t="shared" si="164"/>
        <v>8</v>
      </c>
      <c r="L175" s="99">
        <f t="shared" si="165"/>
        <v>600</v>
      </c>
      <c r="M175" s="5"/>
      <c r="N175" s="5"/>
      <c r="O175" s="5"/>
      <c r="P175" s="5"/>
      <c r="Q175" s="5"/>
      <c r="R175" s="5" t="str">
        <f t="shared" si="166"/>
        <v> </v>
      </c>
      <c r="S175" s="5" t="str">
        <f t="shared" si="167"/>
        <v> </v>
      </c>
      <c r="T175" s="5" t="str">
        <f t="shared" si="168"/>
        <v> </v>
      </c>
      <c r="U175" s="5" t="str">
        <f t="shared" si="169"/>
        <v> </v>
      </c>
      <c r="V175" s="5" t="str">
        <f t="shared" si="170"/>
        <v> </v>
      </c>
      <c r="W175" s="100" t="str">
        <f t="shared" si="171"/>
        <v> </v>
      </c>
      <c r="X175" s="100" t="str">
        <f t="shared" si="172"/>
        <v> </v>
      </c>
      <c r="Y175" s="100" t="str">
        <f t="shared" si="173"/>
        <v> </v>
      </c>
      <c r="Z175" s="100" t="str">
        <f t="shared" si="174"/>
        <v> </v>
      </c>
      <c r="AA175" s="100" t="str">
        <f t="shared" si="175"/>
        <v> </v>
      </c>
      <c r="AB175" s="5"/>
      <c r="AC175" s="5"/>
    </row>
    <row r="176" ht="14.25" customHeight="1">
      <c r="A176" s="48">
        <v>2.0</v>
      </c>
      <c r="B176" s="77" t="s">
        <v>81</v>
      </c>
      <c r="C176" s="78">
        <v>0.5</v>
      </c>
      <c r="D176" s="79">
        <v>4.0</v>
      </c>
      <c r="E176" s="80">
        <v>1.0</v>
      </c>
      <c r="F176" s="81">
        <f>'1RM'!$C$5*C176</f>
        <v>50</v>
      </c>
      <c r="G176" s="5"/>
      <c r="H176" s="5"/>
      <c r="I176" s="82">
        <f t="shared" ref="I176:I178" si="176">D176*E176</f>
        <v>4</v>
      </c>
      <c r="J176" s="82">
        <f t="shared" ref="J176:J178" si="177">F176*I176</f>
        <v>200</v>
      </c>
      <c r="K176" s="5"/>
      <c r="L176" s="5"/>
      <c r="M176" s="5"/>
      <c r="N176" s="5"/>
      <c r="O176" s="5"/>
      <c r="P176" s="5"/>
      <c r="Q176" s="5"/>
      <c r="R176" s="82">
        <f t="shared" si="166"/>
        <v>4</v>
      </c>
      <c r="S176" s="82" t="str">
        <f t="shared" si="167"/>
        <v> </v>
      </c>
      <c r="T176" s="82" t="str">
        <f t="shared" si="168"/>
        <v> </v>
      </c>
      <c r="U176" s="82" t="str">
        <f t="shared" si="169"/>
        <v> </v>
      </c>
      <c r="V176" s="82" t="str">
        <f t="shared" si="170"/>
        <v> </v>
      </c>
      <c r="W176" s="5" t="str">
        <f t="shared" si="171"/>
        <v> </v>
      </c>
      <c r="X176" s="5" t="str">
        <f t="shared" si="172"/>
        <v> </v>
      </c>
      <c r="Y176" s="5" t="str">
        <f t="shared" si="173"/>
        <v> </v>
      </c>
      <c r="Z176" s="5" t="str">
        <f t="shared" si="174"/>
        <v> </v>
      </c>
      <c r="AA176" s="5" t="str">
        <f t="shared" si="175"/>
        <v> </v>
      </c>
      <c r="AB176" s="5"/>
      <c r="AC176" s="5"/>
    </row>
    <row r="177" ht="14.25" customHeight="1">
      <c r="A177" s="48"/>
      <c r="B177" s="83"/>
      <c r="C177" s="78">
        <v>0.6</v>
      </c>
      <c r="D177" s="79">
        <v>4.0</v>
      </c>
      <c r="E177" s="80">
        <v>1.0</v>
      </c>
      <c r="F177" s="81">
        <f>'1RM'!$C$5*C177</f>
        <v>60</v>
      </c>
      <c r="G177" s="5"/>
      <c r="H177" s="5"/>
      <c r="I177" s="82">
        <f t="shared" si="176"/>
        <v>4</v>
      </c>
      <c r="J177" s="82">
        <f t="shared" si="177"/>
        <v>240</v>
      </c>
      <c r="K177" s="5"/>
      <c r="L177" s="5"/>
      <c r="M177" s="5"/>
      <c r="N177" s="5"/>
      <c r="O177" s="5"/>
      <c r="P177" s="5"/>
      <c r="Q177" s="5"/>
      <c r="R177" s="82" t="str">
        <f t="shared" si="166"/>
        <v> </v>
      </c>
      <c r="S177" s="82" t="str">
        <f t="shared" si="167"/>
        <v> </v>
      </c>
      <c r="T177" s="82" t="str">
        <f t="shared" si="168"/>
        <v> </v>
      </c>
      <c r="U177" s="82" t="str">
        <f t="shared" si="169"/>
        <v> </v>
      </c>
      <c r="V177" s="82" t="str">
        <f t="shared" si="170"/>
        <v> </v>
      </c>
      <c r="W177" s="5" t="str">
        <f t="shared" si="171"/>
        <v> </v>
      </c>
      <c r="X177" s="5" t="str">
        <f t="shared" si="172"/>
        <v> </v>
      </c>
      <c r="Y177" s="5" t="str">
        <f t="shared" si="173"/>
        <v> </v>
      </c>
      <c r="Z177" s="5" t="str">
        <f t="shared" si="174"/>
        <v> </v>
      </c>
      <c r="AA177" s="5" t="str">
        <f t="shared" si="175"/>
        <v> </v>
      </c>
      <c r="AB177" s="5"/>
      <c r="AC177" s="5"/>
    </row>
    <row r="178" ht="14.25" customHeight="1">
      <c r="A178" s="48"/>
      <c r="B178" s="83"/>
      <c r="C178" s="84">
        <v>0.65</v>
      </c>
      <c r="D178" s="85">
        <v>4.0</v>
      </c>
      <c r="E178" s="86">
        <v>4.0</v>
      </c>
      <c r="F178" s="87">
        <f>'1RM'!$C$5*C178</f>
        <v>65</v>
      </c>
      <c r="G178" s="5"/>
      <c r="H178" s="5"/>
      <c r="I178" s="82">
        <f t="shared" si="176"/>
        <v>16</v>
      </c>
      <c r="J178" s="82">
        <f t="shared" si="177"/>
        <v>1040</v>
      </c>
      <c r="K178" s="5"/>
      <c r="L178" s="5"/>
      <c r="M178" s="5"/>
      <c r="N178" s="5"/>
      <c r="O178" s="5"/>
      <c r="P178" s="5"/>
      <c r="Q178" s="5"/>
      <c r="R178" s="82" t="str">
        <f t="shared" si="166"/>
        <v> </v>
      </c>
      <c r="S178" s="82" t="str">
        <f t="shared" si="167"/>
        <v> </v>
      </c>
      <c r="T178" s="82" t="str">
        <f t="shared" si="168"/>
        <v> </v>
      </c>
      <c r="U178" s="82" t="str">
        <f t="shared" si="169"/>
        <v> </v>
      </c>
      <c r="V178" s="82" t="str">
        <f t="shared" si="170"/>
        <v> </v>
      </c>
      <c r="W178" s="5" t="str">
        <f t="shared" si="171"/>
        <v> </v>
      </c>
      <c r="X178" s="5" t="str">
        <f t="shared" si="172"/>
        <v> </v>
      </c>
      <c r="Y178" s="5" t="str">
        <f t="shared" si="173"/>
        <v> </v>
      </c>
      <c r="Z178" s="5" t="str">
        <f t="shared" si="174"/>
        <v> </v>
      </c>
      <c r="AA178" s="5" t="str">
        <f t="shared" si="175"/>
        <v> </v>
      </c>
      <c r="AB178" s="5"/>
      <c r="AC178" s="5"/>
    </row>
    <row r="179" ht="14.25" customHeight="1">
      <c r="A179" s="48">
        <v>3.0</v>
      </c>
      <c r="B179" s="94" t="s">
        <v>82</v>
      </c>
      <c r="C179" s="95">
        <v>0.5</v>
      </c>
      <c r="D179" s="96">
        <v>3.0</v>
      </c>
      <c r="E179" s="97">
        <v>1.0</v>
      </c>
      <c r="F179" s="98">
        <f>'1RM'!$C$6*C179</f>
        <v>50</v>
      </c>
      <c r="G179" s="5"/>
      <c r="H179" s="5"/>
      <c r="I179" s="5"/>
      <c r="J179" s="5"/>
      <c r="K179" s="99">
        <f t="shared" ref="K179:K182" si="178">D179*E179</f>
        <v>3</v>
      </c>
      <c r="L179" s="99">
        <f t="shared" ref="L179:L182" si="179">F179*K179</f>
        <v>150</v>
      </c>
      <c r="M179" s="5"/>
      <c r="N179" s="5"/>
      <c r="O179" s="5"/>
      <c r="P179" s="5"/>
      <c r="Q179" s="5"/>
      <c r="R179" s="5" t="str">
        <f t="shared" si="166"/>
        <v> </v>
      </c>
      <c r="S179" s="5" t="str">
        <f t="shared" si="167"/>
        <v> </v>
      </c>
      <c r="T179" s="5" t="str">
        <f t="shared" si="168"/>
        <v> </v>
      </c>
      <c r="U179" s="5" t="str">
        <f t="shared" si="169"/>
        <v> </v>
      </c>
      <c r="V179" s="5" t="str">
        <f t="shared" si="170"/>
        <v> </v>
      </c>
      <c r="W179" s="100">
        <f t="shared" si="171"/>
        <v>3</v>
      </c>
      <c r="X179" s="100" t="str">
        <f t="shared" si="172"/>
        <v> </v>
      </c>
      <c r="Y179" s="100" t="str">
        <f t="shared" si="173"/>
        <v> </v>
      </c>
      <c r="Z179" s="100" t="str">
        <f t="shared" si="174"/>
        <v> </v>
      </c>
      <c r="AA179" s="100" t="str">
        <f t="shared" si="175"/>
        <v> </v>
      </c>
      <c r="AB179" s="5"/>
      <c r="AC179" s="5"/>
    </row>
    <row r="180" ht="14.25" customHeight="1">
      <c r="A180" s="48"/>
      <c r="B180" s="105"/>
      <c r="C180" s="95">
        <v>0.6</v>
      </c>
      <c r="D180" s="96">
        <v>3.0</v>
      </c>
      <c r="E180" s="97">
        <v>1.0</v>
      </c>
      <c r="F180" s="98">
        <f>'1RM'!$C$6*C180</f>
        <v>60</v>
      </c>
      <c r="G180" s="5"/>
      <c r="H180" s="5"/>
      <c r="I180" s="5"/>
      <c r="J180" s="5"/>
      <c r="K180" s="99">
        <f t="shared" si="178"/>
        <v>3</v>
      </c>
      <c r="L180" s="99">
        <f t="shared" si="179"/>
        <v>180</v>
      </c>
      <c r="M180" s="5"/>
      <c r="N180" s="5"/>
      <c r="O180" s="5"/>
      <c r="P180" s="5"/>
      <c r="Q180" s="5"/>
      <c r="R180" s="5" t="str">
        <f t="shared" si="166"/>
        <v> </v>
      </c>
      <c r="S180" s="5" t="str">
        <f t="shared" si="167"/>
        <v> </v>
      </c>
      <c r="T180" s="5" t="str">
        <f t="shared" si="168"/>
        <v> </v>
      </c>
      <c r="U180" s="5" t="str">
        <f t="shared" si="169"/>
        <v> </v>
      </c>
      <c r="V180" s="5" t="str">
        <f t="shared" si="170"/>
        <v> </v>
      </c>
      <c r="W180" s="100" t="str">
        <f t="shared" si="171"/>
        <v> </v>
      </c>
      <c r="X180" s="100" t="str">
        <f t="shared" si="172"/>
        <v> </v>
      </c>
      <c r="Y180" s="100" t="str">
        <f t="shared" si="173"/>
        <v> </v>
      </c>
      <c r="Z180" s="100" t="str">
        <f t="shared" si="174"/>
        <v> </v>
      </c>
      <c r="AA180" s="100" t="str">
        <f t="shared" si="175"/>
        <v> </v>
      </c>
      <c r="AB180" s="5"/>
      <c r="AC180" s="5"/>
    </row>
    <row r="181" ht="14.25" customHeight="1">
      <c r="A181" s="48"/>
      <c r="B181" s="105"/>
      <c r="C181" s="95">
        <v>0.7</v>
      </c>
      <c r="D181" s="96">
        <v>3.0</v>
      </c>
      <c r="E181" s="97">
        <v>1.0</v>
      </c>
      <c r="F181" s="98">
        <f>'1RM'!$C$6*C181</f>
        <v>70</v>
      </c>
      <c r="G181" s="5"/>
      <c r="H181" s="5"/>
      <c r="I181" s="5"/>
      <c r="J181" s="5"/>
      <c r="K181" s="99">
        <f t="shared" si="178"/>
        <v>3</v>
      </c>
      <c r="L181" s="99">
        <f t="shared" si="179"/>
        <v>210</v>
      </c>
      <c r="M181" s="5"/>
      <c r="N181" s="5"/>
      <c r="O181" s="5"/>
      <c r="P181" s="5"/>
      <c r="Q181" s="5"/>
      <c r="R181" s="5" t="str">
        <f t="shared" si="166"/>
        <v> </v>
      </c>
      <c r="S181" s="5" t="str">
        <f t="shared" si="167"/>
        <v> </v>
      </c>
      <c r="T181" s="5" t="str">
        <f t="shared" si="168"/>
        <v> </v>
      </c>
      <c r="U181" s="5" t="str">
        <f t="shared" si="169"/>
        <v> </v>
      </c>
      <c r="V181" s="5" t="str">
        <f t="shared" si="170"/>
        <v> </v>
      </c>
      <c r="W181" s="100" t="str">
        <f t="shared" si="171"/>
        <v> </v>
      </c>
      <c r="X181" s="100" t="str">
        <f t="shared" si="172"/>
        <v> </v>
      </c>
      <c r="Y181" s="100" t="str">
        <f t="shared" si="173"/>
        <v> </v>
      </c>
      <c r="Z181" s="100" t="str">
        <f t="shared" si="174"/>
        <v> </v>
      </c>
      <c r="AA181" s="100" t="str">
        <f t="shared" si="175"/>
        <v> </v>
      </c>
      <c r="AB181" s="5"/>
      <c r="AC181" s="5"/>
    </row>
    <row r="182" ht="14.25" customHeight="1">
      <c r="A182" s="48"/>
      <c r="B182" s="105"/>
      <c r="C182" s="101">
        <v>0.75</v>
      </c>
      <c r="D182" s="102">
        <v>2.0</v>
      </c>
      <c r="E182" s="103">
        <v>4.0</v>
      </c>
      <c r="F182" s="104">
        <f>'1RM'!$C$6*C182</f>
        <v>75</v>
      </c>
      <c r="G182" s="5"/>
      <c r="H182" s="5"/>
      <c r="I182" s="5"/>
      <c r="J182" s="5"/>
      <c r="K182" s="99">
        <f t="shared" si="178"/>
        <v>8</v>
      </c>
      <c r="L182" s="99">
        <f t="shared" si="179"/>
        <v>600</v>
      </c>
      <c r="M182" s="5"/>
      <c r="N182" s="5"/>
      <c r="O182" s="5"/>
      <c r="P182" s="5"/>
      <c r="Q182" s="5"/>
      <c r="R182" s="5" t="str">
        <f t="shared" si="166"/>
        <v> </v>
      </c>
      <c r="S182" s="5" t="str">
        <f t="shared" si="167"/>
        <v> </v>
      </c>
      <c r="T182" s="5" t="str">
        <f t="shared" si="168"/>
        <v> </v>
      </c>
      <c r="U182" s="5" t="str">
        <f t="shared" si="169"/>
        <v> </v>
      </c>
      <c r="V182" s="5" t="str">
        <f t="shared" si="170"/>
        <v> </v>
      </c>
      <c r="W182" s="100" t="str">
        <f t="shared" si="171"/>
        <v> </v>
      </c>
      <c r="X182" s="100" t="str">
        <f t="shared" si="172"/>
        <v> </v>
      </c>
      <c r="Y182" s="100" t="str">
        <f t="shared" si="173"/>
        <v> </v>
      </c>
      <c r="Z182" s="100" t="str">
        <f t="shared" si="174"/>
        <v> </v>
      </c>
      <c r="AA182" s="100" t="str">
        <f t="shared" si="175"/>
        <v> </v>
      </c>
      <c r="AB182" s="5"/>
      <c r="AC182" s="5"/>
    </row>
    <row r="183" ht="14.25" customHeight="1">
      <c r="A183" s="48">
        <v>4.0</v>
      </c>
      <c r="B183" s="88" t="s">
        <v>83</v>
      </c>
      <c r="C183" s="56"/>
      <c r="D183" s="49">
        <v>12.0</v>
      </c>
      <c r="E183" s="49">
        <v>5.0</v>
      </c>
      <c r="F183" s="89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ht="14.25" customHeight="1">
      <c r="A184" s="48">
        <v>5.0</v>
      </c>
      <c r="B184" s="90" t="s">
        <v>71</v>
      </c>
      <c r="C184" s="91"/>
      <c r="D184" s="92">
        <v>8.0</v>
      </c>
      <c r="E184" s="92">
        <v>4.0</v>
      </c>
      <c r="F184" s="93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ht="14.25" customHeight="1">
      <c r="A185" s="111"/>
      <c r="B185" s="112"/>
      <c r="C185" s="113"/>
      <c r="D185" s="112"/>
      <c r="E185" s="112"/>
      <c r="F185" s="112"/>
      <c r="G185" s="114">
        <f t="shared" ref="G185:AA185" si="180">SUM(G120:G184)</f>
        <v>71</v>
      </c>
      <c r="H185" s="114">
        <f t="shared" si="180"/>
        <v>4695</v>
      </c>
      <c r="I185" s="115">
        <f t="shared" si="180"/>
        <v>139</v>
      </c>
      <c r="J185" s="115">
        <f t="shared" si="180"/>
        <v>9265</v>
      </c>
      <c r="K185" s="115">
        <f t="shared" si="180"/>
        <v>75</v>
      </c>
      <c r="L185" s="115">
        <f t="shared" si="180"/>
        <v>5220</v>
      </c>
      <c r="M185" s="114">
        <f t="shared" si="180"/>
        <v>8</v>
      </c>
      <c r="N185" s="114">
        <f t="shared" si="180"/>
        <v>0</v>
      </c>
      <c r="O185" s="114">
        <f t="shared" si="180"/>
        <v>0</v>
      </c>
      <c r="P185" s="114">
        <f t="shared" si="180"/>
        <v>0</v>
      </c>
      <c r="Q185" s="114">
        <f t="shared" si="180"/>
        <v>0</v>
      </c>
      <c r="R185" s="115">
        <f t="shared" si="180"/>
        <v>21</v>
      </c>
      <c r="S185" s="115">
        <f t="shared" si="180"/>
        <v>0</v>
      </c>
      <c r="T185" s="115">
        <f t="shared" si="180"/>
        <v>0</v>
      </c>
      <c r="U185" s="115">
        <f t="shared" si="180"/>
        <v>0</v>
      </c>
      <c r="V185" s="115">
        <f t="shared" si="180"/>
        <v>0</v>
      </c>
      <c r="W185" s="115">
        <f t="shared" si="180"/>
        <v>9</v>
      </c>
      <c r="X185" s="115">
        <f t="shared" si="180"/>
        <v>4</v>
      </c>
      <c r="Y185" s="115">
        <f t="shared" si="180"/>
        <v>0</v>
      </c>
      <c r="Z185" s="115">
        <f t="shared" si="180"/>
        <v>0</v>
      </c>
      <c r="AA185" s="115">
        <f t="shared" si="180"/>
        <v>0</v>
      </c>
      <c r="AB185" s="115"/>
      <c r="AC185" s="115"/>
    </row>
    <row r="186" ht="14.25" customHeight="1">
      <c r="A186" s="57"/>
      <c r="B186" s="58" t="s">
        <v>24</v>
      </c>
      <c r="C186" s="59"/>
      <c r="D186" s="60"/>
      <c r="E186" s="60"/>
      <c r="F186" s="60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</row>
    <row r="187" ht="14.25" customHeight="1">
      <c r="A187" s="48"/>
      <c r="B187" s="62" t="s">
        <v>50</v>
      </c>
      <c r="C187" s="63" t="s">
        <v>20</v>
      </c>
      <c r="D187" s="64" t="s">
        <v>51</v>
      </c>
      <c r="E187" s="64" t="s">
        <v>52</v>
      </c>
      <c r="F187" s="65" t="s">
        <v>53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ht="14.25" customHeight="1">
      <c r="A188" s="48">
        <v>1.0</v>
      </c>
      <c r="B188" s="66" t="s">
        <v>54</v>
      </c>
      <c r="C188" s="67">
        <v>0.4</v>
      </c>
      <c r="D188" s="72">
        <v>3.0</v>
      </c>
      <c r="E188" s="68">
        <v>1.0</v>
      </c>
      <c r="F188" s="69">
        <f>'1RM'!$C$4*C188</f>
        <v>40</v>
      </c>
      <c r="G188" s="70">
        <f t="shared" ref="G188:G191" si="181">D188*E188</f>
        <v>3</v>
      </c>
      <c r="H188" s="70">
        <f t="shared" ref="H188:H191" si="182">F188*G188</f>
        <v>120</v>
      </c>
      <c r="I188" s="5"/>
      <c r="J188" s="5"/>
      <c r="K188" s="5"/>
      <c r="L188" s="5"/>
      <c r="M188" s="70" t="str">
        <f t="shared" ref="M188:M201" si="183">IF(ISNUMBER(SEARCH("Sentadilla",$B188)),IF($C188&gt;=0.5,IF($C188&lt;0.6,$D188*$E188," ")," ")," ")</f>
        <v> </v>
      </c>
      <c r="N188" s="70" t="str">
        <f t="shared" ref="N188:N201" si="184">IF(ISNUMBER(SEARCH("Sentadilla",$B188)),IF($C188&gt;=0.6,IF($C188&lt;0.7,$D188*$E188," ")," ")," ")</f>
        <v> </v>
      </c>
      <c r="O188" s="70" t="str">
        <f t="shared" ref="O188:O201" si="185">IF(ISNUMBER(SEARCH("Sentadilla",$B188)),IF($C188&gt;=0.7,IF($C188&lt;0.8,$D188*$E188," ")," ")," ")</f>
        <v> </v>
      </c>
      <c r="P188" s="70" t="str">
        <f t="shared" ref="P188:P201" si="186">IF(ISNUMBER(SEARCH("Sentadilla",$B188)),IF($C188&gt;=0.8,IF($C188&lt;0.9,$D188*$E188," ")," ")," ")</f>
        <v> </v>
      </c>
      <c r="Q188" s="70" t="str">
        <f t="shared" ref="Q188:Q201" si="187">IF(ISNUMBER(SEARCH("Sentadilla",$B188)),IF($C188&gt;=0.9,$D188*$E188," ")," ")</f>
        <v> </v>
      </c>
      <c r="R188" s="5" t="str">
        <f t="shared" ref="R188:R201" si="188">IF(ISNUMBER(SEARCH("Press de banca",$B188)),IF($C188&gt;=0.5,IF($C188&lt;0.6,$D188*$E188," ")," ")," ")</f>
        <v> </v>
      </c>
      <c r="S188" s="5" t="str">
        <f t="shared" ref="S188:S201" si="189">IF(ISNUMBER(SEARCH("Press de banca",$B188)),IF($C188&gt;=0.6,IF($C188&lt;0.7,$D188*$E188," ")," ")," ")</f>
        <v> </v>
      </c>
      <c r="T188" s="5" t="str">
        <f t="shared" ref="T188:T201" si="190">IF(ISNUMBER(SEARCH("Press de banca",$B188)),IF($C188&gt;=0.7,IF($C188&lt;0.8,$D188*$E188," ")," ")," ")</f>
        <v> </v>
      </c>
      <c r="U188" s="5" t="str">
        <f t="shared" ref="U188:U201" si="191">IF(ISNUMBER(SEARCH("Press de banca",$B188)),IF($C188&gt;=0.8,IF($C188&lt;0.9,$D188*$E188," ")," ")," ")</f>
        <v> </v>
      </c>
      <c r="V188" s="5" t="str">
        <f t="shared" ref="V188:V201" si="192">IF(ISNUMBER(SEARCH("Press de banca",$B188)),IF($C188&gt;=0.9,$D188*$E188," ")," ")</f>
        <v> </v>
      </c>
      <c r="W188" s="5"/>
      <c r="X188" s="5"/>
      <c r="Y188" s="5"/>
      <c r="Z188" s="5"/>
      <c r="AA188" s="5"/>
      <c r="AB188" s="5"/>
      <c r="AC188" s="5"/>
    </row>
    <row r="189" ht="14.25" customHeight="1">
      <c r="A189" s="48"/>
      <c r="B189" s="71"/>
      <c r="C189" s="67">
        <v>0.45</v>
      </c>
      <c r="D189" s="72">
        <v>3.0</v>
      </c>
      <c r="E189" s="68">
        <v>1.0</v>
      </c>
      <c r="F189" s="69">
        <f>'1RM'!$C$4*C189</f>
        <v>45</v>
      </c>
      <c r="G189" s="70">
        <f t="shared" si="181"/>
        <v>3</v>
      </c>
      <c r="H189" s="70">
        <f t="shared" si="182"/>
        <v>135</v>
      </c>
      <c r="I189" s="5"/>
      <c r="J189" s="5"/>
      <c r="K189" s="5"/>
      <c r="L189" s="5"/>
      <c r="M189" s="70" t="str">
        <f t="shared" si="183"/>
        <v> </v>
      </c>
      <c r="N189" s="70" t="str">
        <f t="shared" si="184"/>
        <v> </v>
      </c>
      <c r="O189" s="70" t="str">
        <f t="shared" si="185"/>
        <v> </v>
      </c>
      <c r="P189" s="70" t="str">
        <f t="shared" si="186"/>
        <v> </v>
      </c>
      <c r="Q189" s="70" t="str">
        <f t="shared" si="187"/>
        <v> </v>
      </c>
      <c r="R189" s="5" t="str">
        <f t="shared" si="188"/>
        <v> </v>
      </c>
      <c r="S189" s="5" t="str">
        <f t="shared" si="189"/>
        <v> </v>
      </c>
      <c r="T189" s="5" t="str">
        <f t="shared" si="190"/>
        <v> </v>
      </c>
      <c r="U189" s="5" t="str">
        <f t="shared" si="191"/>
        <v> </v>
      </c>
      <c r="V189" s="5" t="str">
        <f t="shared" si="192"/>
        <v> </v>
      </c>
      <c r="W189" s="5"/>
      <c r="X189" s="5"/>
      <c r="Y189" s="5"/>
      <c r="Z189" s="5"/>
      <c r="AA189" s="5"/>
      <c r="AB189" s="5"/>
      <c r="AC189" s="5"/>
    </row>
    <row r="190" ht="14.25" customHeight="1">
      <c r="A190" s="48"/>
      <c r="B190" s="71"/>
      <c r="C190" s="73">
        <v>0.5</v>
      </c>
      <c r="D190" s="74">
        <v>3.0</v>
      </c>
      <c r="E190" s="75">
        <v>2.0</v>
      </c>
      <c r="F190" s="76">
        <f>'1RM'!$C$4*C190</f>
        <v>50</v>
      </c>
      <c r="G190" s="70">
        <f t="shared" si="181"/>
        <v>6</v>
      </c>
      <c r="H190" s="70">
        <f t="shared" si="182"/>
        <v>300</v>
      </c>
      <c r="I190" s="5"/>
      <c r="J190" s="5"/>
      <c r="K190" s="5"/>
      <c r="L190" s="5"/>
      <c r="M190" s="70" t="str">
        <f t="shared" si="183"/>
        <v> </v>
      </c>
      <c r="N190" s="70" t="str">
        <f t="shared" si="184"/>
        <v> </v>
      </c>
      <c r="O190" s="70" t="str">
        <f t="shared" si="185"/>
        <v> </v>
      </c>
      <c r="P190" s="70" t="str">
        <f t="shared" si="186"/>
        <v> </v>
      </c>
      <c r="Q190" s="70" t="str">
        <f t="shared" si="187"/>
        <v> </v>
      </c>
      <c r="R190" s="5" t="str">
        <f t="shared" si="188"/>
        <v> </v>
      </c>
      <c r="S190" s="5" t="str">
        <f t="shared" si="189"/>
        <v> </v>
      </c>
      <c r="T190" s="5" t="str">
        <f t="shared" si="190"/>
        <v> </v>
      </c>
      <c r="U190" s="5" t="str">
        <f t="shared" si="191"/>
        <v> </v>
      </c>
      <c r="V190" s="5" t="str">
        <f t="shared" si="192"/>
        <v> </v>
      </c>
      <c r="W190" s="5"/>
      <c r="X190" s="5"/>
      <c r="Y190" s="5"/>
      <c r="Z190" s="5"/>
      <c r="AA190" s="5"/>
      <c r="AB190" s="5"/>
      <c r="AC190" s="5"/>
    </row>
    <row r="191" ht="14.25" customHeight="1">
      <c r="A191" s="48"/>
      <c r="B191" s="71"/>
      <c r="C191" s="73">
        <v>0.55</v>
      </c>
      <c r="D191" s="74">
        <v>3.0</v>
      </c>
      <c r="E191" s="75">
        <v>3.0</v>
      </c>
      <c r="F191" s="76">
        <f>'1RM'!$C$4*C191</f>
        <v>55</v>
      </c>
      <c r="G191" s="70">
        <f t="shared" si="181"/>
        <v>9</v>
      </c>
      <c r="H191" s="70">
        <f t="shared" si="182"/>
        <v>495</v>
      </c>
      <c r="I191" s="5"/>
      <c r="J191" s="5"/>
      <c r="K191" s="5"/>
      <c r="L191" s="5"/>
      <c r="M191" s="70" t="str">
        <f t="shared" si="183"/>
        <v> </v>
      </c>
      <c r="N191" s="70" t="str">
        <f t="shared" si="184"/>
        <v> </v>
      </c>
      <c r="O191" s="70" t="str">
        <f t="shared" si="185"/>
        <v> </v>
      </c>
      <c r="P191" s="70" t="str">
        <f t="shared" si="186"/>
        <v> </v>
      </c>
      <c r="Q191" s="70" t="str">
        <f t="shared" si="187"/>
        <v> </v>
      </c>
      <c r="R191" s="5" t="str">
        <f t="shared" si="188"/>
        <v> </v>
      </c>
      <c r="S191" s="5" t="str">
        <f t="shared" si="189"/>
        <v> </v>
      </c>
      <c r="T191" s="5" t="str">
        <f t="shared" si="190"/>
        <v> </v>
      </c>
      <c r="U191" s="5" t="str">
        <f t="shared" si="191"/>
        <v> </v>
      </c>
      <c r="V191" s="5" t="str">
        <f t="shared" si="192"/>
        <v> </v>
      </c>
      <c r="W191" s="5"/>
      <c r="X191" s="5"/>
      <c r="Y191" s="5"/>
      <c r="Z191" s="5"/>
      <c r="AA191" s="5"/>
      <c r="AB191" s="5"/>
      <c r="AC191" s="5"/>
    </row>
    <row r="192" ht="14.25" customHeight="1">
      <c r="A192" s="48">
        <v>2.0</v>
      </c>
      <c r="B192" s="77" t="s">
        <v>5</v>
      </c>
      <c r="C192" s="78">
        <v>0.5</v>
      </c>
      <c r="D192" s="79">
        <v>5.0</v>
      </c>
      <c r="E192" s="80">
        <v>1.0</v>
      </c>
      <c r="F192" s="81">
        <f>'1RM'!$C$5*C192</f>
        <v>50</v>
      </c>
      <c r="G192" s="5"/>
      <c r="H192" s="5"/>
      <c r="I192" s="82">
        <f t="shared" ref="I192:I197" si="193">D192*E192</f>
        <v>5</v>
      </c>
      <c r="J192" s="82">
        <f t="shared" ref="J192:J197" si="194">F192*I192</f>
        <v>250</v>
      </c>
      <c r="K192" s="5"/>
      <c r="L192" s="5"/>
      <c r="M192" s="5" t="str">
        <f t="shared" si="183"/>
        <v> </v>
      </c>
      <c r="N192" s="5" t="str">
        <f t="shared" si="184"/>
        <v> </v>
      </c>
      <c r="O192" s="5" t="str">
        <f t="shared" si="185"/>
        <v> </v>
      </c>
      <c r="P192" s="5" t="str">
        <f t="shared" si="186"/>
        <v> </v>
      </c>
      <c r="Q192" s="5" t="str">
        <f t="shared" si="187"/>
        <v> </v>
      </c>
      <c r="R192" s="82">
        <f t="shared" si="188"/>
        <v>5</v>
      </c>
      <c r="S192" s="82" t="str">
        <f t="shared" si="189"/>
        <v> </v>
      </c>
      <c r="T192" s="82" t="str">
        <f t="shared" si="190"/>
        <v> </v>
      </c>
      <c r="U192" s="82" t="str">
        <f t="shared" si="191"/>
        <v> </v>
      </c>
      <c r="V192" s="82" t="str">
        <f t="shared" si="192"/>
        <v> </v>
      </c>
      <c r="W192" s="5"/>
      <c r="X192" s="5"/>
      <c r="Y192" s="5"/>
      <c r="Z192" s="5"/>
      <c r="AA192" s="5"/>
      <c r="AB192" s="5"/>
      <c r="AC192" s="5"/>
    </row>
    <row r="193" ht="14.25" customHeight="1">
      <c r="A193" s="48"/>
      <c r="B193" s="83"/>
      <c r="C193" s="78">
        <v>0.6</v>
      </c>
      <c r="D193" s="79">
        <v>4.0</v>
      </c>
      <c r="E193" s="80">
        <v>1.0</v>
      </c>
      <c r="F193" s="81">
        <f>'1RM'!$C$5*C193</f>
        <v>60</v>
      </c>
      <c r="G193" s="5"/>
      <c r="H193" s="5"/>
      <c r="I193" s="82">
        <f t="shared" si="193"/>
        <v>4</v>
      </c>
      <c r="J193" s="82">
        <f t="shared" si="194"/>
        <v>240</v>
      </c>
      <c r="K193" s="5"/>
      <c r="L193" s="5"/>
      <c r="M193" s="5" t="str">
        <f t="shared" si="183"/>
        <v> </v>
      </c>
      <c r="N193" s="5" t="str">
        <f t="shared" si="184"/>
        <v> </v>
      </c>
      <c r="O193" s="5" t="str">
        <f t="shared" si="185"/>
        <v> </v>
      </c>
      <c r="P193" s="5" t="str">
        <f t="shared" si="186"/>
        <v> </v>
      </c>
      <c r="Q193" s="5" t="str">
        <f t="shared" si="187"/>
        <v> </v>
      </c>
      <c r="R193" s="82" t="str">
        <f t="shared" si="188"/>
        <v> </v>
      </c>
      <c r="S193" s="82" t="str">
        <f t="shared" si="189"/>
        <v> </v>
      </c>
      <c r="T193" s="82" t="str">
        <f t="shared" si="190"/>
        <v> </v>
      </c>
      <c r="U193" s="82" t="str">
        <f t="shared" si="191"/>
        <v> </v>
      </c>
      <c r="V193" s="82" t="str">
        <f t="shared" si="192"/>
        <v> </v>
      </c>
      <c r="W193" s="5"/>
      <c r="X193" s="5"/>
      <c r="Y193" s="5"/>
      <c r="Z193" s="5"/>
      <c r="AA193" s="5"/>
      <c r="AB193" s="5"/>
      <c r="AC193" s="5"/>
    </row>
    <row r="194" ht="14.25" customHeight="1">
      <c r="A194" s="48"/>
      <c r="B194" s="83"/>
      <c r="C194" s="78">
        <v>0.7</v>
      </c>
      <c r="D194" s="79">
        <v>3.0</v>
      </c>
      <c r="E194" s="80">
        <v>1.0</v>
      </c>
      <c r="F194" s="81">
        <f>'1RM'!$C$5*C194</f>
        <v>70</v>
      </c>
      <c r="G194" s="5"/>
      <c r="H194" s="5"/>
      <c r="I194" s="82">
        <f t="shared" si="193"/>
        <v>3</v>
      </c>
      <c r="J194" s="82">
        <f t="shared" si="194"/>
        <v>210</v>
      </c>
      <c r="K194" s="5"/>
      <c r="L194" s="5"/>
      <c r="M194" s="5" t="str">
        <f t="shared" si="183"/>
        <v> </v>
      </c>
      <c r="N194" s="5" t="str">
        <f t="shared" si="184"/>
        <v> </v>
      </c>
      <c r="O194" s="5" t="str">
        <f t="shared" si="185"/>
        <v> </v>
      </c>
      <c r="P194" s="5" t="str">
        <f t="shared" si="186"/>
        <v> </v>
      </c>
      <c r="Q194" s="5" t="str">
        <f t="shared" si="187"/>
        <v> </v>
      </c>
      <c r="R194" s="82" t="str">
        <f t="shared" si="188"/>
        <v> </v>
      </c>
      <c r="S194" s="82" t="str">
        <f t="shared" si="189"/>
        <v> </v>
      </c>
      <c r="T194" s="82" t="str">
        <f t="shared" si="190"/>
        <v> </v>
      </c>
      <c r="U194" s="82" t="str">
        <f t="shared" si="191"/>
        <v> </v>
      </c>
      <c r="V194" s="82" t="str">
        <f t="shared" si="192"/>
        <v> </v>
      </c>
      <c r="W194" s="5"/>
      <c r="X194" s="5"/>
      <c r="Y194" s="5"/>
      <c r="Z194" s="5"/>
      <c r="AA194" s="5"/>
      <c r="AB194" s="5"/>
      <c r="AC194" s="5"/>
    </row>
    <row r="195" ht="14.25" customHeight="1">
      <c r="A195" s="48"/>
      <c r="B195" s="83"/>
      <c r="C195" s="84">
        <v>0.8</v>
      </c>
      <c r="D195" s="85">
        <v>3.0</v>
      </c>
      <c r="E195" s="86">
        <v>2.0</v>
      </c>
      <c r="F195" s="87">
        <f>'1RM'!$C$5*C195</f>
        <v>80</v>
      </c>
      <c r="G195" s="5"/>
      <c r="H195" s="5"/>
      <c r="I195" s="82">
        <f t="shared" si="193"/>
        <v>6</v>
      </c>
      <c r="J195" s="82">
        <f t="shared" si="194"/>
        <v>480</v>
      </c>
      <c r="K195" s="5"/>
      <c r="L195" s="5"/>
      <c r="M195" s="5" t="str">
        <f t="shared" si="183"/>
        <v> </v>
      </c>
      <c r="N195" s="5" t="str">
        <f t="shared" si="184"/>
        <v> </v>
      </c>
      <c r="O195" s="5" t="str">
        <f t="shared" si="185"/>
        <v> </v>
      </c>
      <c r="P195" s="5" t="str">
        <f t="shared" si="186"/>
        <v> </v>
      </c>
      <c r="Q195" s="5" t="str">
        <f t="shared" si="187"/>
        <v> </v>
      </c>
      <c r="R195" s="82" t="str">
        <f t="shared" si="188"/>
        <v> </v>
      </c>
      <c r="S195" s="82" t="str">
        <f t="shared" si="189"/>
        <v> </v>
      </c>
      <c r="T195" s="82" t="str">
        <f t="shared" si="190"/>
        <v> </v>
      </c>
      <c r="U195" s="82" t="str">
        <f t="shared" si="191"/>
        <v> </v>
      </c>
      <c r="V195" s="82" t="str">
        <f t="shared" si="192"/>
        <v> </v>
      </c>
      <c r="W195" s="5"/>
      <c r="X195" s="5"/>
      <c r="Y195" s="5"/>
      <c r="Z195" s="5"/>
      <c r="AA195" s="5"/>
      <c r="AB195" s="5"/>
      <c r="AC195" s="5"/>
    </row>
    <row r="196" ht="14.25" customHeight="1">
      <c r="A196" s="48"/>
      <c r="B196" s="83"/>
      <c r="C196" s="84">
        <v>0.85</v>
      </c>
      <c r="D196" s="85">
        <v>2.0</v>
      </c>
      <c r="E196" s="86">
        <v>3.0</v>
      </c>
      <c r="F196" s="87">
        <f>'1RM'!$C$5*C196</f>
        <v>85</v>
      </c>
      <c r="G196" s="5"/>
      <c r="H196" s="5"/>
      <c r="I196" s="82">
        <f t="shared" si="193"/>
        <v>6</v>
      </c>
      <c r="J196" s="82">
        <f t="shared" si="194"/>
        <v>510</v>
      </c>
      <c r="K196" s="5"/>
      <c r="L196" s="5"/>
      <c r="M196" s="5" t="str">
        <f t="shared" si="183"/>
        <v> </v>
      </c>
      <c r="N196" s="5" t="str">
        <f t="shared" si="184"/>
        <v> </v>
      </c>
      <c r="O196" s="5" t="str">
        <f t="shared" si="185"/>
        <v> </v>
      </c>
      <c r="P196" s="5" t="str">
        <f t="shared" si="186"/>
        <v> </v>
      </c>
      <c r="Q196" s="5" t="str">
        <f t="shared" si="187"/>
        <v> </v>
      </c>
      <c r="R196" s="82" t="str">
        <f t="shared" si="188"/>
        <v> </v>
      </c>
      <c r="S196" s="82" t="str">
        <f t="shared" si="189"/>
        <v> </v>
      </c>
      <c r="T196" s="82" t="str">
        <f t="shared" si="190"/>
        <v> </v>
      </c>
      <c r="U196" s="82" t="str">
        <f t="shared" si="191"/>
        <v> </v>
      </c>
      <c r="V196" s="82" t="str">
        <f t="shared" si="192"/>
        <v> </v>
      </c>
      <c r="W196" s="5"/>
      <c r="X196" s="5"/>
      <c r="Y196" s="5"/>
      <c r="Z196" s="5"/>
      <c r="AA196" s="5"/>
      <c r="AB196" s="5"/>
      <c r="AC196" s="5"/>
    </row>
    <row r="197" ht="14.25" customHeight="1">
      <c r="A197" s="48"/>
      <c r="B197" s="83"/>
      <c r="C197" s="84">
        <v>0.8</v>
      </c>
      <c r="D197" s="85">
        <v>4.0</v>
      </c>
      <c r="E197" s="86">
        <v>2.0</v>
      </c>
      <c r="F197" s="87">
        <f>'1RM'!$C$5*C197</f>
        <v>80</v>
      </c>
      <c r="G197" s="5"/>
      <c r="H197" s="5"/>
      <c r="I197" s="82">
        <f t="shared" si="193"/>
        <v>8</v>
      </c>
      <c r="J197" s="82">
        <f t="shared" si="194"/>
        <v>640</v>
      </c>
      <c r="K197" s="5"/>
      <c r="L197" s="5"/>
      <c r="M197" s="5" t="str">
        <f t="shared" si="183"/>
        <v> </v>
      </c>
      <c r="N197" s="5" t="str">
        <f t="shared" si="184"/>
        <v> </v>
      </c>
      <c r="O197" s="5" t="str">
        <f t="shared" si="185"/>
        <v> </v>
      </c>
      <c r="P197" s="5" t="str">
        <f t="shared" si="186"/>
        <v> </v>
      </c>
      <c r="Q197" s="5" t="str">
        <f t="shared" si="187"/>
        <v> </v>
      </c>
      <c r="R197" s="82" t="str">
        <f t="shared" si="188"/>
        <v> </v>
      </c>
      <c r="S197" s="82" t="str">
        <f t="shared" si="189"/>
        <v> </v>
      </c>
      <c r="T197" s="82" t="str">
        <f t="shared" si="190"/>
        <v> </v>
      </c>
      <c r="U197" s="82" t="str">
        <f t="shared" si="191"/>
        <v> </v>
      </c>
      <c r="V197" s="82" t="str">
        <f t="shared" si="192"/>
        <v> </v>
      </c>
      <c r="W197" s="5"/>
      <c r="X197" s="5"/>
      <c r="Y197" s="5"/>
      <c r="Z197" s="5"/>
      <c r="AA197" s="5"/>
      <c r="AB197" s="5"/>
      <c r="AC197" s="5"/>
    </row>
    <row r="198" ht="14.25" customHeight="1">
      <c r="A198" s="48">
        <v>3.0</v>
      </c>
      <c r="B198" s="66" t="s">
        <v>4</v>
      </c>
      <c r="C198" s="67">
        <v>0.5</v>
      </c>
      <c r="D198" s="72">
        <v>3.0</v>
      </c>
      <c r="E198" s="68">
        <v>1.0</v>
      </c>
      <c r="F198" s="69">
        <f>'1RM'!$C$4*C198</f>
        <v>50</v>
      </c>
      <c r="G198" s="70">
        <f t="shared" ref="G198:G201" si="195">D198*E198</f>
        <v>3</v>
      </c>
      <c r="H198" s="70">
        <f t="shared" ref="H198:H201" si="196">F198*G198</f>
        <v>150</v>
      </c>
      <c r="I198" s="5"/>
      <c r="J198" s="5"/>
      <c r="K198" s="5"/>
      <c r="L198" s="5"/>
      <c r="M198" s="70">
        <f t="shared" si="183"/>
        <v>3</v>
      </c>
      <c r="N198" s="70" t="str">
        <f t="shared" si="184"/>
        <v> </v>
      </c>
      <c r="O198" s="70" t="str">
        <f t="shared" si="185"/>
        <v> </v>
      </c>
      <c r="P198" s="70" t="str">
        <f t="shared" si="186"/>
        <v> </v>
      </c>
      <c r="Q198" s="70" t="str">
        <f t="shared" si="187"/>
        <v> </v>
      </c>
      <c r="R198" s="5" t="str">
        <f t="shared" si="188"/>
        <v> </v>
      </c>
      <c r="S198" s="5" t="str">
        <f t="shared" si="189"/>
        <v> </v>
      </c>
      <c r="T198" s="5" t="str">
        <f t="shared" si="190"/>
        <v> </v>
      </c>
      <c r="U198" s="5" t="str">
        <f t="shared" si="191"/>
        <v> </v>
      </c>
      <c r="V198" s="5" t="str">
        <f t="shared" si="192"/>
        <v> </v>
      </c>
      <c r="W198" s="5"/>
      <c r="X198" s="5"/>
      <c r="Y198" s="5"/>
      <c r="Z198" s="5"/>
      <c r="AA198" s="5"/>
      <c r="AB198" s="5"/>
      <c r="AC198" s="5"/>
    </row>
    <row r="199" ht="14.25" customHeight="1">
      <c r="A199" s="48"/>
      <c r="B199" s="71"/>
      <c r="C199" s="67">
        <v>0.6</v>
      </c>
      <c r="D199" s="72">
        <v>3.0</v>
      </c>
      <c r="E199" s="68">
        <v>1.0</v>
      </c>
      <c r="F199" s="69">
        <f>'1RM'!$C$4*C199</f>
        <v>60</v>
      </c>
      <c r="G199" s="70">
        <f t="shared" si="195"/>
        <v>3</v>
      </c>
      <c r="H199" s="70">
        <f t="shared" si="196"/>
        <v>180</v>
      </c>
      <c r="I199" s="5"/>
      <c r="J199" s="5"/>
      <c r="K199" s="5"/>
      <c r="L199" s="5"/>
      <c r="M199" s="70" t="str">
        <f t="shared" si="183"/>
        <v> </v>
      </c>
      <c r="N199" s="70" t="str">
        <f t="shared" si="184"/>
        <v> </v>
      </c>
      <c r="O199" s="70" t="str">
        <f t="shared" si="185"/>
        <v> </v>
      </c>
      <c r="P199" s="70" t="str">
        <f t="shared" si="186"/>
        <v> </v>
      </c>
      <c r="Q199" s="70" t="str">
        <f t="shared" si="187"/>
        <v> </v>
      </c>
      <c r="R199" s="5" t="str">
        <f t="shared" si="188"/>
        <v> </v>
      </c>
      <c r="S199" s="5" t="str">
        <f t="shared" si="189"/>
        <v> </v>
      </c>
      <c r="T199" s="5" t="str">
        <f t="shared" si="190"/>
        <v> </v>
      </c>
      <c r="U199" s="5" t="str">
        <f t="shared" si="191"/>
        <v> </v>
      </c>
      <c r="V199" s="5" t="str">
        <f t="shared" si="192"/>
        <v> </v>
      </c>
      <c r="W199" s="5"/>
      <c r="X199" s="5"/>
      <c r="Y199" s="5"/>
      <c r="Z199" s="5"/>
      <c r="AA199" s="5"/>
      <c r="AB199" s="5"/>
      <c r="AC199" s="5"/>
    </row>
    <row r="200" ht="14.25" customHeight="1">
      <c r="A200" s="48"/>
      <c r="B200" s="71"/>
      <c r="C200" s="67">
        <v>0.7</v>
      </c>
      <c r="D200" s="72">
        <v>3.0</v>
      </c>
      <c r="E200" s="68">
        <v>1.0</v>
      </c>
      <c r="F200" s="69">
        <f>'1RM'!$C$4*C200</f>
        <v>70</v>
      </c>
      <c r="G200" s="70">
        <f t="shared" si="195"/>
        <v>3</v>
      </c>
      <c r="H200" s="70">
        <f t="shared" si="196"/>
        <v>210</v>
      </c>
      <c r="I200" s="5"/>
      <c r="J200" s="5"/>
      <c r="K200" s="5"/>
      <c r="L200" s="5"/>
      <c r="M200" s="70" t="str">
        <f t="shared" si="183"/>
        <v> </v>
      </c>
      <c r="N200" s="70" t="str">
        <f t="shared" si="184"/>
        <v> </v>
      </c>
      <c r="O200" s="70" t="str">
        <f t="shared" si="185"/>
        <v> </v>
      </c>
      <c r="P200" s="70" t="str">
        <f t="shared" si="186"/>
        <v> </v>
      </c>
      <c r="Q200" s="70" t="str">
        <f t="shared" si="187"/>
        <v> </v>
      </c>
      <c r="R200" s="5" t="str">
        <f t="shared" si="188"/>
        <v> </v>
      </c>
      <c r="S200" s="5" t="str">
        <f t="shared" si="189"/>
        <v> </v>
      </c>
      <c r="T200" s="5" t="str">
        <f t="shared" si="190"/>
        <v> </v>
      </c>
      <c r="U200" s="5" t="str">
        <f t="shared" si="191"/>
        <v> </v>
      </c>
      <c r="V200" s="5" t="str">
        <f t="shared" si="192"/>
        <v> </v>
      </c>
      <c r="W200" s="5"/>
      <c r="X200" s="5"/>
      <c r="Y200" s="5"/>
      <c r="Z200" s="5"/>
      <c r="AA200" s="5"/>
      <c r="AB200" s="5"/>
      <c r="AC200" s="5"/>
    </row>
    <row r="201" ht="14.25" customHeight="1">
      <c r="A201" s="48"/>
      <c r="B201" s="71"/>
      <c r="C201" s="73">
        <v>0.8</v>
      </c>
      <c r="D201" s="74">
        <v>3.0</v>
      </c>
      <c r="E201" s="75">
        <v>4.0</v>
      </c>
      <c r="F201" s="76">
        <f>'1RM'!$C$4*C201</f>
        <v>80</v>
      </c>
      <c r="G201" s="70">
        <f t="shared" si="195"/>
        <v>12</v>
      </c>
      <c r="H201" s="70">
        <f t="shared" si="196"/>
        <v>960</v>
      </c>
      <c r="I201" s="5"/>
      <c r="J201" s="5"/>
      <c r="K201" s="5"/>
      <c r="L201" s="5"/>
      <c r="M201" s="70" t="str">
        <f t="shared" si="183"/>
        <v> </v>
      </c>
      <c r="N201" s="70" t="str">
        <f t="shared" si="184"/>
        <v> </v>
      </c>
      <c r="O201" s="70" t="str">
        <f t="shared" si="185"/>
        <v> </v>
      </c>
      <c r="P201" s="70" t="str">
        <f t="shared" si="186"/>
        <v> </v>
      </c>
      <c r="Q201" s="70" t="str">
        <f t="shared" si="187"/>
        <v> </v>
      </c>
      <c r="R201" s="5" t="str">
        <f t="shared" si="188"/>
        <v> </v>
      </c>
      <c r="S201" s="5" t="str">
        <f t="shared" si="189"/>
        <v> </v>
      </c>
      <c r="T201" s="5" t="str">
        <f t="shared" si="190"/>
        <v> </v>
      </c>
      <c r="U201" s="5" t="str">
        <f t="shared" si="191"/>
        <v> </v>
      </c>
      <c r="V201" s="5" t="str">
        <f t="shared" si="192"/>
        <v> </v>
      </c>
      <c r="W201" s="5"/>
      <c r="X201" s="5"/>
      <c r="Y201" s="5"/>
      <c r="Z201" s="5"/>
      <c r="AA201" s="5"/>
      <c r="AB201" s="5"/>
      <c r="AC201" s="5"/>
    </row>
    <row r="202" ht="14.25" customHeight="1">
      <c r="A202" s="48">
        <v>4.0</v>
      </c>
      <c r="B202" s="88" t="s">
        <v>69</v>
      </c>
      <c r="C202" s="56"/>
      <c r="D202" s="49">
        <v>10.0</v>
      </c>
      <c r="E202" s="49">
        <v>5.0</v>
      </c>
      <c r="F202" s="89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ht="14.25" customHeight="1">
      <c r="A203" s="48">
        <v>5.0</v>
      </c>
      <c r="B203" s="88" t="s">
        <v>60</v>
      </c>
      <c r="C203" s="56"/>
      <c r="D203" s="49">
        <v>10.0</v>
      </c>
      <c r="E203" s="49">
        <v>5.0</v>
      </c>
      <c r="F203" s="89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ht="14.25" customHeight="1">
      <c r="A204" s="48">
        <v>6.0</v>
      </c>
      <c r="B204" s="90" t="s">
        <v>65</v>
      </c>
      <c r="C204" s="91"/>
      <c r="D204" s="92">
        <v>8.0</v>
      </c>
      <c r="E204" s="92">
        <v>4.0</v>
      </c>
      <c r="F204" s="93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ht="14.25" customHeight="1">
      <c r="A205" s="48"/>
      <c r="B205" s="49"/>
      <c r="C205" s="56"/>
      <c r="D205" s="49"/>
      <c r="E205" s="49"/>
      <c r="F205" s="49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ht="14.25" customHeight="1">
      <c r="A206" s="48"/>
      <c r="B206" s="62" t="s">
        <v>57</v>
      </c>
      <c r="C206" s="63" t="s">
        <v>20</v>
      </c>
      <c r="D206" s="64" t="s">
        <v>51</v>
      </c>
      <c r="E206" s="64" t="s">
        <v>52</v>
      </c>
      <c r="F206" s="65" t="s">
        <v>53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ht="14.25" customHeight="1">
      <c r="A207" s="48">
        <v>1.0</v>
      </c>
      <c r="B207" s="94" t="s">
        <v>67</v>
      </c>
      <c r="C207" s="95">
        <v>0.5</v>
      </c>
      <c r="D207" s="96">
        <v>3.0</v>
      </c>
      <c r="E207" s="97">
        <v>1.0</v>
      </c>
      <c r="F207" s="98">
        <f>'1RM'!$C$6*C207</f>
        <v>50</v>
      </c>
      <c r="G207" s="5"/>
      <c r="H207" s="5"/>
      <c r="I207" s="5"/>
      <c r="J207" s="5"/>
      <c r="K207" s="99">
        <f t="shared" ref="K207:K209" si="197">D207*E207</f>
        <v>3</v>
      </c>
      <c r="L207" s="99">
        <f t="shared" ref="L207:L209" si="198">F207*K207</f>
        <v>150</v>
      </c>
      <c r="M207" s="5"/>
      <c r="N207" s="5"/>
      <c r="O207" s="5"/>
      <c r="P207" s="5"/>
      <c r="Q207" s="5"/>
      <c r="R207" s="5" t="str">
        <f t="shared" ref="R207:R220" si="199">IF(ISNUMBER(SEARCH("Press de banca",$B207)),IF($C207&gt;=0.5,IF($C207&lt;0.6,$D207*$E207," ")," ")," ")</f>
        <v> </v>
      </c>
      <c r="S207" s="5" t="str">
        <f t="shared" ref="S207:S220" si="200">IF(ISNUMBER(SEARCH("Press de banca",$B207)),IF($C207&gt;=0.6,IF($C207&lt;0.7,$D207*$E207," ")," ")," ")</f>
        <v> </v>
      </c>
      <c r="T207" s="5" t="str">
        <f t="shared" ref="T207:T220" si="201">IF(ISNUMBER(SEARCH("Press de banca",$B207)),IF($C207&gt;=0.7,IF($C207&lt;0.8,$D207*$E207," ")," ")," ")</f>
        <v> </v>
      </c>
      <c r="U207" s="5" t="str">
        <f t="shared" ref="U207:U220" si="202">IF(ISNUMBER(SEARCH("Press de banca",$B207)),IF($C207&gt;=0.8,IF($C207&lt;0.9,$D207*$E207," ")," ")," ")</f>
        <v> </v>
      </c>
      <c r="V207" s="5" t="str">
        <f t="shared" ref="V207:V220" si="203">IF(ISNUMBER(SEARCH("Press de banca",$B207)),IF($C207&gt;=0.9,$D207*$E207," ")," ")</f>
        <v> </v>
      </c>
      <c r="W207" s="100">
        <f t="shared" ref="W207:W220" si="204">IF(ISNUMBER(SEARCH("Peso muerto",$B207)),IF($C207&gt;=0.5,IF($C207&lt;0.6,$D207*$E207," ")," ")," ")</f>
        <v>3</v>
      </c>
      <c r="X207" s="100" t="str">
        <f t="shared" ref="X207:X220" si="205">IF(ISNUMBER(SEARCH("Peso muerto",$B207)),IF($C207&gt;=0.6,IF($C207&lt;0.7,$D207*$E207," ")," ")," ")</f>
        <v> </v>
      </c>
      <c r="Y207" s="100" t="str">
        <f t="shared" ref="Y207:Y220" si="206">IF(ISNUMBER(SEARCH("Peso muerto",$B207)),IF($C207&gt;=0.7,IF($C207&lt;0.8,$D207*$E207," ")," ")," ")</f>
        <v> </v>
      </c>
      <c r="Z207" s="100" t="str">
        <f t="shared" ref="Z207:Z220" si="207">IF(ISNUMBER(SEARCH("Peso muerto",$B207)),IF($C207&gt;=0.8,IF($C207&lt;0.9,$D207*$E207," ")," ")," ")</f>
        <v> </v>
      </c>
      <c r="AA207" s="100" t="str">
        <f t="shared" ref="AA207:AA220" si="208">IF(ISNUMBER(SEARCH("Peso muerto",$B207)),IF($C207&gt;=0.9,$D207*$E207," ")," ")</f>
        <v> </v>
      </c>
      <c r="AB207" s="5"/>
      <c r="AC207" s="5"/>
    </row>
    <row r="208" ht="14.25" customHeight="1">
      <c r="A208" s="48"/>
      <c r="B208" s="105"/>
      <c r="C208" s="95">
        <v>0.6</v>
      </c>
      <c r="D208" s="96">
        <v>3.0</v>
      </c>
      <c r="E208" s="97">
        <v>1.0</v>
      </c>
      <c r="F208" s="98">
        <f>'1RM'!$C$6*C208</f>
        <v>60</v>
      </c>
      <c r="G208" s="5"/>
      <c r="H208" s="5"/>
      <c r="I208" s="5"/>
      <c r="J208" s="5"/>
      <c r="K208" s="99">
        <f t="shared" si="197"/>
        <v>3</v>
      </c>
      <c r="L208" s="99">
        <f t="shared" si="198"/>
        <v>180</v>
      </c>
      <c r="M208" s="5"/>
      <c r="N208" s="5"/>
      <c r="O208" s="5"/>
      <c r="P208" s="5"/>
      <c r="Q208" s="5"/>
      <c r="R208" s="5" t="str">
        <f t="shared" si="199"/>
        <v> </v>
      </c>
      <c r="S208" s="5" t="str">
        <f t="shared" si="200"/>
        <v> </v>
      </c>
      <c r="T208" s="5" t="str">
        <f t="shared" si="201"/>
        <v> </v>
      </c>
      <c r="U208" s="5" t="str">
        <f t="shared" si="202"/>
        <v> </v>
      </c>
      <c r="V208" s="5" t="str">
        <f t="shared" si="203"/>
        <v> </v>
      </c>
      <c r="W208" s="100" t="str">
        <f t="shared" si="204"/>
        <v> </v>
      </c>
      <c r="X208" s="100" t="str">
        <f t="shared" si="205"/>
        <v> </v>
      </c>
      <c r="Y208" s="100" t="str">
        <f t="shared" si="206"/>
        <v> </v>
      </c>
      <c r="Z208" s="100" t="str">
        <f t="shared" si="207"/>
        <v> </v>
      </c>
      <c r="AA208" s="100" t="str">
        <f t="shared" si="208"/>
        <v> </v>
      </c>
      <c r="AB208" s="5"/>
      <c r="AC208" s="5"/>
    </row>
    <row r="209" ht="14.25" customHeight="1">
      <c r="A209" s="48"/>
      <c r="B209" s="105"/>
      <c r="C209" s="101">
        <v>0.7</v>
      </c>
      <c r="D209" s="102">
        <v>2.0</v>
      </c>
      <c r="E209" s="103">
        <v>4.0</v>
      </c>
      <c r="F209" s="104">
        <f>'1RM'!$C$6*C209</f>
        <v>70</v>
      </c>
      <c r="G209" s="5"/>
      <c r="H209" s="5"/>
      <c r="I209" s="5"/>
      <c r="J209" s="5"/>
      <c r="K209" s="99">
        <f t="shared" si="197"/>
        <v>8</v>
      </c>
      <c r="L209" s="99">
        <f t="shared" si="198"/>
        <v>560</v>
      </c>
      <c r="M209" s="5"/>
      <c r="N209" s="5"/>
      <c r="O209" s="5"/>
      <c r="P209" s="5"/>
      <c r="Q209" s="5"/>
      <c r="R209" s="5" t="str">
        <f t="shared" si="199"/>
        <v> </v>
      </c>
      <c r="S209" s="5" t="str">
        <f t="shared" si="200"/>
        <v> </v>
      </c>
      <c r="T209" s="5" t="str">
        <f t="shared" si="201"/>
        <v> </v>
      </c>
      <c r="U209" s="5" t="str">
        <f t="shared" si="202"/>
        <v> </v>
      </c>
      <c r="V209" s="5" t="str">
        <f t="shared" si="203"/>
        <v> </v>
      </c>
      <c r="W209" s="100" t="str">
        <f t="shared" si="204"/>
        <v> </v>
      </c>
      <c r="X209" s="100" t="str">
        <f t="shared" si="205"/>
        <v> </v>
      </c>
      <c r="Y209" s="100" t="str">
        <f t="shared" si="206"/>
        <v> </v>
      </c>
      <c r="Z209" s="100" t="str">
        <f t="shared" si="207"/>
        <v> </v>
      </c>
      <c r="AA209" s="100" t="str">
        <f t="shared" si="208"/>
        <v> </v>
      </c>
      <c r="AB209" s="5"/>
      <c r="AC209" s="5"/>
    </row>
    <row r="210" ht="14.25" customHeight="1">
      <c r="A210" s="48">
        <v>2.0</v>
      </c>
      <c r="B210" s="77" t="s">
        <v>64</v>
      </c>
      <c r="C210" s="78">
        <v>0.6</v>
      </c>
      <c r="D210" s="79">
        <v>3.0</v>
      </c>
      <c r="E210" s="80">
        <v>1.0</v>
      </c>
      <c r="F210" s="81">
        <f>'1RM'!$C$5*C210</f>
        <v>60</v>
      </c>
      <c r="G210" s="5"/>
      <c r="H210" s="5"/>
      <c r="I210" s="82">
        <f t="shared" ref="I210:I215" si="209">D210*E210</f>
        <v>3</v>
      </c>
      <c r="J210" s="82">
        <f t="shared" ref="J210:J215" si="210">F210*I210</f>
        <v>180</v>
      </c>
      <c r="K210" s="5"/>
      <c r="L210" s="5"/>
      <c r="M210" s="5"/>
      <c r="N210" s="5"/>
      <c r="O210" s="5"/>
      <c r="P210" s="5"/>
      <c r="Q210" s="5"/>
      <c r="R210" s="82" t="str">
        <f t="shared" si="199"/>
        <v> </v>
      </c>
      <c r="S210" s="82">
        <f t="shared" si="200"/>
        <v>3</v>
      </c>
      <c r="T210" s="82" t="str">
        <f t="shared" si="201"/>
        <v> </v>
      </c>
      <c r="U210" s="82" t="str">
        <f t="shared" si="202"/>
        <v> </v>
      </c>
      <c r="V210" s="82" t="str">
        <f t="shared" si="203"/>
        <v> </v>
      </c>
      <c r="W210" s="5" t="str">
        <f t="shared" si="204"/>
        <v> </v>
      </c>
      <c r="X210" s="5" t="str">
        <f t="shared" si="205"/>
        <v> </v>
      </c>
      <c r="Y210" s="5" t="str">
        <f t="shared" si="206"/>
        <v> </v>
      </c>
      <c r="Z210" s="5" t="str">
        <f t="shared" si="207"/>
        <v> </v>
      </c>
      <c r="AA210" s="5" t="str">
        <f t="shared" si="208"/>
        <v> </v>
      </c>
      <c r="AB210" s="5"/>
      <c r="AC210" s="5"/>
    </row>
    <row r="211" ht="14.25" customHeight="1">
      <c r="A211" s="48"/>
      <c r="B211" s="83"/>
      <c r="C211" s="78">
        <v>0.7</v>
      </c>
      <c r="D211" s="79">
        <v>3.0</v>
      </c>
      <c r="E211" s="80">
        <v>1.0</v>
      </c>
      <c r="F211" s="81">
        <f>'1RM'!$C$5*C211</f>
        <v>70</v>
      </c>
      <c r="G211" s="5"/>
      <c r="H211" s="5"/>
      <c r="I211" s="82">
        <f t="shared" si="209"/>
        <v>3</v>
      </c>
      <c r="J211" s="82">
        <f t="shared" si="210"/>
        <v>210</v>
      </c>
      <c r="K211" s="5"/>
      <c r="L211" s="5"/>
      <c r="M211" s="5"/>
      <c r="N211" s="5"/>
      <c r="O211" s="5"/>
      <c r="P211" s="5"/>
      <c r="Q211" s="5"/>
      <c r="R211" s="82" t="str">
        <f t="shared" si="199"/>
        <v> </v>
      </c>
      <c r="S211" s="82" t="str">
        <f t="shared" si="200"/>
        <v> </v>
      </c>
      <c r="T211" s="82" t="str">
        <f t="shared" si="201"/>
        <v> </v>
      </c>
      <c r="U211" s="82" t="str">
        <f t="shared" si="202"/>
        <v> </v>
      </c>
      <c r="V211" s="82" t="str">
        <f t="shared" si="203"/>
        <v> </v>
      </c>
      <c r="W211" s="5" t="str">
        <f t="shared" si="204"/>
        <v> </v>
      </c>
      <c r="X211" s="5" t="str">
        <f t="shared" si="205"/>
        <v> </v>
      </c>
      <c r="Y211" s="5" t="str">
        <f t="shared" si="206"/>
        <v> </v>
      </c>
      <c r="Z211" s="5" t="str">
        <f t="shared" si="207"/>
        <v> </v>
      </c>
      <c r="AA211" s="5" t="str">
        <f t="shared" si="208"/>
        <v> </v>
      </c>
      <c r="AB211" s="5"/>
      <c r="AC211" s="5"/>
    </row>
    <row r="212" ht="14.25" customHeight="1">
      <c r="A212" s="48"/>
      <c r="B212" s="83"/>
      <c r="C212" s="78">
        <v>0.8</v>
      </c>
      <c r="D212" s="79">
        <v>3.0</v>
      </c>
      <c r="E212" s="80">
        <v>1.0</v>
      </c>
      <c r="F212" s="81">
        <f>'1RM'!$C$5*C212</f>
        <v>80</v>
      </c>
      <c r="G212" s="5"/>
      <c r="H212" s="5"/>
      <c r="I212" s="82">
        <f t="shared" si="209"/>
        <v>3</v>
      </c>
      <c r="J212" s="82">
        <f t="shared" si="210"/>
        <v>240</v>
      </c>
      <c r="K212" s="5"/>
      <c r="L212" s="5"/>
      <c r="M212" s="5"/>
      <c r="N212" s="5"/>
      <c r="O212" s="5"/>
      <c r="P212" s="5"/>
      <c r="Q212" s="5"/>
      <c r="R212" s="82" t="str">
        <f t="shared" si="199"/>
        <v> </v>
      </c>
      <c r="S212" s="82" t="str">
        <f t="shared" si="200"/>
        <v> </v>
      </c>
      <c r="T212" s="82" t="str">
        <f t="shared" si="201"/>
        <v> </v>
      </c>
      <c r="U212" s="82" t="str">
        <f t="shared" si="202"/>
        <v> </v>
      </c>
      <c r="V212" s="82" t="str">
        <f t="shared" si="203"/>
        <v> </v>
      </c>
      <c r="W212" s="5" t="str">
        <f t="shared" si="204"/>
        <v> </v>
      </c>
      <c r="X212" s="5" t="str">
        <f t="shared" si="205"/>
        <v> </v>
      </c>
      <c r="Y212" s="5" t="str">
        <f t="shared" si="206"/>
        <v> </v>
      </c>
      <c r="Z212" s="5" t="str">
        <f t="shared" si="207"/>
        <v> </v>
      </c>
      <c r="AA212" s="5" t="str">
        <f t="shared" si="208"/>
        <v> </v>
      </c>
      <c r="AB212" s="5"/>
      <c r="AC212" s="5"/>
    </row>
    <row r="213" ht="14.25" customHeight="1">
      <c r="A213" s="48"/>
      <c r="B213" s="83"/>
      <c r="C213" s="78">
        <v>0.85</v>
      </c>
      <c r="D213" s="79">
        <v>3.0</v>
      </c>
      <c r="E213" s="80">
        <v>1.0</v>
      </c>
      <c r="F213" s="81">
        <f>'1RM'!$C$5*C213</f>
        <v>85</v>
      </c>
      <c r="G213" s="5"/>
      <c r="H213" s="5"/>
      <c r="I213" s="82">
        <f t="shared" si="209"/>
        <v>3</v>
      </c>
      <c r="J213" s="82">
        <f t="shared" si="210"/>
        <v>255</v>
      </c>
      <c r="K213" s="5"/>
      <c r="L213" s="5"/>
      <c r="M213" s="5"/>
      <c r="N213" s="5"/>
      <c r="O213" s="5"/>
      <c r="P213" s="5"/>
      <c r="Q213" s="5"/>
      <c r="R213" s="82" t="str">
        <f t="shared" si="199"/>
        <v> </v>
      </c>
      <c r="S213" s="82" t="str">
        <f t="shared" si="200"/>
        <v> </v>
      </c>
      <c r="T213" s="82" t="str">
        <f t="shared" si="201"/>
        <v> </v>
      </c>
      <c r="U213" s="82" t="str">
        <f t="shared" si="202"/>
        <v> </v>
      </c>
      <c r="V213" s="82" t="str">
        <f t="shared" si="203"/>
        <v> </v>
      </c>
      <c r="W213" s="5" t="str">
        <f t="shared" si="204"/>
        <v> </v>
      </c>
      <c r="X213" s="5" t="str">
        <f t="shared" si="205"/>
        <v> </v>
      </c>
      <c r="Y213" s="5" t="str">
        <f t="shared" si="206"/>
        <v> </v>
      </c>
      <c r="Z213" s="5" t="str">
        <f t="shared" si="207"/>
        <v> </v>
      </c>
      <c r="AA213" s="5" t="str">
        <f t="shared" si="208"/>
        <v> </v>
      </c>
      <c r="AB213" s="5"/>
      <c r="AC213" s="5"/>
    </row>
    <row r="214" ht="14.25" customHeight="1">
      <c r="A214" s="48"/>
      <c r="B214" s="83"/>
      <c r="C214" s="84">
        <v>0.9</v>
      </c>
      <c r="D214" s="85">
        <v>2.0</v>
      </c>
      <c r="E214" s="86">
        <v>2.0</v>
      </c>
      <c r="F214" s="87">
        <f>'1RM'!$C$5*C214</f>
        <v>90</v>
      </c>
      <c r="G214" s="5"/>
      <c r="H214" s="5"/>
      <c r="I214" s="82">
        <f t="shared" si="209"/>
        <v>4</v>
      </c>
      <c r="J214" s="82">
        <f t="shared" si="210"/>
        <v>360</v>
      </c>
      <c r="K214" s="5"/>
      <c r="L214" s="5"/>
      <c r="M214" s="5"/>
      <c r="N214" s="5"/>
      <c r="O214" s="5"/>
      <c r="P214" s="5"/>
      <c r="Q214" s="5"/>
      <c r="R214" s="82" t="str">
        <f t="shared" si="199"/>
        <v> </v>
      </c>
      <c r="S214" s="82" t="str">
        <f t="shared" si="200"/>
        <v> </v>
      </c>
      <c r="T214" s="82" t="str">
        <f t="shared" si="201"/>
        <v> </v>
      </c>
      <c r="U214" s="82" t="str">
        <f t="shared" si="202"/>
        <v> </v>
      </c>
      <c r="V214" s="82" t="str">
        <f t="shared" si="203"/>
        <v> </v>
      </c>
      <c r="W214" s="5" t="str">
        <f t="shared" si="204"/>
        <v> </v>
      </c>
      <c r="X214" s="5" t="str">
        <f t="shared" si="205"/>
        <v> </v>
      </c>
      <c r="Y214" s="5" t="str">
        <f t="shared" si="206"/>
        <v> </v>
      </c>
      <c r="Z214" s="5" t="str">
        <f t="shared" si="207"/>
        <v> </v>
      </c>
      <c r="AA214" s="5" t="str">
        <f t="shared" si="208"/>
        <v> </v>
      </c>
      <c r="AB214" s="5"/>
      <c r="AC214" s="5"/>
    </row>
    <row r="215" ht="14.25" customHeight="1">
      <c r="A215" s="48"/>
      <c r="B215" s="83"/>
      <c r="C215" s="84">
        <v>0.95</v>
      </c>
      <c r="D215" s="85">
        <v>1.0</v>
      </c>
      <c r="E215" s="86">
        <v>2.0</v>
      </c>
      <c r="F215" s="87">
        <f>'1RM'!$C$5*C215</f>
        <v>95</v>
      </c>
      <c r="G215" s="5"/>
      <c r="H215" s="5"/>
      <c r="I215" s="82">
        <f t="shared" si="209"/>
        <v>2</v>
      </c>
      <c r="J215" s="82">
        <f t="shared" si="210"/>
        <v>190</v>
      </c>
      <c r="K215" s="5"/>
      <c r="L215" s="5"/>
      <c r="M215" s="5"/>
      <c r="N215" s="5"/>
      <c r="O215" s="5"/>
      <c r="P215" s="5"/>
      <c r="Q215" s="5"/>
      <c r="R215" s="82" t="str">
        <f t="shared" si="199"/>
        <v> </v>
      </c>
      <c r="S215" s="82" t="str">
        <f t="shared" si="200"/>
        <v> </v>
      </c>
      <c r="T215" s="82" t="str">
        <f t="shared" si="201"/>
        <v> </v>
      </c>
      <c r="U215" s="82" t="str">
        <f t="shared" si="202"/>
        <v> </v>
      </c>
      <c r="V215" s="82" t="str">
        <f t="shared" si="203"/>
        <v> </v>
      </c>
      <c r="W215" s="5" t="str">
        <f t="shared" si="204"/>
        <v> </v>
      </c>
      <c r="X215" s="5" t="str">
        <f t="shared" si="205"/>
        <v> </v>
      </c>
      <c r="Y215" s="5" t="str">
        <f t="shared" si="206"/>
        <v> </v>
      </c>
      <c r="Z215" s="5" t="str">
        <f t="shared" si="207"/>
        <v> </v>
      </c>
      <c r="AA215" s="5" t="str">
        <f t="shared" si="208"/>
        <v> </v>
      </c>
      <c r="AB215" s="5"/>
      <c r="AC215" s="5"/>
    </row>
    <row r="216" ht="14.25" customHeight="1">
      <c r="A216" s="48">
        <v>3.0</v>
      </c>
      <c r="B216" s="94" t="s">
        <v>68</v>
      </c>
      <c r="C216" s="95">
        <v>0.6</v>
      </c>
      <c r="D216" s="96">
        <v>3.0</v>
      </c>
      <c r="E216" s="97">
        <v>1.0</v>
      </c>
      <c r="F216" s="98">
        <f>'1RM'!$C$6*C216</f>
        <v>60</v>
      </c>
      <c r="G216" s="5"/>
      <c r="H216" s="5"/>
      <c r="I216" s="5"/>
      <c r="J216" s="5"/>
      <c r="K216" s="99">
        <f t="shared" ref="K216:K220" si="211">D216*E216</f>
        <v>3</v>
      </c>
      <c r="L216" s="99">
        <f t="shared" ref="L216:L220" si="212">F216*K216</f>
        <v>180</v>
      </c>
      <c r="M216" s="5"/>
      <c r="N216" s="5"/>
      <c r="O216" s="5"/>
      <c r="P216" s="5"/>
      <c r="Q216" s="5"/>
      <c r="R216" s="5" t="str">
        <f t="shared" si="199"/>
        <v> </v>
      </c>
      <c r="S216" s="5" t="str">
        <f t="shared" si="200"/>
        <v> </v>
      </c>
      <c r="T216" s="5" t="str">
        <f t="shared" si="201"/>
        <v> </v>
      </c>
      <c r="U216" s="5" t="str">
        <f t="shared" si="202"/>
        <v> </v>
      </c>
      <c r="V216" s="5" t="str">
        <f t="shared" si="203"/>
        <v> </v>
      </c>
      <c r="W216" s="100" t="str">
        <f t="shared" si="204"/>
        <v> </v>
      </c>
      <c r="X216" s="100">
        <f t="shared" si="205"/>
        <v>3</v>
      </c>
      <c r="Y216" s="100" t="str">
        <f t="shared" si="206"/>
        <v> </v>
      </c>
      <c r="Z216" s="100" t="str">
        <f t="shared" si="207"/>
        <v> </v>
      </c>
      <c r="AA216" s="100" t="str">
        <f t="shared" si="208"/>
        <v> </v>
      </c>
      <c r="AB216" s="5"/>
      <c r="AC216" s="5"/>
    </row>
    <row r="217" ht="14.25" customHeight="1">
      <c r="A217" s="48"/>
      <c r="B217" s="105"/>
      <c r="C217" s="95">
        <v>0.7</v>
      </c>
      <c r="D217" s="96">
        <v>3.0</v>
      </c>
      <c r="E217" s="97">
        <v>1.0</v>
      </c>
      <c r="F217" s="98">
        <f>'1RM'!$C$6*C217</f>
        <v>70</v>
      </c>
      <c r="G217" s="5"/>
      <c r="H217" s="5"/>
      <c r="I217" s="5"/>
      <c r="J217" s="5"/>
      <c r="K217" s="99">
        <f t="shared" si="211"/>
        <v>3</v>
      </c>
      <c r="L217" s="99">
        <f t="shared" si="212"/>
        <v>210</v>
      </c>
      <c r="M217" s="5"/>
      <c r="N217" s="5"/>
      <c r="O217" s="5"/>
      <c r="P217" s="5"/>
      <c r="Q217" s="5"/>
      <c r="R217" s="5" t="str">
        <f t="shared" si="199"/>
        <v> </v>
      </c>
      <c r="S217" s="5" t="str">
        <f t="shared" si="200"/>
        <v> </v>
      </c>
      <c r="T217" s="5" t="str">
        <f t="shared" si="201"/>
        <v> </v>
      </c>
      <c r="U217" s="5" t="str">
        <f t="shared" si="202"/>
        <v> </v>
      </c>
      <c r="V217" s="5" t="str">
        <f t="shared" si="203"/>
        <v> </v>
      </c>
      <c r="W217" s="100" t="str">
        <f t="shared" si="204"/>
        <v> </v>
      </c>
      <c r="X217" s="100" t="str">
        <f t="shared" si="205"/>
        <v> </v>
      </c>
      <c r="Y217" s="100" t="str">
        <f t="shared" si="206"/>
        <v> </v>
      </c>
      <c r="Z217" s="100" t="str">
        <f t="shared" si="207"/>
        <v> </v>
      </c>
      <c r="AA217" s="100" t="str">
        <f t="shared" si="208"/>
        <v> </v>
      </c>
      <c r="AB217" s="5"/>
      <c r="AC217" s="5"/>
    </row>
    <row r="218" ht="14.25" customHeight="1">
      <c r="A218" s="48"/>
      <c r="B218" s="105"/>
      <c r="C218" s="101">
        <v>0.8</v>
      </c>
      <c r="D218" s="102">
        <v>3.0</v>
      </c>
      <c r="E218" s="103">
        <v>2.0</v>
      </c>
      <c r="F218" s="104">
        <f>'1RM'!$C$6*C218</f>
        <v>80</v>
      </c>
      <c r="G218" s="5"/>
      <c r="H218" s="5"/>
      <c r="I218" s="5"/>
      <c r="J218" s="5"/>
      <c r="K218" s="99">
        <f t="shared" si="211"/>
        <v>6</v>
      </c>
      <c r="L218" s="99">
        <f t="shared" si="212"/>
        <v>480</v>
      </c>
      <c r="M218" s="5"/>
      <c r="N218" s="5"/>
      <c r="O218" s="5"/>
      <c r="P218" s="5"/>
      <c r="Q218" s="5"/>
      <c r="R218" s="5" t="str">
        <f t="shared" si="199"/>
        <v> </v>
      </c>
      <c r="S218" s="5" t="str">
        <f t="shared" si="200"/>
        <v> </v>
      </c>
      <c r="T218" s="5" t="str">
        <f t="shared" si="201"/>
        <v> </v>
      </c>
      <c r="U218" s="5" t="str">
        <f t="shared" si="202"/>
        <v> </v>
      </c>
      <c r="V218" s="5" t="str">
        <f t="shared" si="203"/>
        <v> </v>
      </c>
      <c r="W218" s="100" t="str">
        <f t="shared" si="204"/>
        <v> </v>
      </c>
      <c r="X218" s="100" t="str">
        <f t="shared" si="205"/>
        <v> </v>
      </c>
      <c r="Y218" s="100" t="str">
        <f t="shared" si="206"/>
        <v> </v>
      </c>
      <c r="Z218" s="100" t="str">
        <f t="shared" si="207"/>
        <v> </v>
      </c>
      <c r="AA218" s="100" t="str">
        <f t="shared" si="208"/>
        <v> </v>
      </c>
      <c r="AB218" s="5"/>
      <c r="AC218" s="5"/>
    </row>
    <row r="219" ht="14.25" customHeight="1">
      <c r="A219" s="48"/>
      <c r="B219" s="105"/>
      <c r="C219" s="101">
        <v>0.9</v>
      </c>
      <c r="D219" s="102">
        <v>2.0</v>
      </c>
      <c r="E219" s="103">
        <v>2.0</v>
      </c>
      <c r="F219" s="104">
        <f>'1RM'!$C$6*C219</f>
        <v>90</v>
      </c>
      <c r="G219" s="5"/>
      <c r="H219" s="5"/>
      <c r="I219" s="5"/>
      <c r="J219" s="5"/>
      <c r="K219" s="99">
        <f t="shared" si="211"/>
        <v>4</v>
      </c>
      <c r="L219" s="99">
        <f t="shared" si="212"/>
        <v>360</v>
      </c>
      <c r="M219" s="5"/>
      <c r="N219" s="5"/>
      <c r="O219" s="5"/>
      <c r="P219" s="5"/>
      <c r="Q219" s="5"/>
      <c r="R219" s="5" t="str">
        <f t="shared" si="199"/>
        <v> </v>
      </c>
      <c r="S219" s="5" t="str">
        <f t="shared" si="200"/>
        <v> </v>
      </c>
      <c r="T219" s="5" t="str">
        <f t="shared" si="201"/>
        <v> </v>
      </c>
      <c r="U219" s="5" t="str">
        <f t="shared" si="202"/>
        <v> </v>
      </c>
      <c r="V219" s="5" t="str">
        <f t="shared" si="203"/>
        <v> </v>
      </c>
      <c r="W219" s="100" t="str">
        <f t="shared" si="204"/>
        <v> </v>
      </c>
      <c r="X219" s="100" t="str">
        <f t="shared" si="205"/>
        <v> </v>
      </c>
      <c r="Y219" s="100" t="str">
        <f t="shared" si="206"/>
        <v> </v>
      </c>
      <c r="Z219" s="100" t="str">
        <f t="shared" si="207"/>
        <v> </v>
      </c>
      <c r="AA219" s="100" t="str">
        <f t="shared" si="208"/>
        <v> </v>
      </c>
      <c r="AB219" s="5"/>
      <c r="AC219" s="5"/>
    </row>
    <row r="220" ht="14.25" customHeight="1">
      <c r="A220" s="48"/>
      <c r="B220" s="105"/>
      <c r="C220" s="101">
        <v>0.95</v>
      </c>
      <c r="D220" s="102">
        <v>1.0</v>
      </c>
      <c r="E220" s="103">
        <v>2.0</v>
      </c>
      <c r="F220" s="104">
        <f>'1RM'!$C$6*C220</f>
        <v>95</v>
      </c>
      <c r="G220" s="5"/>
      <c r="H220" s="5"/>
      <c r="I220" s="5"/>
      <c r="J220" s="5"/>
      <c r="K220" s="99">
        <f t="shared" si="211"/>
        <v>2</v>
      </c>
      <c r="L220" s="99">
        <f t="shared" si="212"/>
        <v>190</v>
      </c>
      <c r="M220" s="5"/>
      <c r="N220" s="5"/>
      <c r="O220" s="5"/>
      <c r="P220" s="5"/>
      <c r="Q220" s="5"/>
      <c r="R220" s="5" t="str">
        <f t="shared" si="199"/>
        <v> </v>
      </c>
      <c r="S220" s="5" t="str">
        <f t="shared" si="200"/>
        <v> </v>
      </c>
      <c r="T220" s="5" t="str">
        <f t="shared" si="201"/>
        <v> </v>
      </c>
      <c r="U220" s="5" t="str">
        <f t="shared" si="202"/>
        <v> </v>
      </c>
      <c r="V220" s="5" t="str">
        <f t="shared" si="203"/>
        <v> </v>
      </c>
      <c r="W220" s="100" t="str">
        <f t="shared" si="204"/>
        <v> </v>
      </c>
      <c r="X220" s="100" t="str">
        <f t="shared" si="205"/>
        <v> </v>
      </c>
      <c r="Y220" s="100" t="str">
        <f t="shared" si="206"/>
        <v> </v>
      </c>
      <c r="Z220" s="100" t="str">
        <f t="shared" si="207"/>
        <v> </v>
      </c>
      <c r="AA220" s="100" t="str">
        <f t="shared" si="208"/>
        <v> </v>
      </c>
      <c r="AB220" s="5"/>
      <c r="AC220" s="5"/>
    </row>
    <row r="221" ht="14.25" customHeight="1">
      <c r="A221" s="48">
        <v>4.0</v>
      </c>
      <c r="B221" s="88" t="s">
        <v>55</v>
      </c>
      <c r="C221" s="56"/>
      <c r="D221" s="49">
        <v>10.0</v>
      </c>
      <c r="E221" s="49">
        <v>5.0</v>
      </c>
      <c r="F221" s="89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ht="14.25" customHeight="1">
      <c r="A222" s="48">
        <v>5.0</v>
      </c>
      <c r="B222" s="90" t="s">
        <v>72</v>
      </c>
      <c r="C222" s="91"/>
      <c r="D222" s="92">
        <v>10.0</v>
      </c>
      <c r="E222" s="92">
        <v>5.0</v>
      </c>
      <c r="F222" s="93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ht="14.25" customHeight="1">
      <c r="A223" s="48"/>
      <c r="B223" s="49"/>
      <c r="C223" s="56"/>
      <c r="D223" s="49"/>
      <c r="E223" s="49"/>
      <c r="F223" s="49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ht="14.25" customHeight="1">
      <c r="A224" s="48"/>
      <c r="B224" s="62" t="s">
        <v>62</v>
      </c>
      <c r="C224" s="63" t="s">
        <v>20</v>
      </c>
      <c r="D224" s="64" t="s">
        <v>51</v>
      </c>
      <c r="E224" s="64" t="s">
        <v>52</v>
      </c>
      <c r="F224" s="65" t="s">
        <v>53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ht="14.25" customHeight="1">
      <c r="A225" s="48">
        <v>1.0</v>
      </c>
      <c r="B225" s="77" t="s">
        <v>5</v>
      </c>
      <c r="C225" s="78">
        <v>0.5</v>
      </c>
      <c r="D225" s="79">
        <v>5.0</v>
      </c>
      <c r="E225" s="80">
        <v>1.0</v>
      </c>
      <c r="F225" s="81">
        <f>'1RM'!$C$5*C225</f>
        <v>50</v>
      </c>
      <c r="G225" s="5"/>
      <c r="H225" s="5"/>
      <c r="I225" s="82">
        <f t="shared" ref="I225:I228" si="213">D225*E225</f>
        <v>5</v>
      </c>
      <c r="J225" s="82">
        <f t="shared" ref="J225:J228" si="214">F225*I225</f>
        <v>250</v>
      </c>
      <c r="K225" s="5"/>
      <c r="L225" s="5"/>
      <c r="M225" s="5" t="str">
        <f t="shared" ref="M225:M236" si="215">IF(ISNUMBER(SEARCH("Sentadilla",$B225)),IF($C225&gt;=0.5,IF($C225&lt;0.6,$D225*$E225," ")," ")," ")</f>
        <v> </v>
      </c>
      <c r="N225" s="5" t="str">
        <f t="shared" ref="N225:N236" si="216">IF(ISNUMBER(SEARCH("Sentadilla",$B225)),IF($C225&gt;=0.6,IF($C225&lt;0.7,$D225*$E225," ")," ")," ")</f>
        <v> </v>
      </c>
      <c r="O225" s="5" t="str">
        <f t="shared" ref="O225:O236" si="217">IF(ISNUMBER(SEARCH("Sentadilla",$B225)),IF($C225&gt;=0.7,IF($C225&lt;0.8,$D225*$E225," ")," ")," ")</f>
        <v> </v>
      </c>
      <c r="P225" s="5" t="str">
        <f t="shared" ref="P225:P236" si="218">IF(ISNUMBER(SEARCH("Sentadilla",$B225)),IF($C225&gt;=0.8,IF($C225&lt;0.9,$D225*$E225," ")," ")," ")</f>
        <v> </v>
      </c>
      <c r="Q225" s="5" t="str">
        <f t="shared" ref="Q225:Q236" si="219">IF(ISNUMBER(SEARCH("Sentadilla",$B225)),IF($C225&gt;=0.9,$D225*$E225," ")," ")</f>
        <v> </v>
      </c>
      <c r="R225" s="82">
        <f t="shared" ref="R225:R236" si="220">IF(ISNUMBER(SEARCH("Press de banca",$B225)),IF($C225&gt;=0.5,IF($C225&lt;0.6,$D225*$E225," ")," ")," ")</f>
        <v>5</v>
      </c>
      <c r="S225" s="82" t="str">
        <f t="shared" ref="S225:S236" si="221">IF(ISNUMBER(SEARCH("Press de banca",$B225)),IF($C225&gt;=0.6,IF($C225&lt;0.7,$D225*$E225," ")," ")," ")</f>
        <v> </v>
      </c>
      <c r="T225" s="82" t="str">
        <f t="shared" ref="T225:T236" si="222">IF(ISNUMBER(SEARCH("Press de banca",$B225)),IF($C225&gt;=0.7,IF($C225&lt;0.8,$D225*$E225," ")," ")," ")</f>
        <v> </v>
      </c>
      <c r="U225" s="82" t="str">
        <f t="shared" ref="U225:U236" si="223">IF(ISNUMBER(SEARCH("Press de banca",$B225)),IF($C225&gt;=0.8,IF($C225&lt;0.9,$D225*$E225," ")," ")," ")</f>
        <v> </v>
      </c>
      <c r="V225" s="82" t="str">
        <f t="shared" ref="V225:V236" si="224">IF(ISNUMBER(SEARCH("Press de banca",$B225)),IF($C225&gt;=0.9,$D225*$E225," ")," ")</f>
        <v> </v>
      </c>
      <c r="W225" s="5"/>
      <c r="X225" s="5"/>
      <c r="Y225" s="5"/>
      <c r="Z225" s="5"/>
      <c r="AA225" s="5"/>
      <c r="AB225" s="5"/>
      <c r="AC225" s="5"/>
    </row>
    <row r="226" ht="14.25" customHeight="1">
      <c r="A226" s="48"/>
      <c r="B226" s="83"/>
      <c r="C226" s="78">
        <v>0.6</v>
      </c>
      <c r="D226" s="79">
        <v>4.0</v>
      </c>
      <c r="E226" s="80">
        <v>1.0</v>
      </c>
      <c r="F226" s="81">
        <f>'1RM'!$C$5*C226</f>
        <v>60</v>
      </c>
      <c r="G226" s="5"/>
      <c r="H226" s="5"/>
      <c r="I226" s="82">
        <f t="shared" si="213"/>
        <v>4</v>
      </c>
      <c r="J226" s="82">
        <f t="shared" si="214"/>
        <v>240</v>
      </c>
      <c r="K226" s="5"/>
      <c r="L226" s="5"/>
      <c r="M226" s="5" t="str">
        <f t="shared" si="215"/>
        <v> </v>
      </c>
      <c r="N226" s="5" t="str">
        <f t="shared" si="216"/>
        <v> </v>
      </c>
      <c r="O226" s="5" t="str">
        <f t="shared" si="217"/>
        <v> </v>
      </c>
      <c r="P226" s="5" t="str">
        <f t="shared" si="218"/>
        <v> </v>
      </c>
      <c r="Q226" s="5" t="str">
        <f t="shared" si="219"/>
        <v> </v>
      </c>
      <c r="R226" s="82" t="str">
        <f t="shared" si="220"/>
        <v> </v>
      </c>
      <c r="S226" s="82" t="str">
        <f t="shared" si="221"/>
        <v> </v>
      </c>
      <c r="T226" s="82" t="str">
        <f t="shared" si="222"/>
        <v> </v>
      </c>
      <c r="U226" s="82" t="str">
        <f t="shared" si="223"/>
        <v> </v>
      </c>
      <c r="V226" s="82" t="str">
        <f t="shared" si="224"/>
        <v> </v>
      </c>
      <c r="W226" s="5"/>
      <c r="X226" s="5"/>
      <c r="Y226" s="5"/>
      <c r="Z226" s="5"/>
      <c r="AA226" s="5"/>
      <c r="AB226" s="5"/>
      <c r="AC226" s="5"/>
    </row>
    <row r="227" ht="14.25" customHeight="1">
      <c r="A227" s="48"/>
      <c r="B227" s="83"/>
      <c r="C227" s="78">
        <v>0.7</v>
      </c>
      <c r="D227" s="79">
        <v>3.0</v>
      </c>
      <c r="E227" s="80">
        <v>1.0</v>
      </c>
      <c r="F227" s="81">
        <f>'1RM'!$C$5*C227</f>
        <v>70</v>
      </c>
      <c r="G227" s="5"/>
      <c r="H227" s="5"/>
      <c r="I227" s="82">
        <f t="shared" si="213"/>
        <v>3</v>
      </c>
      <c r="J227" s="82">
        <f t="shared" si="214"/>
        <v>210</v>
      </c>
      <c r="K227" s="5"/>
      <c r="L227" s="5"/>
      <c r="M227" s="5" t="str">
        <f t="shared" si="215"/>
        <v> </v>
      </c>
      <c r="N227" s="5" t="str">
        <f t="shared" si="216"/>
        <v> </v>
      </c>
      <c r="O227" s="5" t="str">
        <f t="shared" si="217"/>
        <v> </v>
      </c>
      <c r="P227" s="5" t="str">
        <f t="shared" si="218"/>
        <v> </v>
      </c>
      <c r="Q227" s="5" t="str">
        <f t="shared" si="219"/>
        <v> </v>
      </c>
      <c r="R227" s="82" t="str">
        <f t="shared" si="220"/>
        <v> </v>
      </c>
      <c r="S227" s="82" t="str">
        <f t="shared" si="221"/>
        <v> </v>
      </c>
      <c r="T227" s="82" t="str">
        <f t="shared" si="222"/>
        <v> </v>
      </c>
      <c r="U227" s="82" t="str">
        <f t="shared" si="223"/>
        <v> </v>
      </c>
      <c r="V227" s="82" t="str">
        <f t="shared" si="224"/>
        <v> </v>
      </c>
      <c r="W227" s="5"/>
      <c r="X227" s="5"/>
      <c r="Y227" s="5"/>
      <c r="Z227" s="5"/>
      <c r="AA227" s="5"/>
      <c r="AB227" s="5"/>
      <c r="AC227" s="5"/>
    </row>
    <row r="228" ht="14.25" customHeight="1">
      <c r="A228" s="48"/>
      <c r="B228" s="83"/>
      <c r="C228" s="84">
        <v>0.8</v>
      </c>
      <c r="D228" s="85">
        <v>5.0</v>
      </c>
      <c r="E228" s="86">
        <v>4.0</v>
      </c>
      <c r="F228" s="87">
        <f>'1RM'!$C$5*C228</f>
        <v>80</v>
      </c>
      <c r="G228" s="5"/>
      <c r="H228" s="5"/>
      <c r="I228" s="82">
        <f t="shared" si="213"/>
        <v>20</v>
      </c>
      <c r="J228" s="82">
        <f t="shared" si="214"/>
        <v>1600</v>
      </c>
      <c r="K228" s="5"/>
      <c r="L228" s="5"/>
      <c r="M228" s="5" t="str">
        <f t="shared" si="215"/>
        <v> </v>
      </c>
      <c r="N228" s="5" t="str">
        <f t="shared" si="216"/>
        <v> </v>
      </c>
      <c r="O228" s="5" t="str">
        <f t="shared" si="217"/>
        <v> </v>
      </c>
      <c r="P228" s="5" t="str">
        <f t="shared" si="218"/>
        <v> </v>
      </c>
      <c r="Q228" s="5" t="str">
        <f t="shared" si="219"/>
        <v> </v>
      </c>
      <c r="R228" s="82" t="str">
        <f t="shared" si="220"/>
        <v> </v>
      </c>
      <c r="S228" s="82" t="str">
        <f t="shared" si="221"/>
        <v> </v>
      </c>
      <c r="T228" s="82" t="str">
        <f t="shared" si="222"/>
        <v> </v>
      </c>
      <c r="U228" s="82" t="str">
        <f t="shared" si="223"/>
        <v> </v>
      </c>
      <c r="V228" s="82" t="str">
        <f t="shared" si="224"/>
        <v> </v>
      </c>
      <c r="W228" s="5"/>
      <c r="X228" s="5"/>
      <c r="Y228" s="5"/>
      <c r="Z228" s="5"/>
      <c r="AA228" s="5"/>
      <c r="AB228" s="5"/>
      <c r="AC228" s="5"/>
    </row>
    <row r="229" ht="14.25" customHeight="1">
      <c r="A229" s="48">
        <v>2.0</v>
      </c>
      <c r="B229" s="66" t="s">
        <v>4</v>
      </c>
      <c r="C229" s="67">
        <v>0.5</v>
      </c>
      <c r="D229" s="72">
        <v>5.0</v>
      </c>
      <c r="E229" s="68">
        <v>1.0</v>
      </c>
      <c r="F229" s="69">
        <f>'1RM'!$C$4*C229</f>
        <v>50</v>
      </c>
      <c r="G229" s="70">
        <f t="shared" ref="G229:G232" si="225">D229*E229</f>
        <v>5</v>
      </c>
      <c r="H229" s="70">
        <f t="shared" ref="H229:H232" si="226">F229*G229</f>
        <v>250</v>
      </c>
      <c r="I229" s="5"/>
      <c r="J229" s="5"/>
      <c r="K229" s="5"/>
      <c r="L229" s="5"/>
      <c r="M229" s="70">
        <f t="shared" si="215"/>
        <v>5</v>
      </c>
      <c r="N229" s="70" t="str">
        <f t="shared" si="216"/>
        <v> </v>
      </c>
      <c r="O229" s="70" t="str">
        <f t="shared" si="217"/>
        <v> </v>
      </c>
      <c r="P229" s="70" t="str">
        <f t="shared" si="218"/>
        <v> </v>
      </c>
      <c r="Q229" s="70" t="str">
        <f t="shared" si="219"/>
        <v> </v>
      </c>
      <c r="R229" s="5" t="str">
        <f t="shared" si="220"/>
        <v> </v>
      </c>
      <c r="S229" s="5" t="str">
        <f t="shared" si="221"/>
        <v> </v>
      </c>
      <c r="T229" s="5" t="str">
        <f t="shared" si="222"/>
        <v> </v>
      </c>
      <c r="U229" s="5" t="str">
        <f t="shared" si="223"/>
        <v> </v>
      </c>
      <c r="V229" s="5" t="str">
        <f t="shared" si="224"/>
        <v> </v>
      </c>
      <c r="W229" s="5"/>
      <c r="X229" s="5"/>
      <c r="Y229" s="5"/>
      <c r="Z229" s="5"/>
      <c r="AA229" s="5"/>
      <c r="AB229" s="5"/>
      <c r="AC229" s="5"/>
    </row>
    <row r="230" ht="14.25" customHeight="1">
      <c r="A230" s="48"/>
      <c r="B230" s="71"/>
      <c r="C230" s="67">
        <v>0.6</v>
      </c>
      <c r="D230" s="72">
        <v>4.0</v>
      </c>
      <c r="E230" s="68">
        <v>1.0</v>
      </c>
      <c r="F230" s="69">
        <f>'1RM'!$C$4*C230</f>
        <v>60</v>
      </c>
      <c r="G230" s="70">
        <f t="shared" si="225"/>
        <v>4</v>
      </c>
      <c r="H230" s="70">
        <f t="shared" si="226"/>
        <v>240</v>
      </c>
      <c r="I230" s="5"/>
      <c r="J230" s="5"/>
      <c r="K230" s="5"/>
      <c r="L230" s="5"/>
      <c r="M230" s="70" t="str">
        <f t="shared" si="215"/>
        <v> </v>
      </c>
      <c r="N230" s="70" t="str">
        <f t="shared" si="216"/>
        <v> </v>
      </c>
      <c r="O230" s="70" t="str">
        <f t="shared" si="217"/>
        <v> </v>
      </c>
      <c r="P230" s="70" t="str">
        <f t="shared" si="218"/>
        <v> </v>
      </c>
      <c r="Q230" s="70" t="str">
        <f t="shared" si="219"/>
        <v> </v>
      </c>
      <c r="R230" s="5" t="str">
        <f t="shared" si="220"/>
        <v> </v>
      </c>
      <c r="S230" s="5" t="str">
        <f t="shared" si="221"/>
        <v> </v>
      </c>
      <c r="T230" s="5" t="str">
        <f t="shared" si="222"/>
        <v> </v>
      </c>
      <c r="U230" s="5" t="str">
        <f t="shared" si="223"/>
        <v> </v>
      </c>
      <c r="V230" s="5" t="str">
        <f t="shared" si="224"/>
        <v> </v>
      </c>
      <c r="W230" s="5"/>
      <c r="X230" s="5"/>
      <c r="Y230" s="5"/>
      <c r="Z230" s="5"/>
      <c r="AA230" s="5"/>
      <c r="AB230" s="5"/>
      <c r="AC230" s="5"/>
    </row>
    <row r="231" ht="14.25" customHeight="1">
      <c r="A231" s="48"/>
      <c r="B231" s="71"/>
      <c r="C231" s="67">
        <v>0.7</v>
      </c>
      <c r="D231" s="72">
        <v>3.0</v>
      </c>
      <c r="E231" s="68">
        <v>1.0</v>
      </c>
      <c r="F231" s="69">
        <f>'1RM'!$C$4*C231</f>
        <v>70</v>
      </c>
      <c r="G231" s="70">
        <f t="shared" si="225"/>
        <v>3</v>
      </c>
      <c r="H231" s="70">
        <f t="shared" si="226"/>
        <v>210</v>
      </c>
      <c r="I231" s="5"/>
      <c r="J231" s="5"/>
      <c r="K231" s="5"/>
      <c r="L231" s="5"/>
      <c r="M231" s="70" t="str">
        <f t="shared" si="215"/>
        <v> </v>
      </c>
      <c r="N231" s="70" t="str">
        <f t="shared" si="216"/>
        <v> </v>
      </c>
      <c r="O231" s="70" t="str">
        <f t="shared" si="217"/>
        <v> </v>
      </c>
      <c r="P231" s="70" t="str">
        <f t="shared" si="218"/>
        <v> </v>
      </c>
      <c r="Q231" s="70" t="str">
        <f t="shared" si="219"/>
        <v> </v>
      </c>
      <c r="R231" s="5" t="str">
        <f t="shared" si="220"/>
        <v> </v>
      </c>
      <c r="S231" s="5" t="str">
        <f t="shared" si="221"/>
        <v> </v>
      </c>
      <c r="T231" s="5" t="str">
        <f t="shared" si="222"/>
        <v> </v>
      </c>
      <c r="U231" s="5" t="str">
        <f t="shared" si="223"/>
        <v> </v>
      </c>
      <c r="V231" s="5" t="str">
        <f t="shared" si="224"/>
        <v> </v>
      </c>
      <c r="W231" s="5"/>
      <c r="X231" s="5"/>
      <c r="Y231" s="5"/>
      <c r="Z231" s="5"/>
      <c r="AA231" s="5"/>
      <c r="AB231" s="5"/>
      <c r="AC231" s="5"/>
    </row>
    <row r="232" ht="14.25" customHeight="1">
      <c r="A232" s="48"/>
      <c r="B232" s="71"/>
      <c r="C232" s="73">
        <v>0.8</v>
      </c>
      <c r="D232" s="74">
        <v>5.0</v>
      </c>
      <c r="E232" s="75">
        <v>4.0</v>
      </c>
      <c r="F232" s="76">
        <f>'1RM'!$C$4*C232</f>
        <v>80</v>
      </c>
      <c r="G232" s="70">
        <f t="shared" si="225"/>
        <v>20</v>
      </c>
      <c r="H232" s="70">
        <f t="shared" si="226"/>
        <v>1600</v>
      </c>
      <c r="I232" s="5"/>
      <c r="J232" s="5"/>
      <c r="K232" s="5"/>
      <c r="L232" s="5"/>
      <c r="M232" s="70" t="str">
        <f t="shared" si="215"/>
        <v> </v>
      </c>
      <c r="N232" s="70" t="str">
        <f t="shared" si="216"/>
        <v> </v>
      </c>
      <c r="O232" s="70" t="str">
        <f t="shared" si="217"/>
        <v> </v>
      </c>
      <c r="P232" s="70" t="str">
        <f t="shared" si="218"/>
        <v> </v>
      </c>
      <c r="Q232" s="70" t="str">
        <f t="shared" si="219"/>
        <v> </v>
      </c>
      <c r="R232" s="5" t="str">
        <f t="shared" si="220"/>
        <v> </v>
      </c>
      <c r="S232" s="5" t="str">
        <f t="shared" si="221"/>
        <v> </v>
      </c>
      <c r="T232" s="5" t="str">
        <f t="shared" si="222"/>
        <v> </v>
      </c>
      <c r="U232" s="5" t="str">
        <f t="shared" si="223"/>
        <v> </v>
      </c>
      <c r="V232" s="5" t="str">
        <f t="shared" si="224"/>
        <v> </v>
      </c>
      <c r="W232" s="5"/>
      <c r="X232" s="5"/>
      <c r="Y232" s="5"/>
      <c r="Z232" s="5"/>
      <c r="AA232" s="5"/>
      <c r="AB232" s="5"/>
      <c r="AC232" s="5"/>
    </row>
    <row r="233" ht="14.25" customHeight="1">
      <c r="A233" s="48">
        <v>3.0</v>
      </c>
      <c r="B233" s="77" t="s">
        <v>73</v>
      </c>
      <c r="C233" s="78">
        <v>0.5</v>
      </c>
      <c r="D233" s="79">
        <v>3.0</v>
      </c>
      <c r="E233" s="80">
        <v>1.0</v>
      </c>
      <c r="F233" s="81">
        <f>'1RM'!$C$5*C233</f>
        <v>50</v>
      </c>
      <c r="G233" s="5"/>
      <c r="H233" s="5"/>
      <c r="I233" s="82">
        <f t="shared" ref="I233:I236" si="227">D233*E233</f>
        <v>3</v>
      </c>
      <c r="J233" s="82">
        <f t="shared" ref="J233:J236" si="228">F233*I233</f>
        <v>150</v>
      </c>
      <c r="K233" s="5"/>
      <c r="L233" s="5"/>
      <c r="M233" s="5" t="str">
        <f t="shared" si="215"/>
        <v> </v>
      </c>
      <c r="N233" s="5" t="str">
        <f t="shared" si="216"/>
        <v> </v>
      </c>
      <c r="O233" s="5" t="str">
        <f t="shared" si="217"/>
        <v> </v>
      </c>
      <c r="P233" s="5" t="str">
        <f t="shared" si="218"/>
        <v> </v>
      </c>
      <c r="Q233" s="5" t="str">
        <f t="shared" si="219"/>
        <v> </v>
      </c>
      <c r="R233" s="82">
        <f t="shared" si="220"/>
        <v>3</v>
      </c>
      <c r="S233" s="82" t="str">
        <f t="shared" si="221"/>
        <v> </v>
      </c>
      <c r="T233" s="82" t="str">
        <f t="shared" si="222"/>
        <v> </v>
      </c>
      <c r="U233" s="82" t="str">
        <f t="shared" si="223"/>
        <v> </v>
      </c>
      <c r="V233" s="82" t="str">
        <f t="shared" si="224"/>
        <v> </v>
      </c>
      <c r="W233" s="5"/>
      <c r="X233" s="5"/>
      <c r="Y233" s="5"/>
      <c r="Z233" s="5"/>
      <c r="AA233" s="5"/>
      <c r="AB233" s="5"/>
      <c r="AC233" s="5"/>
    </row>
    <row r="234" ht="14.25" customHeight="1">
      <c r="A234" s="48"/>
      <c r="B234" s="83"/>
      <c r="C234" s="78">
        <v>0.6</v>
      </c>
      <c r="D234" s="79">
        <v>3.0</v>
      </c>
      <c r="E234" s="80">
        <v>1.0</v>
      </c>
      <c r="F234" s="81">
        <f>'1RM'!$C$5*C234</f>
        <v>60</v>
      </c>
      <c r="G234" s="5"/>
      <c r="H234" s="5"/>
      <c r="I234" s="82">
        <f t="shared" si="227"/>
        <v>3</v>
      </c>
      <c r="J234" s="82">
        <f t="shared" si="228"/>
        <v>180</v>
      </c>
      <c r="K234" s="5"/>
      <c r="L234" s="5"/>
      <c r="M234" s="5" t="str">
        <f t="shared" si="215"/>
        <v> </v>
      </c>
      <c r="N234" s="5" t="str">
        <f t="shared" si="216"/>
        <v> </v>
      </c>
      <c r="O234" s="5" t="str">
        <f t="shared" si="217"/>
        <v> </v>
      </c>
      <c r="P234" s="5" t="str">
        <f t="shared" si="218"/>
        <v> </v>
      </c>
      <c r="Q234" s="5" t="str">
        <f t="shared" si="219"/>
        <v> </v>
      </c>
      <c r="R234" s="82" t="str">
        <f t="shared" si="220"/>
        <v> </v>
      </c>
      <c r="S234" s="82" t="str">
        <f t="shared" si="221"/>
        <v> </v>
      </c>
      <c r="T234" s="82" t="str">
        <f t="shared" si="222"/>
        <v> </v>
      </c>
      <c r="U234" s="82" t="str">
        <f t="shared" si="223"/>
        <v> </v>
      </c>
      <c r="V234" s="82" t="str">
        <f t="shared" si="224"/>
        <v> </v>
      </c>
      <c r="W234" s="5"/>
      <c r="X234" s="5"/>
      <c r="Y234" s="5"/>
      <c r="Z234" s="5"/>
      <c r="AA234" s="5"/>
      <c r="AB234" s="5"/>
      <c r="AC234" s="5"/>
    </row>
    <row r="235" ht="14.25" customHeight="1">
      <c r="A235" s="48"/>
      <c r="B235" s="83"/>
      <c r="C235" s="78">
        <v>0.7</v>
      </c>
      <c r="D235" s="79">
        <v>3.0</v>
      </c>
      <c r="E235" s="80">
        <v>1.0</v>
      </c>
      <c r="F235" s="81">
        <f>'1RM'!$C$5*C235</f>
        <v>70</v>
      </c>
      <c r="G235" s="5"/>
      <c r="H235" s="5"/>
      <c r="I235" s="82">
        <f t="shared" si="227"/>
        <v>3</v>
      </c>
      <c r="J235" s="82">
        <f t="shared" si="228"/>
        <v>210</v>
      </c>
      <c r="K235" s="5"/>
      <c r="L235" s="5"/>
      <c r="M235" s="5" t="str">
        <f t="shared" si="215"/>
        <v> </v>
      </c>
      <c r="N235" s="5" t="str">
        <f t="shared" si="216"/>
        <v> </v>
      </c>
      <c r="O235" s="5" t="str">
        <f t="shared" si="217"/>
        <v> </v>
      </c>
      <c r="P235" s="5" t="str">
        <f t="shared" si="218"/>
        <v> </v>
      </c>
      <c r="Q235" s="5" t="str">
        <f t="shared" si="219"/>
        <v> </v>
      </c>
      <c r="R235" s="82" t="str">
        <f t="shared" si="220"/>
        <v> </v>
      </c>
      <c r="S235" s="82" t="str">
        <f t="shared" si="221"/>
        <v> </v>
      </c>
      <c r="T235" s="82" t="str">
        <f t="shared" si="222"/>
        <v> </v>
      </c>
      <c r="U235" s="82" t="str">
        <f t="shared" si="223"/>
        <v> </v>
      </c>
      <c r="V235" s="82" t="str">
        <f t="shared" si="224"/>
        <v> </v>
      </c>
      <c r="W235" s="5"/>
      <c r="X235" s="5"/>
      <c r="Y235" s="5"/>
      <c r="Z235" s="5"/>
      <c r="AA235" s="5"/>
      <c r="AB235" s="5"/>
      <c r="AC235" s="5"/>
    </row>
    <row r="236" ht="14.25" customHeight="1">
      <c r="A236" s="48"/>
      <c r="B236" s="83"/>
      <c r="C236" s="84">
        <v>0.75</v>
      </c>
      <c r="D236" s="85">
        <v>2.0</v>
      </c>
      <c r="E236" s="86">
        <v>4.0</v>
      </c>
      <c r="F236" s="87">
        <f>'1RM'!$C$5*C236</f>
        <v>75</v>
      </c>
      <c r="G236" s="5"/>
      <c r="H236" s="5"/>
      <c r="I236" s="82">
        <f t="shared" si="227"/>
        <v>8</v>
      </c>
      <c r="J236" s="82">
        <f t="shared" si="228"/>
        <v>600</v>
      </c>
      <c r="K236" s="5"/>
      <c r="L236" s="5"/>
      <c r="M236" s="5" t="str">
        <f t="shared" si="215"/>
        <v> </v>
      </c>
      <c r="N236" s="5" t="str">
        <f t="shared" si="216"/>
        <v> </v>
      </c>
      <c r="O236" s="5" t="str">
        <f t="shared" si="217"/>
        <v> </v>
      </c>
      <c r="P236" s="5" t="str">
        <f t="shared" si="218"/>
        <v> </v>
      </c>
      <c r="Q236" s="5" t="str">
        <f t="shared" si="219"/>
        <v> </v>
      </c>
      <c r="R236" s="82" t="str">
        <f t="shared" si="220"/>
        <v> </v>
      </c>
      <c r="S236" s="82" t="str">
        <f t="shared" si="221"/>
        <v> </v>
      </c>
      <c r="T236" s="82" t="str">
        <f t="shared" si="222"/>
        <v> </v>
      </c>
      <c r="U236" s="82" t="str">
        <f t="shared" si="223"/>
        <v> </v>
      </c>
      <c r="V236" s="82" t="str">
        <f t="shared" si="224"/>
        <v> </v>
      </c>
      <c r="W236" s="5"/>
      <c r="X236" s="5"/>
      <c r="Y236" s="5"/>
      <c r="Z236" s="5"/>
      <c r="AA236" s="5"/>
      <c r="AB236" s="5"/>
      <c r="AC236" s="5"/>
    </row>
    <row r="237" ht="14.25" customHeight="1">
      <c r="A237" s="48">
        <v>4.0</v>
      </c>
      <c r="B237" s="88" t="s">
        <v>74</v>
      </c>
      <c r="C237" s="56"/>
      <c r="D237" s="49">
        <v>10.0</v>
      </c>
      <c r="E237" s="49">
        <v>5.0</v>
      </c>
      <c r="F237" s="89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ht="14.25" customHeight="1">
      <c r="A238" s="48">
        <v>5.0</v>
      </c>
      <c r="B238" s="90" t="s">
        <v>56</v>
      </c>
      <c r="C238" s="91"/>
      <c r="D238" s="92">
        <v>10.0</v>
      </c>
      <c r="E238" s="92">
        <v>3.0</v>
      </c>
      <c r="F238" s="93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ht="14.25" customHeight="1">
      <c r="A239" s="48"/>
      <c r="B239" s="49"/>
      <c r="C239" s="56"/>
      <c r="D239" s="49"/>
      <c r="E239" s="49"/>
      <c r="F239" s="49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ht="14.25" customHeight="1">
      <c r="A240" s="48"/>
      <c r="B240" s="62" t="s">
        <v>66</v>
      </c>
      <c r="C240" s="63" t="s">
        <v>20</v>
      </c>
      <c r="D240" s="64" t="s">
        <v>51</v>
      </c>
      <c r="E240" s="64" t="s">
        <v>52</v>
      </c>
      <c r="F240" s="65" t="s">
        <v>53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ht="14.25" customHeight="1">
      <c r="A241" s="48">
        <v>1.0</v>
      </c>
      <c r="B241" s="94" t="s">
        <v>59</v>
      </c>
      <c r="C241" s="95">
        <v>0.5</v>
      </c>
      <c r="D241" s="96">
        <v>3.0</v>
      </c>
      <c r="E241" s="97">
        <v>1.0</v>
      </c>
      <c r="F241" s="98">
        <f>'1RM'!$C$6*C241</f>
        <v>50</v>
      </c>
      <c r="G241" s="5"/>
      <c r="H241" s="5"/>
      <c r="I241" s="5"/>
      <c r="J241" s="5"/>
      <c r="K241" s="99">
        <f t="shared" ref="K241:K245" si="229">D241*E241</f>
        <v>3</v>
      </c>
      <c r="L241" s="99">
        <f t="shared" ref="L241:L245" si="230">F241*K241</f>
        <v>150</v>
      </c>
      <c r="M241" s="5"/>
      <c r="N241" s="5"/>
      <c r="O241" s="5"/>
      <c r="P241" s="5"/>
      <c r="Q241" s="5"/>
      <c r="R241" s="5" t="str">
        <f t="shared" ref="R241:R252" si="231">IF(ISNUMBER(SEARCH("Press de banca",$B241)),IF($C241&gt;=0.5,IF($C241&lt;0.6,$D241*$E241," ")," ")," ")</f>
        <v> </v>
      </c>
      <c r="S241" s="5" t="str">
        <f t="shared" ref="S241:S252" si="232">IF(ISNUMBER(SEARCH("Press de banca",$B241)),IF($C241&gt;=0.6,IF($C241&lt;0.7,$D241*$E241," ")," ")," ")</f>
        <v> </v>
      </c>
      <c r="T241" s="5" t="str">
        <f t="shared" ref="T241:T252" si="233">IF(ISNUMBER(SEARCH("Press de banca",$B241)),IF($C241&gt;=0.7,IF($C241&lt;0.8,$D241*$E241," ")," ")," ")</f>
        <v> </v>
      </c>
      <c r="U241" s="5" t="str">
        <f t="shared" ref="U241:U252" si="234">IF(ISNUMBER(SEARCH("Press de banca",$B241)),IF($C241&gt;=0.8,IF($C241&lt;0.9,$D241*$E241," ")," ")," ")</f>
        <v> </v>
      </c>
      <c r="V241" s="5" t="str">
        <f t="shared" ref="V241:V252" si="235">IF(ISNUMBER(SEARCH("Press de banca",$B241)),IF($C241&gt;=0.9,$D241*$E241," ")," ")</f>
        <v> </v>
      </c>
      <c r="W241" s="100">
        <f t="shared" ref="W241:W252" si="236">IF(ISNUMBER(SEARCH("Peso muerto",$B241)),IF($C241&gt;=0.5,IF($C241&lt;0.6,$D241*$E241," ")," ")," ")</f>
        <v>3</v>
      </c>
      <c r="X241" s="100" t="str">
        <f t="shared" ref="X241:X252" si="237">IF(ISNUMBER(SEARCH("Peso muerto",$B241)),IF($C241&gt;=0.6,IF($C241&lt;0.7,$D241*$E241," ")," ")," ")</f>
        <v> </v>
      </c>
      <c r="Y241" s="100" t="str">
        <f t="shared" ref="Y241:Y252" si="238">IF(ISNUMBER(SEARCH("Peso muerto",$B241)),IF($C241&gt;=0.7,IF($C241&lt;0.8,$D241*$E241," ")," ")," ")</f>
        <v> </v>
      </c>
      <c r="Z241" s="100" t="str">
        <f t="shared" ref="Z241:Z252" si="239">IF(ISNUMBER(SEARCH("Peso muerto",$B241)),IF($C241&gt;=0.8,IF($C241&lt;0.9,$D241*$E241," ")," ")," ")</f>
        <v> </v>
      </c>
      <c r="AA241" s="100" t="str">
        <f t="shared" ref="AA241:AA252" si="240">IF(ISNUMBER(SEARCH("Peso muerto",$B241)),IF($C241&gt;=0.9,$D241*$E241," ")," ")</f>
        <v> </v>
      </c>
      <c r="AB241" s="5"/>
      <c r="AC241" s="5"/>
    </row>
    <row r="242" ht="14.25" customHeight="1">
      <c r="A242" s="48"/>
      <c r="B242" s="105"/>
      <c r="C242" s="95">
        <v>0.6</v>
      </c>
      <c r="D242" s="96">
        <v>3.0</v>
      </c>
      <c r="E242" s="97">
        <v>1.0</v>
      </c>
      <c r="F242" s="98">
        <f>'1RM'!$C$6*C242</f>
        <v>60</v>
      </c>
      <c r="G242" s="5"/>
      <c r="H242" s="5"/>
      <c r="I242" s="5"/>
      <c r="J242" s="5"/>
      <c r="K242" s="99">
        <f t="shared" si="229"/>
        <v>3</v>
      </c>
      <c r="L242" s="99">
        <f t="shared" si="230"/>
        <v>180</v>
      </c>
      <c r="M242" s="5"/>
      <c r="N242" s="5"/>
      <c r="O242" s="5"/>
      <c r="P242" s="5"/>
      <c r="Q242" s="5"/>
      <c r="R242" s="5" t="str">
        <f t="shared" si="231"/>
        <v> </v>
      </c>
      <c r="S242" s="5" t="str">
        <f t="shared" si="232"/>
        <v> </v>
      </c>
      <c r="T242" s="5" t="str">
        <f t="shared" si="233"/>
        <v> </v>
      </c>
      <c r="U242" s="5" t="str">
        <f t="shared" si="234"/>
        <v> </v>
      </c>
      <c r="V242" s="5" t="str">
        <f t="shared" si="235"/>
        <v> </v>
      </c>
      <c r="W242" s="100" t="str">
        <f t="shared" si="236"/>
        <v> </v>
      </c>
      <c r="X242" s="100" t="str">
        <f t="shared" si="237"/>
        <v> </v>
      </c>
      <c r="Y242" s="100" t="str">
        <f t="shared" si="238"/>
        <v> </v>
      </c>
      <c r="Z242" s="100" t="str">
        <f t="shared" si="239"/>
        <v> </v>
      </c>
      <c r="AA242" s="100" t="str">
        <f t="shared" si="240"/>
        <v> </v>
      </c>
      <c r="AB242" s="5"/>
      <c r="AC242" s="5"/>
    </row>
    <row r="243" ht="14.25" customHeight="1">
      <c r="A243" s="48"/>
      <c r="B243" s="105"/>
      <c r="C243" s="95">
        <v>0.7</v>
      </c>
      <c r="D243" s="96">
        <v>3.0</v>
      </c>
      <c r="E243" s="97">
        <v>1.0</v>
      </c>
      <c r="F243" s="98">
        <f>'1RM'!$C$6*C243</f>
        <v>70</v>
      </c>
      <c r="G243" s="5"/>
      <c r="H243" s="5"/>
      <c r="I243" s="5"/>
      <c r="J243" s="5"/>
      <c r="K243" s="99">
        <f t="shared" si="229"/>
        <v>3</v>
      </c>
      <c r="L243" s="99">
        <f t="shared" si="230"/>
        <v>210</v>
      </c>
      <c r="M243" s="5"/>
      <c r="N243" s="5"/>
      <c r="O243" s="5"/>
      <c r="P243" s="5"/>
      <c r="Q243" s="5"/>
      <c r="R243" s="5" t="str">
        <f t="shared" si="231"/>
        <v> </v>
      </c>
      <c r="S243" s="5" t="str">
        <f t="shared" si="232"/>
        <v> </v>
      </c>
      <c r="T243" s="5" t="str">
        <f t="shared" si="233"/>
        <v> </v>
      </c>
      <c r="U243" s="5" t="str">
        <f t="shared" si="234"/>
        <v> </v>
      </c>
      <c r="V243" s="5" t="str">
        <f t="shared" si="235"/>
        <v> </v>
      </c>
      <c r="W243" s="100" t="str">
        <f t="shared" si="236"/>
        <v> </v>
      </c>
      <c r="X243" s="100" t="str">
        <f t="shared" si="237"/>
        <v> </v>
      </c>
      <c r="Y243" s="100" t="str">
        <f t="shared" si="238"/>
        <v> </v>
      </c>
      <c r="Z243" s="100" t="str">
        <f t="shared" si="239"/>
        <v> </v>
      </c>
      <c r="AA243" s="100" t="str">
        <f t="shared" si="240"/>
        <v> </v>
      </c>
      <c r="AB243" s="5"/>
      <c r="AC243" s="5"/>
    </row>
    <row r="244" ht="14.25" customHeight="1">
      <c r="A244" s="48"/>
      <c r="B244" s="105"/>
      <c r="C244" s="101">
        <v>0.75</v>
      </c>
      <c r="D244" s="102">
        <v>2.0</v>
      </c>
      <c r="E244" s="103">
        <v>2.0</v>
      </c>
      <c r="F244" s="104">
        <f>'1RM'!$C$6*C244</f>
        <v>75</v>
      </c>
      <c r="G244" s="5"/>
      <c r="H244" s="5"/>
      <c r="I244" s="5"/>
      <c r="J244" s="5"/>
      <c r="K244" s="99">
        <f t="shared" si="229"/>
        <v>4</v>
      </c>
      <c r="L244" s="99">
        <f t="shared" si="230"/>
        <v>300</v>
      </c>
      <c r="M244" s="5"/>
      <c r="N244" s="5"/>
      <c r="O244" s="5"/>
      <c r="P244" s="5"/>
      <c r="Q244" s="5"/>
      <c r="R244" s="5" t="str">
        <f t="shared" si="231"/>
        <v> </v>
      </c>
      <c r="S244" s="5" t="str">
        <f t="shared" si="232"/>
        <v> </v>
      </c>
      <c r="T244" s="5" t="str">
        <f t="shared" si="233"/>
        <v> </v>
      </c>
      <c r="U244" s="5" t="str">
        <f t="shared" si="234"/>
        <v> </v>
      </c>
      <c r="V244" s="5" t="str">
        <f t="shared" si="235"/>
        <v> </v>
      </c>
      <c r="W244" s="100" t="str">
        <f t="shared" si="236"/>
        <v> </v>
      </c>
      <c r="X244" s="100" t="str">
        <f t="shared" si="237"/>
        <v> </v>
      </c>
      <c r="Y244" s="100" t="str">
        <f t="shared" si="238"/>
        <v> </v>
      </c>
      <c r="Z244" s="100" t="str">
        <f t="shared" si="239"/>
        <v> </v>
      </c>
      <c r="AA244" s="100" t="str">
        <f t="shared" si="240"/>
        <v> </v>
      </c>
      <c r="AB244" s="5"/>
      <c r="AC244" s="5"/>
    </row>
    <row r="245" ht="14.25" customHeight="1">
      <c r="A245" s="48"/>
      <c r="B245" s="105"/>
      <c r="C245" s="101">
        <v>0.8</v>
      </c>
      <c r="D245" s="102">
        <v>1.0</v>
      </c>
      <c r="E245" s="103">
        <v>3.0</v>
      </c>
      <c r="F245" s="104">
        <f>'1RM'!$C$6*C245</f>
        <v>80</v>
      </c>
      <c r="G245" s="5"/>
      <c r="H245" s="5"/>
      <c r="I245" s="5"/>
      <c r="J245" s="5"/>
      <c r="K245" s="99">
        <f t="shared" si="229"/>
        <v>3</v>
      </c>
      <c r="L245" s="99">
        <f t="shared" si="230"/>
        <v>240</v>
      </c>
      <c r="M245" s="5"/>
      <c r="N245" s="5"/>
      <c r="O245" s="5"/>
      <c r="P245" s="5"/>
      <c r="Q245" s="5"/>
      <c r="R245" s="5" t="str">
        <f t="shared" si="231"/>
        <v> </v>
      </c>
      <c r="S245" s="5" t="str">
        <f t="shared" si="232"/>
        <v> </v>
      </c>
      <c r="T245" s="5" t="str">
        <f t="shared" si="233"/>
        <v> </v>
      </c>
      <c r="U245" s="5" t="str">
        <f t="shared" si="234"/>
        <v> </v>
      </c>
      <c r="V245" s="5" t="str">
        <f t="shared" si="235"/>
        <v> </v>
      </c>
      <c r="W245" s="100" t="str">
        <f t="shared" si="236"/>
        <v> </v>
      </c>
      <c r="X245" s="100" t="str">
        <f t="shared" si="237"/>
        <v> </v>
      </c>
      <c r="Y245" s="100" t="str">
        <f t="shared" si="238"/>
        <v> </v>
      </c>
      <c r="Z245" s="100" t="str">
        <f t="shared" si="239"/>
        <v> </v>
      </c>
      <c r="AA245" s="100" t="str">
        <f t="shared" si="240"/>
        <v> </v>
      </c>
      <c r="AB245" s="5"/>
      <c r="AC245" s="5"/>
    </row>
    <row r="246" ht="14.25" customHeight="1">
      <c r="A246" s="48">
        <v>2.0</v>
      </c>
      <c r="B246" s="77" t="s">
        <v>84</v>
      </c>
      <c r="C246" s="78">
        <v>0.5</v>
      </c>
      <c r="D246" s="79">
        <v>6.0</v>
      </c>
      <c r="E246" s="80">
        <v>1.0</v>
      </c>
      <c r="F246" s="81">
        <f>'1RM'!$C$5*C246</f>
        <v>50</v>
      </c>
      <c r="G246" s="5"/>
      <c r="H246" s="5"/>
      <c r="I246" s="82">
        <f t="shared" ref="I246:I248" si="241">D246*E246</f>
        <v>6</v>
      </c>
      <c r="J246" s="82">
        <f t="shared" ref="J246:J248" si="242">F246*I246</f>
        <v>300</v>
      </c>
      <c r="K246" s="5"/>
      <c r="L246" s="5"/>
      <c r="M246" s="5"/>
      <c r="N246" s="5"/>
      <c r="O246" s="5"/>
      <c r="P246" s="5"/>
      <c r="Q246" s="5"/>
      <c r="R246" s="82">
        <f t="shared" si="231"/>
        <v>6</v>
      </c>
      <c r="S246" s="82" t="str">
        <f t="shared" si="232"/>
        <v> </v>
      </c>
      <c r="T246" s="82" t="str">
        <f t="shared" si="233"/>
        <v> </v>
      </c>
      <c r="U246" s="82" t="str">
        <f t="shared" si="234"/>
        <v> </v>
      </c>
      <c r="V246" s="82" t="str">
        <f t="shared" si="235"/>
        <v> </v>
      </c>
      <c r="W246" s="5" t="str">
        <f t="shared" si="236"/>
        <v> </v>
      </c>
      <c r="X246" s="5" t="str">
        <f t="shared" si="237"/>
        <v> </v>
      </c>
      <c r="Y246" s="5" t="str">
        <f t="shared" si="238"/>
        <v> </v>
      </c>
      <c r="Z246" s="5" t="str">
        <f t="shared" si="239"/>
        <v> </v>
      </c>
      <c r="AA246" s="5" t="str">
        <f t="shared" si="240"/>
        <v> </v>
      </c>
      <c r="AB246" s="5"/>
      <c r="AC246" s="5"/>
    </row>
    <row r="247" ht="14.25" customHeight="1">
      <c r="A247" s="48"/>
      <c r="B247" s="83"/>
      <c r="C247" s="78">
        <v>0.6</v>
      </c>
      <c r="D247" s="79">
        <v>6.0</v>
      </c>
      <c r="E247" s="80">
        <v>1.0</v>
      </c>
      <c r="F247" s="81">
        <f>'1RM'!$C$5*C247</f>
        <v>60</v>
      </c>
      <c r="G247" s="5"/>
      <c r="H247" s="5"/>
      <c r="I247" s="82">
        <f t="shared" si="241"/>
        <v>6</v>
      </c>
      <c r="J247" s="82">
        <f t="shared" si="242"/>
        <v>360</v>
      </c>
      <c r="K247" s="5"/>
      <c r="L247" s="5"/>
      <c r="M247" s="5"/>
      <c r="N247" s="5"/>
      <c r="O247" s="5"/>
      <c r="P247" s="5"/>
      <c r="Q247" s="5"/>
      <c r="R247" s="82" t="str">
        <f t="shared" si="231"/>
        <v> </v>
      </c>
      <c r="S247" s="82" t="str">
        <f t="shared" si="232"/>
        <v> </v>
      </c>
      <c r="T247" s="82" t="str">
        <f t="shared" si="233"/>
        <v> </v>
      </c>
      <c r="U247" s="82" t="str">
        <f t="shared" si="234"/>
        <v> </v>
      </c>
      <c r="V247" s="82" t="str">
        <f t="shared" si="235"/>
        <v> </v>
      </c>
      <c r="W247" s="5" t="str">
        <f t="shared" si="236"/>
        <v> </v>
      </c>
      <c r="X247" s="5" t="str">
        <f t="shared" si="237"/>
        <v> </v>
      </c>
      <c r="Y247" s="5" t="str">
        <f t="shared" si="238"/>
        <v> </v>
      </c>
      <c r="Z247" s="5" t="str">
        <f t="shared" si="239"/>
        <v> </v>
      </c>
      <c r="AA247" s="5" t="str">
        <f t="shared" si="240"/>
        <v> </v>
      </c>
      <c r="AB247" s="5"/>
      <c r="AC247" s="5"/>
    </row>
    <row r="248" ht="14.25" customHeight="1">
      <c r="A248" s="48"/>
      <c r="B248" s="83"/>
      <c r="C248" s="84">
        <v>0.65</v>
      </c>
      <c r="D248" s="85">
        <v>6.0</v>
      </c>
      <c r="E248" s="86">
        <v>4.0</v>
      </c>
      <c r="F248" s="87">
        <f>'1RM'!$C$5*C248</f>
        <v>65</v>
      </c>
      <c r="G248" s="5"/>
      <c r="H248" s="5"/>
      <c r="I248" s="82">
        <f t="shared" si="241"/>
        <v>24</v>
      </c>
      <c r="J248" s="82">
        <f t="shared" si="242"/>
        <v>1560</v>
      </c>
      <c r="K248" s="5"/>
      <c r="L248" s="5"/>
      <c r="M248" s="5"/>
      <c r="N248" s="5"/>
      <c r="O248" s="5"/>
      <c r="P248" s="5"/>
      <c r="Q248" s="5"/>
      <c r="R248" s="82" t="str">
        <f t="shared" si="231"/>
        <v> </v>
      </c>
      <c r="S248" s="82" t="str">
        <f t="shared" si="232"/>
        <v> </v>
      </c>
      <c r="T248" s="82" t="str">
        <f t="shared" si="233"/>
        <v> </v>
      </c>
      <c r="U248" s="82" t="str">
        <f t="shared" si="234"/>
        <v> </v>
      </c>
      <c r="V248" s="82" t="str">
        <f t="shared" si="235"/>
        <v> </v>
      </c>
      <c r="W248" s="5" t="str">
        <f t="shared" si="236"/>
        <v> </v>
      </c>
      <c r="X248" s="5" t="str">
        <f t="shared" si="237"/>
        <v> </v>
      </c>
      <c r="Y248" s="5" t="str">
        <f t="shared" si="238"/>
        <v> </v>
      </c>
      <c r="Z248" s="5" t="str">
        <f t="shared" si="239"/>
        <v> </v>
      </c>
      <c r="AA248" s="5" t="str">
        <f t="shared" si="240"/>
        <v> </v>
      </c>
      <c r="AB248" s="5"/>
      <c r="AC248" s="5"/>
    </row>
    <row r="249" ht="14.25" customHeight="1">
      <c r="A249" s="48">
        <v>3.0</v>
      </c>
      <c r="B249" s="94" t="s">
        <v>77</v>
      </c>
      <c r="C249" s="95">
        <v>0.5</v>
      </c>
      <c r="D249" s="96">
        <v>3.0</v>
      </c>
      <c r="E249" s="97">
        <v>1.0</v>
      </c>
      <c r="F249" s="98">
        <f>'1RM'!$C$6*C249</f>
        <v>50</v>
      </c>
      <c r="G249" s="5"/>
      <c r="H249" s="5"/>
      <c r="I249" s="5"/>
      <c r="J249" s="5"/>
      <c r="K249" s="99">
        <f t="shared" ref="K249:K252" si="243">D249*E249</f>
        <v>3</v>
      </c>
      <c r="L249" s="99">
        <f t="shared" ref="L249:L252" si="244">F249*K249</f>
        <v>150</v>
      </c>
      <c r="M249" s="5"/>
      <c r="N249" s="5"/>
      <c r="O249" s="5"/>
      <c r="P249" s="5"/>
      <c r="Q249" s="5"/>
      <c r="R249" s="5" t="str">
        <f t="shared" si="231"/>
        <v> </v>
      </c>
      <c r="S249" s="5" t="str">
        <f t="shared" si="232"/>
        <v> </v>
      </c>
      <c r="T249" s="5" t="str">
        <f t="shared" si="233"/>
        <v> </v>
      </c>
      <c r="U249" s="5" t="str">
        <f t="shared" si="234"/>
        <v> </v>
      </c>
      <c r="V249" s="5" t="str">
        <f t="shared" si="235"/>
        <v> </v>
      </c>
      <c r="W249" s="100">
        <f t="shared" si="236"/>
        <v>3</v>
      </c>
      <c r="X249" s="100" t="str">
        <f t="shared" si="237"/>
        <v> </v>
      </c>
      <c r="Y249" s="100" t="str">
        <f t="shared" si="238"/>
        <v> </v>
      </c>
      <c r="Z249" s="100" t="str">
        <f t="shared" si="239"/>
        <v> </v>
      </c>
      <c r="AA249" s="100" t="str">
        <f t="shared" si="240"/>
        <v> </v>
      </c>
      <c r="AB249" s="5"/>
      <c r="AC249" s="5"/>
    </row>
    <row r="250" ht="14.25" customHeight="1">
      <c r="A250" s="48"/>
      <c r="B250" s="105"/>
      <c r="C250" s="95">
        <v>0.6</v>
      </c>
      <c r="D250" s="96">
        <v>3.0</v>
      </c>
      <c r="E250" s="97">
        <v>1.0</v>
      </c>
      <c r="F250" s="98">
        <f>'1RM'!$C$6*C250</f>
        <v>60</v>
      </c>
      <c r="G250" s="5"/>
      <c r="H250" s="5"/>
      <c r="I250" s="5"/>
      <c r="J250" s="5"/>
      <c r="K250" s="99">
        <f t="shared" si="243"/>
        <v>3</v>
      </c>
      <c r="L250" s="99">
        <f t="shared" si="244"/>
        <v>180</v>
      </c>
      <c r="M250" s="5"/>
      <c r="N250" s="5"/>
      <c r="O250" s="5"/>
      <c r="P250" s="5"/>
      <c r="Q250" s="5"/>
      <c r="R250" s="5" t="str">
        <f t="shared" si="231"/>
        <v> </v>
      </c>
      <c r="S250" s="5" t="str">
        <f t="shared" si="232"/>
        <v> </v>
      </c>
      <c r="T250" s="5" t="str">
        <f t="shared" si="233"/>
        <v> </v>
      </c>
      <c r="U250" s="5" t="str">
        <f t="shared" si="234"/>
        <v> </v>
      </c>
      <c r="V250" s="5" t="str">
        <f t="shared" si="235"/>
        <v> </v>
      </c>
      <c r="W250" s="100" t="str">
        <f t="shared" si="236"/>
        <v> </v>
      </c>
      <c r="X250" s="100" t="str">
        <f t="shared" si="237"/>
        <v> </v>
      </c>
      <c r="Y250" s="100" t="str">
        <f t="shared" si="238"/>
        <v> </v>
      </c>
      <c r="Z250" s="100" t="str">
        <f t="shared" si="239"/>
        <v> </v>
      </c>
      <c r="AA250" s="100" t="str">
        <f t="shared" si="240"/>
        <v> </v>
      </c>
      <c r="AB250" s="5"/>
      <c r="AC250" s="5"/>
    </row>
    <row r="251" ht="14.25" customHeight="1">
      <c r="A251" s="48"/>
      <c r="B251" s="105"/>
      <c r="C251" s="95">
        <v>0.7</v>
      </c>
      <c r="D251" s="96">
        <v>3.0</v>
      </c>
      <c r="E251" s="97">
        <v>1.0</v>
      </c>
      <c r="F251" s="98">
        <f>'1RM'!$C$6*C251</f>
        <v>70</v>
      </c>
      <c r="G251" s="5"/>
      <c r="H251" s="5"/>
      <c r="I251" s="5"/>
      <c r="J251" s="5"/>
      <c r="K251" s="99">
        <f t="shared" si="243"/>
        <v>3</v>
      </c>
      <c r="L251" s="99">
        <f t="shared" si="244"/>
        <v>210</v>
      </c>
      <c r="M251" s="5"/>
      <c r="N251" s="5"/>
      <c r="O251" s="5"/>
      <c r="P251" s="5"/>
      <c r="Q251" s="5"/>
      <c r="R251" s="5" t="str">
        <f t="shared" si="231"/>
        <v> </v>
      </c>
      <c r="S251" s="5" t="str">
        <f t="shared" si="232"/>
        <v> </v>
      </c>
      <c r="T251" s="5" t="str">
        <f t="shared" si="233"/>
        <v> </v>
      </c>
      <c r="U251" s="5" t="str">
        <f t="shared" si="234"/>
        <v> </v>
      </c>
      <c r="V251" s="5" t="str">
        <f t="shared" si="235"/>
        <v> </v>
      </c>
      <c r="W251" s="100" t="str">
        <f t="shared" si="236"/>
        <v> </v>
      </c>
      <c r="X251" s="100" t="str">
        <f t="shared" si="237"/>
        <v> </v>
      </c>
      <c r="Y251" s="100" t="str">
        <f t="shared" si="238"/>
        <v> </v>
      </c>
      <c r="Z251" s="100" t="str">
        <f t="shared" si="239"/>
        <v> </v>
      </c>
      <c r="AA251" s="100" t="str">
        <f t="shared" si="240"/>
        <v> </v>
      </c>
      <c r="AB251" s="5"/>
      <c r="AC251" s="5"/>
    </row>
    <row r="252" ht="14.25" customHeight="1">
      <c r="A252" s="48"/>
      <c r="B252" s="105"/>
      <c r="C252" s="101">
        <v>0.75</v>
      </c>
      <c r="D252" s="102">
        <v>2.0</v>
      </c>
      <c r="E252" s="103">
        <v>4.0</v>
      </c>
      <c r="F252" s="104">
        <f>'1RM'!$C$6*C252</f>
        <v>75</v>
      </c>
      <c r="G252" s="5"/>
      <c r="H252" s="5"/>
      <c r="I252" s="5"/>
      <c r="J252" s="5"/>
      <c r="K252" s="99">
        <f t="shared" si="243"/>
        <v>8</v>
      </c>
      <c r="L252" s="99">
        <f t="shared" si="244"/>
        <v>600</v>
      </c>
      <c r="M252" s="5"/>
      <c r="N252" s="5"/>
      <c r="O252" s="5"/>
      <c r="P252" s="5"/>
      <c r="Q252" s="5"/>
      <c r="R252" s="5" t="str">
        <f t="shared" si="231"/>
        <v> </v>
      </c>
      <c r="S252" s="5" t="str">
        <f t="shared" si="232"/>
        <v> </v>
      </c>
      <c r="T252" s="5" t="str">
        <f t="shared" si="233"/>
        <v> </v>
      </c>
      <c r="U252" s="5" t="str">
        <f t="shared" si="234"/>
        <v> </v>
      </c>
      <c r="V252" s="5" t="str">
        <f t="shared" si="235"/>
        <v> </v>
      </c>
      <c r="W252" s="100" t="str">
        <f t="shared" si="236"/>
        <v> </v>
      </c>
      <c r="X252" s="100" t="str">
        <f t="shared" si="237"/>
        <v> </v>
      </c>
      <c r="Y252" s="100" t="str">
        <f t="shared" si="238"/>
        <v> </v>
      </c>
      <c r="Z252" s="100" t="str">
        <f t="shared" si="239"/>
        <v> </v>
      </c>
      <c r="AA252" s="100" t="str">
        <f t="shared" si="240"/>
        <v> </v>
      </c>
      <c r="AB252" s="5"/>
      <c r="AC252" s="5"/>
    </row>
    <row r="253" ht="14.25" customHeight="1">
      <c r="A253" s="48">
        <v>4.0</v>
      </c>
      <c r="B253" s="88" t="s">
        <v>70</v>
      </c>
      <c r="C253" s="56"/>
      <c r="D253" s="49">
        <v>8.0</v>
      </c>
      <c r="E253" s="49">
        <v>5.0</v>
      </c>
      <c r="F253" s="89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ht="14.25" customHeight="1">
      <c r="A254" s="48">
        <v>5.0</v>
      </c>
      <c r="B254" s="90" t="s">
        <v>71</v>
      </c>
      <c r="C254" s="91"/>
      <c r="D254" s="92">
        <v>8.0</v>
      </c>
      <c r="E254" s="92">
        <v>4.0</v>
      </c>
      <c r="F254" s="93"/>
      <c r="G254" s="114">
        <f t="shared" ref="G254:AA254" si="245">SUM(G188:G253)</f>
        <v>74</v>
      </c>
      <c r="H254" s="114">
        <f t="shared" si="245"/>
        <v>4850</v>
      </c>
      <c r="I254" s="115">
        <f t="shared" si="245"/>
        <v>135</v>
      </c>
      <c r="J254" s="115">
        <f t="shared" si="245"/>
        <v>9425</v>
      </c>
      <c r="K254" s="115">
        <f t="shared" si="245"/>
        <v>65</v>
      </c>
      <c r="L254" s="115">
        <f t="shared" si="245"/>
        <v>4530</v>
      </c>
      <c r="M254" s="114">
        <f t="shared" si="245"/>
        <v>8</v>
      </c>
      <c r="N254" s="114">
        <f t="shared" si="245"/>
        <v>0</v>
      </c>
      <c r="O254" s="114">
        <f t="shared" si="245"/>
        <v>0</v>
      </c>
      <c r="P254" s="114">
        <f t="shared" si="245"/>
        <v>0</v>
      </c>
      <c r="Q254" s="114">
        <f t="shared" si="245"/>
        <v>0</v>
      </c>
      <c r="R254" s="115">
        <f t="shared" si="245"/>
        <v>19</v>
      </c>
      <c r="S254" s="115">
        <f t="shared" si="245"/>
        <v>3</v>
      </c>
      <c r="T254" s="115">
        <f t="shared" si="245"/>
        <v>0</v>
      </c>
      <c r="U254" s="115">
        <f t="shared" si="245"/>
        <v>0</v>
      </c>
      <c r="V254" s="115">
        <f t="shared" si="245"/>
        <v>0</v>
      </c>
      <c r="W254" s="115">
        <f t="shared" si="245"/>
        <v>9</v>
      </c>
      <c r="X254" s="115">
        <f t="shared" si="245"/>
        <v>3</v>
      </c>
      <c r="Y254" s="115">
        <f t="shared" si="245"/>
        <v>0</v>
      </c>
      <c r="Z254" s="115">
        <f t="shared" si="245"/>
        <v>0</v>
      </c>
      <c r="AA254" s="115">
        <f t="shared" si="245"/>
        <v>0</v>
      </c>
      <c r="AB254" s="5"/>
      <c r="AC254" s="5"/>
    </row>
    <row r="255" ht="14.25" customHeight="1">
      <c r="A255" s="48"/>
      <c r="B255" s="49"/>
      <c r="C255" s="56"/>
      <c r="D255" s="49"/>
      <c r="E255" s="49"/>
      <c r="F255" s="49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5"/>
      <c r="AC255" s="5"/>
    </row>
    <row r="256" ht="14.25" customHeight="1">
      <c r="A256" s="48"/>
      <c r="B256" s="116"/>
      <c r="C256" s="117"/>
      <c r="D256" s="116"/>
      <c r="E256" s="116"/>
      <c r="F256" s="116"/>
      <c r="G256" s="118">
        <f t="shared" ref="G256:AA256" si="246">SUM(G254+G185+G115+G64)</f>
        <v>197</v>
      </c>
      <c r="H256" s="118">
        <f t="shared" si="246"/>
        <v>12555</v>
      </c>
      <c r="I256" s="119">
        <f t="shared" si="246"/>
        <v>379</v>
      </c>
      <c r="J256" s="119">
        <f t="shared" si="246"/>
        <v>25830</v>
      </c>
      <c r="K256" s="119">
        <f t="shared" si="246"/>
        <v>201</v>
      </c>
      <c r="L256" s="119">
        <f t="shared" si="246"/>
        <v>13830</v>
      </c>
      <c r="M256" s="118">
        <f t="shared" si="246"/>
        <v>22</v>
      </c>
      <c r="N256" s="118">
        <f t="shared" si="246"/>
        <v>0</v>
      </c>
      <c r="O256" s="118">
        <f t="shared" si="246"/>
        <v>0</v>
      </c>
      <c r="P256" s="118">
        <f t="shared" si="246"/>
        <v>0</v>
      </c>
      <c r="Q256" s="118">
        <f t="shared" si="246"/>
        <v>0</v>
      </c>
      <c r="R256" s="119">
        <f t="shared" si="246"/>
        <v>55</v>
      </c>
      <c r="S256" s="119">
        <f t="shared" si="246"/>
        <v>6</v>
      </c>
      <c r="T256" s="119">
        <f t="shared" si="246"/>
        <v>0</v>
      </c>
      <c r="U256" s="119">
        <f t="shared" si="246"/>
        <v>0</v>
      </c>
      <c r="V256" s="119">
        <f t="shared" si="246"/>
        <v>0</v>
      </c>
      <c r="W256" s="119">
        <f t="shared" si="246"/>
        <v>30</v>
      </c>
      <c r="X256" s="119">
        <f t="shared" si="246"/>
        <v>7</v>
      </c>
      <c r="Y256" s="119">
        <f t="shared" si="246"/>
        <v>0</v>
      </c>
      <c r="Z256" s="119">
        <f t="shared" si="246"/>
        <v>0</v>
      </c>
      <c r="AA256" s="119">
        <f t="shared" si="246"/>
        <v>0</v>
      </c>
      <c r="AB256" s="33"/>
      <c r="AC256" s="33"/>
    </row>
    <row r="257" ht="14.25" customHeight="1">
      <c r="A257" s="48"/>
      <c r="B257" s="49"/>
      <c r="C257" s="56"/>
      <c r="D257" s="49"/>
      <c r="E257" s="49"/>
      <c r="F257" s="49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ht="14.25" customHeight="1">
      <c r="A258" s="48"/>
      <c r="B258" s="120"/>
      <c r="C258" s="108"/>
      <c r="D258" s="109"/>
      <c r="E258" s="109"/>
      <c r="F258" s="109"/>
      <c r="G258" s="70"/>
      <c r="H258" s="70"/>
      <c r="I258" s="82"/>
      <c r="J258" s="82"/>
      <c r="K258" s="99"/>
      <c r="L258" s="99"/>
      <c r="M258" s="121"/>
      <c r="N258" s="121"/>
      <c r="O258" s="121"/>
      <c r="P258" s="121"/>
      <c r="Q258" s="121"/>
      <c r="R258" s="122"/>
      <c r="S258" s="122"/>
      <c r="T258" s="122"/>
      <c r="U258" s="122"/>
      <c r="V258" s="122"/>
      <c r="W258" s="123"/>
      <c r="X258" s="123"/>
      <c r="Y258" s="123"/>
      <c r="Z258" s="123"/>
      <c r="AA258" s="123"/>
      <c r="AB258" s="5"/>
      <c r="AC258" s="5"/>
    </row>
    <row r="259" ht="14.25" customHeight="1">
      <c r="A259" s="48"/>
      <c r="B259" s="120"/>
      <c r="C259" s="108"/>
      <c r="D259" s="109"/>
      <c r="E259" s="109"/>
      <c r="F259" s="109"/>
      <c r="G259" s="70"/>
      <c r="H259" s="70"/>
      <c r="I259" s="82"/>
      <c r="J259" s="82"/>
      <c r="K259" s="99"/>
      <c r="L259" s="99"/>
      <c r="M259" s="121"/>
      <c r="N259" s="121"/>
      <c r="O259" s="121"/>
      <c r="P259" s="121"/>
      <c r="Q259" s="121"/>
      <c r="R259" s="122"/>
      <c r="S259" s="122"/>
      <c r="T259" s="122"/>
      <c r="U259" s="122"/>
      <c r="V259" s="122"/>
      <c r="W259" s="123"/>
      <c r="X259" s="123"/>
      <c r="Y259" s="123"/>
      <c r="Z259" s="123"/>
      <c r="AA259" s="123"/>
      <c r="AB259" s="5"/>
      <c r="AC259" s="5"/>
    </row>
    <row r="260" ht="14.25" customHeight="1">
      <c r="A260" s="48"/>
      <c r="B260" s="120"/>
      <c r="C260" s="108"/>
      <c r="D260" s="109"/>
      <c r="E260" s="109"/>
      <c r="F260" s="109"/>
      <c r="G260" s="70"/>
      <c r="H260" s="70"/>
      <c r="I260" s="82"/>
      <c r="J260" s="82"/>
      <c r="K260" s="99"/>
      <c r="L260" s="99"/>
      <c r="M260" s="121"/>
      <c r="N260" s="121"/>
      <c r="O260" s="121"/>
      <c r="P260" s="121"/>
      <c r="Q260" s="121"/>
      <c r="R260" s="122"/>
      <c r="S260" s="122"/>
      <c r="T260" s="122"/>
      <c r="U260" s="122"/>
      <c r="V260" s="122"/>
      <c r="W260" s="123"/>
      <c r="X260" s="123"/>
      <c r="Y260" s="123"/>
      <c r="Z260" s="123"/>
      <c r="AA260" s="123"/>
      <c r="AB260" s="5"/>
      <c r="AC260" s="5"/>
    </row>
    <row r="261" ht="14.25" customHeight="1">
      <c r="A261" s="48"/>
      <c r="B261" s="120"/>
      <c r="C261" s="108"/>
      <c r="D261" s="109"/>
      <c r="E261" s="109"/>
      <c r="F261" s="109"/>
      <c r="G261" s="70"/>
      <c r="H261" s="70"/>
      <c r="I261" s="82"/>
      <c r="J261" s="82"/>
      <c r="K261" s="99"/>
      <c r="L261" s="99"/>
      <c r="M261" s="121"/>
      <c r="N261" s="121"/>
      <c r="O261" s="121"/>
      <c r="P261" s="121"/>
      <c r="Q261" s="121"/>
      <c r="R261" s="122"/>
      <c r="S261" s="122"/>
      <c r="T261" s="122"/>
      <c r="U261" s="122"/>
      <c r="V261" s="122"/>
      <c r="W261" s="123"/>
      <c r="X261" s="123"/>
      <c r="Y261" s="123"/>
      <c r="Z261" s="123"/>
      <c r="AA261" s="123"/>
      <c r="AB261" s="5"/>
      <c r="AC261" s="5"/>
    </row>
    <row r="262" ht="14.25" customHeight="1">
      <c r="A262" s="48"/>
      <c r="B262" s="120"/>
      <c r="C262" s="108"/>
      <c r="D262" s="109"/>
      <c r="E262" s="109"/>
      <c r="F262" s="109"/>
      <c r="G262" s="70"/>
      <c r="H262" s="70"/>
      <c r="I262" s="82"/>
      <c r="J262" s="82"/>
      <c r="K262" s="99"/>
      <c r="L262" s="99"/>
      <c r="M262" s="121"/>
      <c r="N262" s="121"/>
      <c r="O262" s="121"/>
      <c r="P262" s="121"/>
      <c r="Q262" s="121"/>
      <c r="R262" s="122"/>
      <c r="S262" s="122"/>
      <c r="T262" s="122"/>
      <c r="U262" s="122"/>
      <c r="V262" s="122"/>
      <c r="W262" s="123"/>
      <c r="X262" s="123"/>
      <c r="Y262" s="123"/>
      <c r="Z262" s="123"/>
      <c r="AA262" s="123"/>
      <c r="AB262" s="5"/>
      <c r="AC262" s="5"/>
    </row>
    <row r="263" ht="14.25" customHeight="1">
      <c r="A263" s="48"/>
      <c r="B263" s="120"/>
      <c r="C263" s="108"/>
      <c r="D263" s="109"/>
      <c r="E263" s="109"/>
      <c r="F263" s="109"/>
      <c r="G263" s="70"/>
      <c r="H263" s="70"/>
      <c r="I263" s="82"/>
      <c r="J263" s="82"/>
      <c r="K263" s="99"/>
      <c r="L263" s="99"/>
      <c r="M263" s="121"/>
      <c r="N263" s="121"/>
      <c r="O263" s="121"/>
      <c r="P263" s="121"/>
      <c r="Q263" s="121"/>
      <c r="R263" s="122"/>
      <c r="S263" s="122"/>
      <c r="T263" s="122"/>
      <c r="U263" s="122"/>
      <c r="V263" s="122"/>
      <c r="W263" s="123"/>
      <c r="X263" s="123"/>
      <c r="Y263" s="123"/>
      <c r="Z263" s="123"/>
      <c r="AA263" s="123"/>
      <c r="AB263" s="5"/>
      <c r="AC263" s="5"/>
    </row>
    <row r="264" ht="14.25" customHeight="1">
      <c r="A264" s="48"/>
      <c r="B264" s="120"/>
      <c r="C264" s="108"/>
      <c r="D264" s="109"/>
      <c r="E264" s="109"/>
      <c r="F264" s="109"/>
      <c r="G264" s="70"/>
      <c r="H264" s="70"/>
      <c r="I264" s="82"/>
      <c r="J264" s="82"/>
      <c r="K264" s="99"/>
      <c r="L264" s="99"/>
      <c r="M264" s="121"/>
      <c r="N264" s="121"/>
      <c r="O264" s="121"/>
      <c r="P264" s="121"/>
      <c r="Q264" s="121"/>
      <c r="R264" s="122"/>
      <c r="S264" s="122"/>
      <c r="T264" s="122"/>
      <c r="U264" s="122"/>
      <c r="V264" s="122"/>
      <c r="W264" s="123"/>
      <c r="X264" s="123"/>
      <c r="Y264" s="123"/>
      <c r="Z264" s="123"/>
      <c r="AA264" s="123"/>
      <c r="AB264" s="5"/>
      <c r="AC264" s="5"/>
    </row>
    <row r="265" ht="14.25" customHeight="1">
      <c r="A265" s="48"/>
      <c r="B265" s="120"/>
      <c r="C265" s="108"/>
      <c r="D265" s="109"/>
      <c r="E265" s="109"/>
      <c r="F265" s="109"/>
      <c r="G265" s="70"/>
      <c r="H265" s="70"/>
      <c r="I265" s="82"/>
      <c r="J265" s="82"/>
      <c r="K265" s="99"/>
      <c r="L265" s="99"/>
      <c r="M265" s="121"/>
      <c r="N265" s="121"/>
      <c r="O265" s="121"/>
      <c r="P265" s="121"/>
      <c r="Q265" s="121"/>
      <c r="R265" s="122"/>
      <c r="S265" s="122"/>
      <c r="T265" s="122"/>
      <c r="U265" s="122"/>
      <c r="V265" s="122"/>
      <c r="W265" s="123"/>
      <c r="X265" s="123"/>
      <c r="Y265" s="123"/>
      <c r="Z265" s="123"/>
      <c r="AA265" s="123"/>
      <c r="AB265" s="5"/>
      <c r="AC265" s="5"/>
    </row>
    <row r="266" ht="14.25" customHeight="1">
      <c r="A266" s="48"/>
      <c r="B266" s="120"/>
      <c r="C266" s="108"/>
      <c r="D266" s="109"/>
      <c r="E266" s="109"/>
      <c r="F266" s="109"/>
      <c r="G266" s="70"/>
      <c r="H266" s="70"/>
      <c r="I266" s="82"/>
      <c r="J266" s="82"/>
      <c r="K266" s="99"/>
      <c r="L266" s="99"/>
      <c r="M266" s="121"/>
      <c r="N266" s="121"/>
      <c r="O266" s="121"/>
      <c r="P266" s="121"/>
      <c r="Q266" s="121"/>
      <c r="R266" s="122"/>
      <c r="S266" s="122"/>
      <c r="T266" s="122"/>
      <c r="U266" s="122"/>
      <c r="V266" s="122"/>
      <c r="W266" s="123"/>
      <c r="X266" s="123"/>
      <c r="Y266" s="123"/>
      <c r="Z266" s="123"/>
      <c r="AA266" s="123"/>
      <c r="AB266" s="5"/>
      <c r="AC266" s="5"/>
    </row>
    <row r="267" ht="14.25" customHeight="1">
      <c r="A267" s="48"/>
      <c r="B267" s="120"/>
      <c r="C267" s="108"/>
      <c r="D267" s="109"/>
      <c r="E267" s="109"/>
      <c r="F267" s="109"/>
      <c r="G267" s="70"/>
      <c r="H267" s="70"/>
      <c r="I267" s="82"/>
      <c r="J267" s="82"/>
      <c r="K267" s="99"/>
      <c r="L267" s="99"/>
      <c r="M267" s="121"/>
      <c r="N267" s="121"/>
      <c r="O267" s="121"/>
      <c r="P267" s="121"/>
      <c r="Q267" s="121"/>
      <c r="R267" s="122"/>
      <c r="S267" s="122"/>
      <c r="T267" s="122"/>
      <c r="U267" s="122"/>
      <c r="V267" s="122"/>
      <c r="W267" s="123"/>
      <c r="X267" s="123"/>
      <c r="Y267" s="123"/>
      <c r="Z267" s="123"/>
      <c r="AA267" s="123"/>
      <c r="AB267" s="5"/>
      <c r="AC267" s="5"/>
    </row>
    <row r="268" ht="14.25" customHeight="1">
      <c r="A268" s="48"/>
      <c r="B268" s="120"/>
      <c r="C268" s="108"/>
      <c r="D268" s="109"/>
      <c r="E268" s="109"/>
      <c r="F268" s="109"/>
      <c r="G268" s="70"/>
      <c r="H268" s="70"/>
      <c r="I268" s="82"/>
      <c r="J268" s="82"/>
      <c r="K268" s="99"/>
      <c r="L268" s="99"/>
      <c r="M268" s="121"/>
      <c r="N268" s="121"/>
      <c r="O268" s="121"/>
      <c r="P268" s="121"/>
      <c r="Q268" s="121"/>
      <c r="R268" s="122"/>
      <c r="S268" s="122"/>
      <c r="T268" s="122"/>
      <c r="U268" s="122"/>
      <c r="V268" s="122"/>
      <c r="W268" s="123"/>
      <c r="X268" s="123"/>
      <c r="Y268" s="123"/>
      <c r="Z268" s="123"/>
      <c r="AA268" s="123"/>
      <c r="AB268" s="5"/>
      <c r="AC268" s="5"/>
    </row>
    <row r="269" ht="14.25" customHeight="1">
      <c r="A269" s="48"/>
      <c r="B269" s="120"/>
      <c r="C269" s="108"/>
      <c r="D269" s="109"/>
      <c r="E269" s="109"/>
      <c r="F269" s="109"/>
      <c r="G269" s="70"/>
      <c r="H269" s="70"/>
      <c r="I269" s="82"/>
      <c r="J269" s="82"/>
      <c r="K269" s="99"/>
      <c r="L269" s="99"/>
      <c r="M269" s="121"/>
      <c r="N269" s="121"/>
      <c r="O269" s="121"/>
      <c r="P269" s="121"/>
      <c r="Q269" s="121"/>
      <c r="R269" s="122"/>
      <c r="S269" s="122"/>
      <c r="T269" s="122"/>
      <c r="U269" s="122"/>
      <c r="V269" s="122"/>
      <c r="W269" s="123"/>
      <c r="X269" s="123"/>
      <c r="Y269" s="123"/>
      <c r="Z269" s="123"/>
      <c r="AA269" s="123"/>
      <c r="AB269" s="5"/>
      <c r="AC269" s="5"/>
    </row>
    <row r="270" ht="14.25" customHeight="1">
      <c r="A270" s="48"/>
      <c r="B270" s="120"/>
      <c r="C270" s="108"/>
      <c r="D270" s="109"/>
      <c r="E270" s="109"/>
      <c r="F270" s="109"/>
      <c r="G270" s="70"/>
      <c r="H270" s="70"/>
      <c r="I270" s="82"/>
      <c r="J270" s="82"/>
      <c r="K270" s="99"/>
      <c r="L270" s="99"/>
      <c r="M270" s="121"/>
      <c r="N270" s="121"/>
      <c r="O270" s="121"/>
      <c r="P270" s="121"/>
      <c r="Q270" s="121"/>
      <c r="R270" s="122"/>
      <c r="S270" s="122"/>
      <c r="T270" s="122"/>
      <c r="U270" s="122"/>
      <c r="V270" s="122"/>
      <c r="W270" s="123"/>
      <c r="X270" s="123"/>
      <c r="Y270" s="123"/>
      <c r="Z270" s="123"/>
      <c r="AA270" s="123"/>
      <c r="AB270" s="5"/>
      <c r="AC270" s="5"/>
    </row>
    <row r="271" ht="14.25" customHeight="1">
      <c r="A271" s="48"/>
      <c r="B271" s="120"/>
      <c r="C271" s="108"/>
      <c r="D271" s="109"/>
      <c r="E271" s="109"/>
      <c r="F271" s="109"/>
      <c r="G271" s="70"/>
      <c r="H271" s="70"/>
      <c r="I271" s="82"/>
      <c r="J271" s="82"/>
      <c r="K271" s="99"/>
      <c r="L271" s="99"/>
      <c r="M271" s="121"/>
      <c r="N271" s="121"/>
      <c r="O271" s="121"/>
      <c r="P271" s="121"/>
      <c r="Q271" s="121"/>
      <c r="R271" s="122"/>
      <c r="S271" s="122"/>
      <c r="T271" s="122"/>
      <c r="U271" s="122"/>
      <c r="V271" s="122"/>
      <c r="W271" s="123"/>
      <c r="X271" s="123"/>
      <c r="Y271" s="123"/>
      <c r="Z271" s="123"/>
      <c r="AA271" s="123"/>
      <c r="AB271" s="5"/>
      <c r="AC271" s="5"/>
    </row>
    <row r="272" ht="14.25" customHeight="1">
      <c r="A272" s="48"/>
      <c r="B272" s="120"/>
      <c r="C272" s="108"/>
      <c r="D272" s="109"/>
      <c r="E272" s="109"/>
      <c r="F272" s="109"/>
      <c r="G272" s="70"/>
      <c r="H272" s="70"/>
      <c r="I272" s="82"/>
      <c r="J272" s="82"/>
      <c r="K272" s="99"/>
      <c r="L272" s="99"/>
      <c r="M272" s="121"/>
      <c r="N272" s="121"/>
      <c r="O272" s="121"/>
      <c r="P272" s="121"/>
      <c r="Q272" s="121"/>
      <c r="R272" s="122"/>
      <c r="S272" s="122"/>
      <c r="T272" s="122"/>
      <c r="U272" s="122"/>
      <c r="V272" s="122"/>
      <c r="W272" s="123"/>
      <c r="X272" s="123"/>
      <c r="Y272" s="123"/>
      <c r="Z272" s="123"/>
      <c r="AA272" s="123"/>
      <c r="AB272" s="5"/>
      <c r="AC272" s="5"/>
    </row>
    <row r="273" ht="14.25" customHeight="1">
      <c r="A273" s="48"/>
      <c r="B273" s="120"/>
      <c r="C273" s="108"/>
      <c r="D273" s="109"/>
      <c r="E273" s="109"/>
      <c r="F273" s="109"/>
      <c r="G273" s="70"/>
      <c r="H273" s="70"/>
      <c r="I273" s="82"/>
      <c r="J273" s="82"/>
      <c r="K273" s="99"/>
      <c r="L273" s="99"/>
      <c r="M273" s="121"/>
      <c r="N273" s="121"/>
      <c r="O273" s="121"/>
      <c r="P273" s="121"/>
      <c r="Q273" s="121"/>
      <c r="R273" s="122"/>
      <c r="S273" s="122"/>
      <c r="T273" s="122"/>
      <c r="U273" s="122"/>
      <c r="V273" s="122"/>
      <c r="W273" s="123"/>
      <c r="X273" s="123"/>
      <c r="Y273" s="123"/>
      <c r="Z273" s="123"/>
      <c r="AA273" s="123"/>
      <c r="AB273" s="5"/>
      <c r="AC273" s="5"/>
    </row>
    <row r="274" ht="14.25" customHeight="1">
      <c r="A274" s="48"/>
      <c r="B274" s="120"/>
      <c r="C274" s="108"/>
      <c r="D274" s="109"/>
      <c r="E274" s="109"/>
      <c r="F274" s="109"/>
      <c r="G274" s="70"/>
      <c r="H274" s="70"/>
      <c r="I274" s="82"/>
      <c r="J274" s="82"/>
      <c r="K274" s="99"/>
      <c r="L274" s="99"/>
      <c r="M274" s="121"/>
      <c r="N274" s="121"/>
      <c r="O274" s="121"/>
      <c r="P274" s="121"/>
      <c r="Q274" s="121"/>
      <c r="R274" s="122"/>
      <c r="S274" s="122"/>
      <c r="T274" s="122"/>
      <c r="U274" s="122"/>
      <c r="V274" s="122"/>
      <c r="W274" s="123"/>
      <c r="X274" s="123"/>
      <c r="Y274" s="123"/>
      <c r="Z274" s="123"/>
      <c r="AA274" s="123"/>
      <c r="AB274" s="5"/>
      <c r="AC274" s="5"/>
    </row>
    <row r="275" ht="14.25" customHeight="1">
      <c r="A275" s="48"/>
      <c r="B275" s="120"/>
      <c r="C275" s="108"/>
      <c r="D275" s="109"/>
      <c r="E275" s="109"/>
      <c r="F275" s="109"/>
      <c r="G275" s="70"/>
      <c r="H275" s="70"/>
      <c r="I275" s="82"/>
      <c r="J275" s="82"/>
      <c r="K275" s="99"/>
      <c r="L275" s="99"/>
      <c r="M275" s="121"/>
      <c r="N275" s="121"/>
      <c r="O275" s="121"/>
      <c r="P275" s="121"/>
      <c r="Q275" s="121"/>
      <c r="R275" s="122"/>
      <c r="S275" s="122"/>
      <c r="T275" s="122"/>
      <c r="U275" s="122"/>
      <c r="V275" s="122"/>
      <c r="W275" s="123"/>
      <c r="X275" s="123"/>
      <c r="Y275" s="123"/>
      <c r="Z275" s="123"/>
      <c r="AA275" s="123"/>
      <c r="AB275" s="5"/>
      <c r="AC275" s="5"/>
    </row>
    <row r="276" ht="14.25" customHeight="1">
      <c r="A276" s="48"/>
      <c r="B276" s="120"/>
      <c r="C276" s="108"/>
      <c r="D276" s="109"/>
      <c r="E276" s="109"/>
      <c r="F276" s="109"/>
      <c r="G276" s="70"/>
      <c r="H276" s="70"/>
      <c r="I276" s="82"/>
      <c r="J276" s="82"/>
      <c r="K276" s="99"/>
      <c r="L276" s="99"/>
      <c r="M276" s="121"/>
      <c r="N276" s="121"/>
      <c r="O276" s="121"/>
      <c r="P276" s="121"/>
      <c r="Q276" s="121"/>
      <c r="R276" s="122"/>
      <c r="S276" s="122"/>
      <c r="T276" s="122"/>
      <c r="U276" s="122"/>
      <c r="V276" s="122"/>
      <c r="W276" s="123"/>
      <c r="X276" s="123"/>
      <c r="Y276" s="123"/>
      <c r="Z276" s="123"/>
      <c r="AA276" s="123"/>
      <c r="AB276" s="5"/>
      <c r="AC276" s="5"/>
    </row>
    <row r="277" ht="14.25" customHeight="1">
      <c r="A277" s="48"/>
      <c r="B277" s="120"/>
      <c r="C277" s="108"/>
      <c r="D277" s="109"/>
      <c r="E277" s="109"/>
      <c r="F277" s="109"/>
      <c r="G277" s="70"/>
      <c r="H277" s="70"/>
      <c r="I277" s="82"/>
      <c r="J277" s="82"/>
      <c r="K277" s="99"/>
      <c r="L277" s="99"/>
      <c r="M277" s="121"/>
      <c r="N277" s="121"/>
      <c r="O277" s="121"/>
      <c r="P277" s="121"/>
      <c r="Q277" s="121"/>
      <c r="R277" s="122"/>
      <c r="S277" s="122"/>
      <c r="T277" s="122"/>
      <c r="U277" s="122"/>
      <c r="V277" s="122"/>
      <c r="W277" s="123"/>
      <c r="X277" s="123"/>
      <c r="Y277" s="123"/>
      <c r="Z277" s="123"/>
      <c r="AA277" s="123"/>
      <c r="AB277" s="5"/>
      <c r="AC277" s="5"/>
    </row>
    <row r="278" ht="14.25" customHeight="1">
      <c r="A278" s="48"/>
      <c r="B278" s="120"/>
      <c r="C278" s="108"/>
      <c r="D278" s="109"/>
      <c r="E278" s="109"/>
      <c r="F278" s="109"/>
      <c r="G278" s="70"/>
      <c r="H278" s="70"/>
      <c r="I278" s="82"/>
      <c r="J278" s="82"/>
      <c r="K278" s="99"/>
      <c r="L278" s="99"/>
      <c r="M278" s="121"/>
      <c r="N278" s="121"/>
      <c r="O278" s="121"/>
      <c r="P278" s="121"/>
      <c r="Q278" s="121"/>
      <c r="R278" s="122"/>
      <c r="S278" s="122"/>
      <c r="T278" s="122"/>
      <c r="U278" s="122"/>
      <c r="V278" s="122"/>
      <c r="W278" s="123"/>
      <c r="X278" s="123"/>
      <c r="Y278" s="123"/>
      <c r="Z278" s="123"/>
      <c r="AA278" s="123"/>
      <c r="AB278" s="5"/>
      <c r="AC278" s="5"/>
    </row>
    <row r="279" ht="14.25" customHeight="1">
      <c r="A279" s="48"/>
      <c r="B279" s="120"/>
      <c r="C279" s="108"/>
      <c r="D279" s="109"/>
      <c r="E279" s="109"/>
      <c r="F279" s="109"/>
      <c r="G279" s="70"/>
      <c r="H279" s="70"/>
      <c r="I279" s="82"/>
      <c r="J279" s="82"/>
      <c r="K279" s="99"/>
      <c r="L279" s="99"/>
      <c r="M279" s="121"/>
      <c r="N279" s="121"/>
      <c r="O279" s="121"/>
      <c r="P279" s="121"/>
      <c r="Q279" s="121"/>
      <c r="R279" s="122"/>
      <c r="S279" s="122"/>
      <c r="T279" s="122"/>
      <c r="U279" s="122"/>
      <c r="V279" s="122"/>
      <c r="W279" s="123"/>
      <c r="X279" s="123"/>
      <c r="Y279" s="123"/>
      <c r="Z279" s="123"/>
      <c r="AA279" s="123"/>
      <c r="AB279" s="5"/>
      <c r="AC279" s="5"/>
    </row>
    <row r="280" ht="14.25" customHeight="1">
      <c r="A280" s="48"/>
      <c r="B280" s="120"/>
      <c r="C280" s="108"/>
      <c r="D280" s="109"/>
      <c r="E280" s="109"/>
      <c r="F280" s="109"/>
      <c r="G280" s="70"/>
      <c r="H280" s="70"/>
      <c r="I280" s="82"/>
      <c r="J280" s="82"/>
      <c r="K280" s="99"/>
      <c r="L280" s="99"/>
      <c r="M280" s="121"/>
      <c r="N280" s="121"/>
      <c r="O280" s="121"/>
      <c r="P280" s="121"/>
      <c r="Q280" s="121"/>
      <c r="R280" s="122"/>
      <c r="S280" s="122"/>
      <c r="T280" s="122"/>
      <c r="U280" s="122"/>
      <c r="V280" s="122"/>
      <c r="W280" s="123"/>
      <c r="X280" s="123"/>
      <c r="Y280" s="123"/>
      <c r="Z280" s="123"/>
      <c r="AA280" s="123"/>
      <c r="AB280" s="5"/>
      <c r="AC280" s="5"/>
    </row>
    <row r="281" ht="14.25" customHeight="1">
      <c r="A281" s="48"/>
      <c r="B281" s="120"/>
      <c r="C281" s="108"/>
      <c r="D281" s="109"/>
      <c r="E281" s="109"/>
      <c r="F281" s="109"/>
      <c r="G281" s="70"/>
      <c r="H281" s="70"/>
      <c r="I281" s="82"/>
      <c r="J281" s="82"/>
      <c r="K281" s="99"/>
      <c r="L281" s="99"/>
      <c r="M281" s="121"/>
      <c r="N281" s="121"/>
      <c r="O281" s="121"/>
      <c r="P281" s="121"/>
      <c r="Q281" s="121"/>
      <c r="R281" s="122"/>
      <c r="S281" s="122"/>
      <c r="T281" s="122"/>
      <c r="U281" s="122"/>
      <c r="V281" s="122"/>
      <c r="W281" s="123"/>
      <c r="X281" s="123"/>
      <c r="Y281" s="123"/>
      <c r="Z281" s="123"/>
      <c r="AA281" s="123"/>
      <c r="AB281" s="5"/>
      <c r="AC281" s="5"/>
    </row>
    <row r="282" ht="14.25" customHeight="1">
      <c r="A282" s="48"/>
      <c r="B282" s="120"/>
      <c r="C282" s="108"/>
      <c r="D282" s="109"/>
      <c r="E282" s="109"/>
      <c r="F282" s="109"/>
      <c r="G282" s="70"/>
      <c r="H282" s="70"/>
      <c r="I282" s="82"/>
      <c r="J282" s="82"/>
      <c r="K282" s="99"/>
      <c r="L282" s="99"/>
      <c r="M282" s="121"/>
      <c r="N282" s="121"/>
      <c r="O282" s="121"/>
      <c r="P282" s="121"/>
      <c r="Q282" s="121"/>
      <c r="R282" s="122"/>
      <c r="S282" s="122"/>
      <c r="T282" s="122"/>
      <c r="U282" s="122"/>
      <c r="V282" s="122"/>
      <c r="W282" s="123"/>
      <c r="X282" s="123"/>
      <c r="Y282" s="123"/>
      <c r="Z282" s="123"/>
      <c r="AA282" s="123"/>
      <c r="AB282" s="5"/>
      <c r="AC282" s="5"/>
    </row>
    <row r="283" ht="14.25" customHeight="1">
      <c r="A283" s="48"/>
      <c r="B283" s="120"/>
      <c r="C283" s="108"/>
      <c r="D283" s="109"/>
      <c r="E283" s="109"/>
      <c r="F283" s="109"/>
      <c r="G283" s="70"/>
      <c r="H283" s="70"/>
      <c r="I283" s="82"/>
      <c r="J283" s="82"/>
      <c r="K283" s="99"/>
      <c r="L283" s="99"/>
      <c r="M283" s="121"/>
      <c r="N283" s="121"/>
      <c r="O283" s="121"/>
      <c r="P283" s="121"/>
      <c r="Q283" s="121"/>
      <c r="R283" s="122"/>
      <c r="S283" s="122"/>
      <c r="T283" s="122"/>
      <c r="U283" s="122"/>
      <c r="V283" s="122"/>
      <c r="W283" s="123"/>
      <c r="X283" s="123"/>
      <c r="Y283" s="123"/>
      <c r="Z283" s="123"/>
      <c r="AA283" s="123"/>
      <c r="AB283" s="5"/>
      <c r="AC283" s="5"/>
    </row>
    <row r="284" ht="14.25" customHeight="1">
      <c r="A284" s="48"/>
      <c r="B284" s="120"/>
      <c r="C284" s="108"/>
      <c r="D284" s="109"/>
      <c r="E284" s="109"/>
      <c r="F284" s="109"/>
      <c r="G284" s="70"/>
      <c r="H284" s="70"/>
      <c r="I284" s="82"/>
      <c r="J284" s="82"/>
      <c r="K284" s="99"/>
      <c r="L284" s="99"/>
      <c r="M284" s="121"/>
      <c r="N284" s="121"/>
      <c r="O284" s="121"/>
      <c r="P284" s="121"/>
      <c r="Q284" s="121"/>
      <c r="R284" s="122"/>
      <c r="S284" s="122"/>
      <c r="T284" s="122"/>
      <c r="U284" s="122"/>
      <c r="V284" s="122"/>
      <c r="W284" s="123"/>
      <c r="X284" s="123"/>
      <c r="Y284" s="123"/>
      <c r="Z284" s="123"/>
      <c r="AA284" s="123"/>
      <c r="AB284" s="5"/>
      <c r="AC284" s="5"/>
    </row>
    <row r="285" ht="14.25" customHeight="1">
      <c r="A285" s="48"/>
      <c r="B285" s="120"/>
      <c r="C285" s="108"/>
      <c r="D285" s="109"/>
      <c r="E285" s="109"/>
      <c r="F285" s="109"/>
      <c r="G285" s="70"/>
      <c r="H285" s="70"/>
      <c r="I285" s="82"/>
      <c r="J285" s="82"/>
      <c r="K285" s="99"/>
      <c r="L285" s="99"/>
      <c r="M285" s="121"/>
      <c r="N285" s="121"/>
      <c r="O285" s="121"/>
      <c r="P285" s="121"/>
      <c r="Q285" s="121"/>
      <c r="R285" s="122"/>
      <c r="S285" s="122"/>
      <c r="T285" s="122"/>
      <c r="U285" s="122"/>
      <c r="V285" s="122"/>
      <c r="W285" s="123"/>
      <c r="X285" s="123"/>
      <c r="Y285" s="123"/>
      <c r="Z285" s="123"/>
      <c r="AA285" s="123"/>
      <c r="AB285" s="5"/>
      <c r="AC285" s="5"/>
    </row>
    <row r="286" ht="14.25" customHeight="1">
      <c r="A286" s="48"/>
      <c r="B286" s="120"/>
      <c r="C286" s="108"/>
      <c r="D286" s="109"/>
      <c r="E286" s="109"/>
      <c r="F286" s="109"/>
      <c r="G286" s="70"/>
      <c r="H286" s="70"/>
      <c r="I286" s="82"/>
      <c r="J286" s="82"/>
      <c r="K286" s="99"/>
      <c r="L286" s="99"/>
      <c r="M286" s="121"/>
      <c r="N286" s="121"/>
      <c r="O286" s="121"/>
      <c r="P286" s="121"/>
      <c r="Q286" s="121"/>
      <c r="R286" s="122"/>
      <c r="S286" s="122"/>
      <c r="T286" s="122"/>
      <c r="U286" s="122"/>
      <c r="V286" s="122"/>
      <c r="W286" s="123"/>
      <c r="X286" s="123"/>
      <c r="Y286" s="123"/>
      <c r="Z286" s="123"/>
      <c r="AA286" s="123"/>
      <c r="AB286" s="5"/>
      <c r="AC286" s="5"/>
    </row>
    <row r="287" ht="14.25" customHeight="1">
      <c r="A287" s="48"/>
      <c r="B287" s="120"/>
      <c r="C287" s="108"/>
      <c r="D287" s="109"/>
      <c r="E287" s="109"/>
      <c r="F287" s="109"/>
      <c r="G287" s="70"/>
      <c r="H287" s="70"/>
      <c r="I287" s="82"/>
      <c r="J287" s="82"/>
      <c r="K287" s="99"/>
      <c r="L287" s="99"/>
      <c r="M287" s="121"/>
      <c r="N287" s="121"/>
      <c r="O287" s="121"/>
      <c r="P287" s="121"/>
      <c r="Q287" s="121"/>
      <c r="R287" s="122"/>
      <c r="S287" s="122"/>
      <c r="T287" s="122"/>
      <c r="U287" s="122"/>
      <c r="V287" s="122"/>
      <c r="W287" s="123"/>
      <c r="X287" s="123"/>
      <c r="Y287" s="123"/>
      <c r="Z287" s="123"/>
      <c r="AA287" s="123"/>
      <c r="AB287" s="5"/>
      <c r="AC287" s="5"/>
    </row>
    <row r="288" ht="14.25" customHeight="1">
      <c r="A288" s="48"/>
      <c r="B288" s="120"/>
      <c r="C288" s="108"/>
      <c r="D288" s="109"/>
      <c r="E288" s="109"/>
      <c r="F288" s="109"/>
      <c r="G288" s="70"/>
      <c r="H288" s="70"/>
      <c r="I288" s="82"/>
      <c r="J288" s="82"/>
      <c r="K288" s="99"/>
      <c r="L288" s="99"/>
      <c r="M288" s="121"/>
      <c r="N288" s="121"/>
      <c r="O288" s="121"/>
      <c r="P288" s="121"/>
      <c r="Q288" s="121"/>
      <c r="R288" s="122"/>
      <c r="S288" s="122"/>
      <c r="T288" s="122"/>
      <c r="U288" s="122"/>
      <c r="V288" s="122"/>
      <c r="W288" s="123"/>
      <c r="X288" s="123"/>
      <c r="Y288" s="123"/>
      <c r="Z288" s="123"/>
      <c r="AA288" s="123"/>
      <c r="AB288" s="5"/>
      <c r="AC288" s="5"/>
    </row>
    <row r="289" ht="14.25" customHeight="1">
      <c r="A289" s="48"/>
      <c r="B289" s="120"/>
      <c r="C289" s="108"/>
      <c r="D289" s="109"/>
      <c r="E289" s="109"/>
      <c r="F289" s="109"/>
      <c r="G289" s="70"/>
      <c r="H289" s="70"/>
      <c r="I289" s="82"/>
      <c r="J289" s="82"/>
      <c r="K289" s="99"/>
      <c r="L289" s="99"/>
      <c r="M289" s="121"/>
      <c r="N289" s="121"/>
      <c r="O289" s="121"/>
      <c r="P289" s="121"/>
      <c r="Q289" s="121"/>
      <c r="R289" s="122"/>
      <c r="S289" s="122"/>
      <c r="T289" s="122"/>
      <c r="U289" s="122"/>
      <c r="V289" s="122"/>
      <c r="W289" s="123"/>
      <c r="X289" s="123"/>
      <c r="Y289" s="123"/>
      <c r="Z289" s="123"/>
      <c r="AA289" s="123"/>
      <c r="AB289" s="5"/>
      <c r="AC289" s="5"/>
    </row>
    <row r="290" ht="14.25" customHeight="1">
      <c r="A290" s="48"/>
      <c r="B290" s="120"/>
      <c r="C290" s="108"/>
      <c r="D290" s="109"/>
      <c r="E290" s="109"/>
      <c r="F290" s="109"/>
      <c r="G290" s="70"/>
      <c r="H290" s="70"/>
      <c r="I290" s="82"/>
      <c r="J290" s="82"/>
      <c r="K290" s="99"/>
      <c r="L290" s="99"/>
      <c r="M290" s="121"/>
      <c r="N290" s="121"/>
      <c r="O290" s="121"/>
      <c r="P290" s="121"/>
      <c r="Q290" s="121"/>
      <c r="R290" s="122"/>
      <c r="S290" s="122"/>
      <c r="T290" s="122"/>
      <c r="U290" s="122"/>
      <c r="V290" s="122"/>
      <c r="W290" s="123"/>
      <c r="X290" s="123"/>
      <c r="Y290" s="123"/>
      <c r="Z290" s="123"/>
      <c r="AA290" s="123"/>
      <c r="AB290" s="5"/>
      <c r="AC290" s="5"/>
    </row>
    <row r="291" ht="14.25" customHeight="1">
      <c r="A291" s="48"/>
      <c r="B291" s="120"/>
      <c r="C291" s="108"/>
      <c r="D291" s="109"/>
      <c r="E291" s="109"/>
      <c r="F291" s="109"/>
      <c r="G291" s="70"/>
      <c r="H291" s="70"/>
      <c r="I291" s="82"/>
      <c r="J291" s="82"/>
      <c r="K291" s="99"/>
      <c r="L291" s="99"/>
      <c r="M291" s="121"/>
      <c r="N291" s="121"/>
      <c r="O291" s="121"/>
      <c r="P291" s="121"/>
      <c r="Q291" s="121"/>
      <c r="R291" s="122"/>
      <c r="S291" s="122"/>
      <c r="T291" s="122"/>
      <c r="U291" s="122"/>
      <c r="V291" s="122"/>
      <c r="W291" s="123"/>
      <c r="X291" s="123"/>
      <c r="Y291" s="123"/>
      <c r="Z291" s="123"/>
      <c r="AA291" s="123"/>
      <c r="AB291" s="5"/>
      <c r="AC291" s="5"/>
    </row>
    <row r="292" ht="14.25" customHeight="1">
      <c r="A292" s="48"/>
      <c r="B292" s="120"/>
      <c r="C292" s="108"/>
      <c r="D292" s="109"/>
      <c r="E292" s="109"/>
      <c r="F292" s="109"/>
      <c r="G292" s="70"/>
      <c r="H292" s="70"/>
      <c r="I292" s="82"/>
      <c r="J292" s="82"/>
      <c r="K292" s="99"/>
      <c r="L292" s="99"/>
      <c r="M292" s="121"/>
      <c r="N292" s="121"/>
      <c r="O292" s="121"/>
      <c r="P292" s="121"/>
      <c r="Q292" s="121"/>
      <c r="R292" s="122"/>
      <c r="S292" s="122"/>
      <c r="T292" s="122"/>
      <c r="U292" s="122"/>
      <c r="V292" s="122"/>
      <c r="W292" s="123"/>
      <c r="X292" s="123"/>
      <c r="Y292" s="123"/>
      <c r="Z292" s="123"/>
      <c r="AA292" s="123"/>
      <c r="AB292" s="5"/>
      <c r="AC292" s="5"/>
    </row>
    <row r="293" ht="14.25" customHeight="1">
      <c r="A293" s="48"/>
      <c r="B293" s="120"/>
      <c r="C293" s="108"/>
      <c r="D293" s="109"/>
      <c r="E293" s="109"/>
      <c r="F293" s="109"/>
      <c r="G293" s="70"/>
      <c r="H293" s="70"/>
      <c r="I293" s="82"/>
      <c r="J293" s="82"/>
      <c r="K293" s="99"/>
      <c r="L293" s="99"/>
      <c r="M293" s="121"/>
      <c r="N293" s="121"/>
      <c r="O293" s="121"/>
      <c r="P293" s="121"/>
      <c r="Q293" s="121"/>
      <c r="R293" s="122"/>
      <c r="S293" s="122"/>
      <c r="T293" s="122"/>
      <c r="U293" s="122"/>
      <c r="V293" s="122"/>
      <c r="W293" s="123"/>
      <c r="X293" s="123"/>
      <c r="Y293" s="123"/>
      <c r="Z293" s="123"/>
      <c r="AA293" s="123"/>
      <c r="AB293" s="5"/>
      <c r="AC293" s="5"/>
    </row>
    <row r="294" ht="14.25" customHeight="1">
      <c r="A294" s="48"/>
      <c r="B294" s="120"/>
      <c r="C294" s="108"/>
      <c r="D294" s="109"/>
      <c r="E294" s="109"/>
      <c r="F294" s="109"/>
      <c r="G294" s="70"/>
      <c r="H294" s="70"/>
      <c r="I294" s="82"/>
      <c r="J294" s="82"/>
      <c r="K294" s="99"/>
      <c r="L294" s="99"/>
      <c r="M294" s="121"/>
      <c r="N294" s="121"/>
      <c r="O294" s="121"/>
      <c r="P294" s="121"/>
      <c r="Q294" s="121"/>
      <c r="R294" s="122"/>
      <c r="S294" s="122"/>
      <c r="T294" s="122"/>
      <c r="U294" s="122"/>
      <c r="V294" s="122"/>
      <c r="W294" s="123"/>
      <c r="X294" s="123"/>
      <c r="Y294" s="123"/>
      <c r="Z294" s="123"/>
      <c r="AA294" s="123"/>
      <c r="AB294" s="5"/>
      <c r="AC294" s="5"/>
    </row>
    <row r="295" ht="14.25" customHeight="1">
      <c r="A295" s="48"/>
      <c r="B295" s="120"/>
      <c r="C295" s="108"/>
      <c r="D295" s="109"/>
      <c r="E295" s="109"/>
      <c r="F295" s="109"/>
      <c r="G295" s="70"/>
      <c r="H295" s="70"/>
      <c r="I295" s="82"/>
      <c r="J295" s="82"/>
      <c r="K295" s="99"/>
      <c r="L295" s="99"/>
      <c r="M295" s="121"/>
      <c r="N295" s="121"/>
      <c r="O295" s="121"/>
      <c r="P295" s="121"/>
      <c r="Q295" s="121"/>
      <c r="R295" s="122"/>
      <c r="S295" s="122"/>
      <c r="T295" s="122"/>
      <c r="U295" s="122"/>
      <c r="V295" s="122"/>
      <c r="W295" s="123"/>
      <c r="X295" s="123"/>
      <c r="Y295" s="123"/>
      <c r="Z295" s="123"/>
      <c r="AA295" s="123"/>
      <c r="AB295" s="5"/>
      <c r="AC295" s="5"/>
    </row>
    <row r="296" ht="14.25" customHeight="1">
      <c r="A296" s="48"/>
      <c r="B296" s="120"/>
      <c r="C296" s="108"/>
      <c r="D296" s="109"/>
      <c r="E296" s="109"/>
      <c r="F296" s="109"/>
      <c r="G296" s="70"/>
      <c r="H296" s="70"/>
      <c r="I296" s="82"/>
      <c r="J296" s="82"/>
      <c r="K296" s="99"/>
      <c r="L296" s="99"/>
      <c r="M296" s="121"/>
      <c r="N296" s="121"/>
      <c r="O296" s="121"/>
      <c r="P296" s="121"/>
      <c r="Q296" s="121"/>
      <c r="R296" s="122"/>
      <c r="S296" s="122"/>
      <c r="T296" s="122"/>
      <c r="U296" s="122"/>
      <c r="V296" s="122"/>
      <c r="W296" s="123"/>
      <c r="X296" s="123"/>
      <c r="Y296" s="123"/>
      <c r="Z296" s="123"/>
      <c r="AA296" s="123"/>
      <c r="AB296" s="5"/>
      <c r="AC296" s="5"/>
    </row>
    <row r="297" ht="14.25" customHeight="1">
      <c r="A297" s="48"/>
      <c r="B297" s="120"/>
      <c r="C297" s="108"/>
      <c r="D297" s="109"/>
      <c r="E297" s="109"/>
      <c r="F297" s="109"/>
      <c r="G297" s="70"/>
      <c r="H297" s="70"/>
      <c r="I297" s="82"/>
      <c r="J297" s="82"/>
      <c r="K297" s="99"/>
      <c r="L297" s="99"/>
      <c r="M297" s="121"/>
      <c r="N297" s="121"/>
      <c r="O297" s="121"/>
      <c r="P297" s="121"/>
      <c r="Q297" s="121"/>
      <c r="R297" s="122"/>
      <c r="S297" s="122"/>
      <c r="T297" s="122"/>
      <c r="U297" s="122"/>
      <c r="V297" s="122"/>
      <c r="W297" s="123"/>
      <c r="X297" s="123"/>
      <c r="Y297" s="123"/>
      <c r="Z297" s="123"/>
      <c r="AA297" s="123"/>
      <c r="AB297" s="5"/>
      <c r="AC297" s="5"/>
    </row>
    <row r="298" ht="14.25" customHeight="1">
      <c r="A298" s="48"/>
      <c r="B298" s="120"/>
      <c r="C298" s="108"/>
      <c r="D298" s="109"/>
      <c r="E298" s="109"/>
      <c r="F298" s="109"/>
      <c r="G298" s="70"/>
      <c r="H298" s="70"/>
      <c r="I298" s="82"/>
      <c r="J298" s="82"/>
      <c r="K298" s="99"/>
      <c r="L298" s="99"/>
      <c r="M298" s="121"/>
      <c r="N298" s="121"/>
      <c r="O298" s="121"/>
      <c r="P298" s="121"/>
      <c r="Q298" s="121"/>
      <c r="R298" s="122"/>
      <c r="S298" s="122"/>
      <c r="T298" s="122"/>
      <c r="U298" s="122"/>
      <c r="V298" s="122"/>
      <c r="W298" s="123"/>
      <c r="X298" s="123"/>
      <c r="Y298" s="123"/>
      <c r="Z298" s="123"/>
      <c r="AA298" s="123"/>
      <c r="AB298" s="5"/>
      <c r="AC298" s="5"/>
    </row>
    <row r="299" ht="14.25" customHeight="1">
      <c r="A299" s="48"/>
      <c r="B299" s="120"/>
      <c r="C299" s="108"/>
      <c r="D299" s="109"/>
      <c r="E299" s="109"/>
      <c r="F299" s="109"/>
      <c r="G299" s="70"/>
      <c r="H299" s="70"/>
      <c r="I299" s="82"/>
      <c r="J299" s="82"/>
      <c r="K299" s="99"/>
      <c r="L299" s="99"/>
      <c r="M299" s="121"/>
      <c r="N299" s="121"/>
      <c r="O299" s="121"/>
      <c r="P299" s="121"/>
      <c r="Q299" s="121"/>
      <c r="R299" s="122"/>
      <c r="S299" s="122"/>
      <c r="T299" s="122"/>
      <c r="U299" s="122"/>
      <c r="V299" s="122"/>
      <c r="W299" s="123"/>
      <c r="X299" s="123"/>
      <c r="Y299" s="123"/>
      <c r="Z299" s="123"/>
      <c r="AA299" s="123"/>
      <c r="AB299" s="5"/>
      <c r="AC299" s="5"/>
    </row>
    <row r="300" ht="14.25" customHeight="1">
      <c r="A300" s="48"/>
      <c r="B300" s="120"/>
      <c r="C300" s="108"/>
      <c r="D300" s="109"/>
      <c r="E300" s="109"/>
      <c r="F300" s="109"/>
      <c r="G300" s="70"/>
      <c r="H300" s="70"/>
      <c r="I300" s="82"/>
      <c r="J300" s="82"/>
      <c r="K300" s="99"/>
      <c r="L300" s="99"/>
      <c r="M300" s="121"/>
      <c r="N300" s="121"/>
      <c r="O300" s="121"/>
      <c r="P300" s="121"/>
      <c r="Q300" s="121"/>
      <c r="R300" s="122"/>
      <c r="S300" s="122"/>
      <c r="T300" s="122"/>
      <c r="U300" s="122"/>
      <c r="V300" s="122"/>
      <c r="W300" s="123"/>
      <c r="X300" s="123"/>
      <c r="Y300" s="123"/>
      <c r="Z300" s="123"/>
      <c r="AA300" s="123"/>
      <c r="AB300" s="5"/>
      <c r="AC300" s="5"/>
    </row>
    <row r="301" ht="14.25" customHeight="1">
      <c r="A301" s="48"/>
      <c r="B301" s="120"/>
      <c r="C301" s="108"/>
      <c r="D301" s="109"/>
      <c r="E301" s="109"/>
      <c r="F301" s="109"/>
      <c r="G301" s="70"/>
      <c r="H301" s="70"/>
      <c r="I301" s="82"/>
      <c r="J301" s="82"/>
      <c r="K301" s="99"/>
      <c r="L301" s="99"/>
      <c r="M301" s="121"/>
      <c r="N301" s="121"/>
      <c r="O301" s="121"/>
      <c r="P301" s="121"/>
      <c r="Q301" s="121"/>
      <c r="R301" s="122"/>
      <c r="S301" s="122"/>
      <c r="T301" s="122"/>
      <c r="U301" s="122"/>
      <c r="V301" s="122"/>
      <c r="W301" s="123"/>
      <c r="X301" s="123"/>
      <c r="Y301" s="123"/>
      <c r="Z301" s="123"/>
      <c r="AA301" s="123"/>
      <c r="AB301" s="5"/>
      <c r="AC301" s="5"/>
    </row>
    <row r="302" ht="14.25" customHeight="1">
      <c r="A302" s="48"/>
      <c r="B302" s="120"/>
      <c r="C302" s="108"/>
      <c r="D302" s="109"/>
      <c r="E302" s="109"/>
      <c r="F302" s="109"/>
      <c r="G302" s="70"/>
      <c r="H302" s="70"/>
      <c r="I302" s="82"/>
      <c r="J302" s="82"/>
      <c r="K302" s="99"/>
      <c r="L302" s="99"/>
      <c r="M302" s="121"/>
      <c r="N302" s="121"/>
      <c r="O302" s="121"/>
      <c r="P302" s="121"/>
      <c r="Q302" s="121"/>
      <c r="R302" s="122"/>
      <c r="S302" s="122"/>
      <c r="T302" s="122"/>
      <c r="U302" s="122"/>
      <c r="V302" s="122"/>
      <c r="W302" s="123"/>
      <c r="X302" s="123"/>
      <c r="Y302" s="123"/>
      <c r="Z302" s="123"/>
      <c r="AA302" s="123"/>
      <c r="AB302" s="5"/>
      <c r="AC302" s="5"/>
    </row>
    <row r="303" ht="14.25" customHeight="1">
      <c r="A303" s="48"/>
      <c r="B303" s="120"/>
      <c r="C303" s="108"/>
      <c r="D303" s="109"/>
      <c r="E303" s="109"/>
      <c r="F303" s="109"/>
      <c r="G303" s="70"/>
      <c r="H303" s="70"/>
      <c r="I303" s="82"/>
      <c r="J303" s="82"/>
      <c r="K303" s="99"/>
      <c r="L303" s="99"/>
      <c r="M303" s="121"/>
      <c r="N303" s="121"/>
      <c r="O303" s="121"/>
      <c r="P303" s="121"/>
      <c r="Q303" s="121"/>
      <c r="R303" s="122"/>
      <c r="S303" s="122"/>
      <c r="T303" s="122"/>
      <c r="U303" s="122"/>
      <c r="V303" s="122"/>
      <c r="W303" s="123"/>
      <c r="X303" s="123"/>
      <c r="Y303" s="123"/>
      <c r="Z303" s="123"/>
      <c r="AA303" s="123"/>
      <c r="AB303" s="5"/>
      <c r="AC303" s="5"/>
    </row>
    <row r="304" ht="14.25" customHeight="1">
      <c r="A304" s="48"/>
      <c r="B304" s="120"/>
      <c r="C304" s="108"/>
      <c r="D304" s="109"/>
      <c r="E304" s="109"/>
      <c r="F304" s="109"/>
      <c r="G304" s="70"/>
      <c r="H304" s="70"/>
      <c r="I304" s="82"/>
      <c r="J304" s="82"/>
      <c r="K304" s="99"/>
      <c r="L304" s="99"/>
      <c r="M304" s="121"/>
      <c r="N304" s="121"/>
      <c r="O304" s="121"/>
      <c r="P304" s="121"/>
      <c r="Q304" s="121"/>
      <c r="R304" s="122"/>
      <c r="S304" s="122"/>
      <c r="T304" s="122"/>
      <c r="U304" s="122"/>
      <c r="V304" s="122"/>
      <c r="W304" s="123"/>
      <c r="X304" s="123"/>
      <c r="Y304" s="123"/>
      <c r="Z304" s="123"/>
      <c r="AA304" s="123"/>
      <c r="AB304" s="5"/>
      <c r="AC304" s="5"/>
    </row>
    <row r="305" ht="14.25" customHeight="1">
      <c r="A305" s="48"/>
      <c r="B305" s="120"/>
      <c r="C305" s="108"/>
      <c r="D305" s="109"/>
      <c r="E305" s="109"/>
      <c r="F305" s="109"/>
      <c r="G305" s="70"/>
      <c r="H305" s="70"/>
      <c r="I305" s="82"/>
      <c r="J305" s="82"/>
      <c r="K305" s="99"/>
      <c r="L305" s="99"/>
      <c r="M305" s="121"/>
      <c r="N305" s="121"/>
      <c r="O305" s="121"/>
      <c r="P305" s="121"/>
      <c r="Q305" s="121"/>
      <c r="R305" s="122"/>
      <c r="S305" s="122"/>
      <c r="T305" s="122"/>
      <c r="U305" s="122"/>
      <c r="V305" s="122"/>
      <c r="W305" s="123"/>
      <c r="X305" s="123"/>
      <c r="Y305" s="123"/>
      <c r="Z305" s="123"/>
      <c r="AA305" s="123"/>
      <c r="AB305" s="5"/>
      <c r="AC305" s="5"/>
    </row>
    <row r="306" ht="14.25" customHeight="1">
      <c r="A306" s="48"/>
      <c r="B306" s="120"/>
      <c r="C306" s="108"/>
      <c r="D306" s="109"/>
      <c r="E306" s="109"/>
      <c r="F306" s="109"/>
      <c r="G306" s="70"/>
      <c r="H306" s="70"/>
      <c r="I306" s="82"/>
      <c r="J306" s="82"/>
      <c r="K306" s="99"/>
      <c r="L306" s="99"/>
      <c r="M306" s="121"/>
      <c r="N306" s="121"/>
      <c r="O306" s="121"/>
      <c r="P306" s="121"/>
      <c r="Q306" s="121"/>
      <c r="R306" s="122"/>
      <c r="S306" s="122"/>
      <c r="T306" s="122"/>
      <c r="U306" s="122"/>
      <c r="V306" s="122"/>
      <c r="W306" s="123"/>
      <c r="X306" s="123"/>
      <c r="Y306" s="123"/>
      <c r="Z306" s="123"/>
      <c r="AA306" s="123"/>
      <c r="AB306" s="5"/>
      <c r="AC306" s="5"/>
    </row>
    <row r="307" ht="14.25" customHeight="1">
      <c r="A307" s="48"/>
      <c r="B307" s="120"/>
      <c r="C307" s="108"/>
      <c r="D307" s="109"/>
      <c r="E307" s="109"/>
      <c r="F307" s="109"/>
      <c r="G307" s="70"/>
      <c r="H307" s="70"/>
      <c r="I307" s="82"/>
      <c r="J307" s="82"/>
      <c r="K307" s="99"/>
      <c r="L307" s="99"/>
      <c r="M307" s="121"/>
      <c r="N307" s="121"/>
      <c r="O307" s="121"/>
      <c r="P307" s="121"/>
      <c r="Q307" s="121"/>
      <c r="R307" s="122"/>
      <c r="S307" s="122"/>
      <c r="T307" s="122"/>
      <c r="U307" s="122"/>
      <c r="V307" s="122"/>
      <c r="W307" s="123"/>
      <c r="X307" s="123"/>
      <c r="Y307" s="123"/>
      <c r="Z307" s="123"/>
      <c r="AA307" s="123"/>
      <c r="AB307" s="5"/>
      <c r="AC307" s="5"/>
    </row>
    <row r="308" ht="14.25" customHeight="1">
      <c r="A308" s="48"/>
      <c r="B308" s="120"/>
      <c r="C308" s="108"/>
      <c r="D308" s="109"/>
      <c r="E308" s="109"/>
      <c r="F308" s="109"/>
      <c r="G308" s="70"/>
      <c r="H308" s="70"/>
      <c r="I308" s="82"/>
      <c r="J308" s="82"/>
      <c r="K308" s="99"/>
      <c r="L308" s="99"/>
      <c r="M308" s="121"/>
      <c r="N308" s="121"/>
      <c r="O308" s="121"/>
      <c r="P308" s="121"/>
      <c r="Q308" s="121"/>
      <c r="R308" s="122"/>
      <c r="S308" s="122"/>
      <c r="T308" s="122"/>
      <c r="U308" s="122"/>
      <c r="V308" s="122"/>
      <c r="W308" s="123"/>
      <c r="X308" s="123"/>
      <c r="Y308" s="123"/>
      <c r="Z308" s="123"/>
      <c r="AA308" s="123"/>
      <c r="AB308" s="5"/>
      <c r="AC308" s="5"/>
    </row>
    <row r="309" ht="14.25" customHeight="1">
      <c r="A309" s="48"/>
      <c r="B309" s="120"/>
      <c r="C309" s="108"/>
      <c r="D309" s="109"/>
      <c r="E309" s="109"/>
      <c r="F309" s="109"/>
      <c r="G309" s="70"/>
      <c r="H309" s="70"/>
      <c r="I309" s="82"/>
      <c r="J309" s="82"/>
      <c r="K309" s="99"/>
      <c r="L309" s="99"/>
      <c r="M309" s="121"/>
      <c r="N309" s="121"/>
      <c r="O309" s="121"/>
      <c r="P309" s="121"/>
      <c r="Q309" s="121"/>
      <c r="R309" s="122"/>
      <c r="S309" s="122"/>
      <c r="T309" s="122"/>
      <c r="U309" s="122"/>
      <c r="V309" s="122"/>
      <c r="W309" s="123"/>
      <c r="X309" s="123"/>
      <c r="Y309" s="123"/>
      <c r="Z309" s="123"/>
      <c r="AA309" s="123"/>
      <c r="AB309" s="5"/>
      <c r="AC309" s="5"/>
    </row>
    <row r="310" ht="14.25" customHeight="1">
      <c r="A310" s="48"/>
      <c r="B310" s="120"/>
      <c r="C310" s="108"/>
      <c r="D310" s="109"/>
      <c r="E310" s="109"/>
      <c r="F310" s="109"/>
      <c r="G310" s="70"/>
      <c r="H310" s="70"/>
      <c r="I310" s="82"/>
      <c r="J310" s="82"/>
      <c r="K310" s="99"/>
      <c r="L310" s="99"/>
      <c r="M310" s="121"/>
      <c r="N310" s="121"/>
      <c r="O310" s="121"/>
      <c r="P310" s="121"/>
      <c r="Q310" s="121"/>
      <c r="R310" s="122"/>
      <c r="S310" s="122"/>
      <c r="T310" s="122"/>
      <c r="U310" s="122"/>
      <c r="V310" s="122"/>
      <c r="W310" s="123"/>
      <c r="X310" s="123"/>
      <c r="Y310" s="123"/>
      <c r="Z310" s="123"/>
      <c r="AA310" s="123"/>
      <c r="AB310" s="5"/>
      <c r="AC310" s="5"/>
    </row>
    <row r="311" ht="14.25" customHeight="1">
      <c r="A311" s="48"/>
      <c r="B311" s="120"/>
      <c r="C311" s="108"/>
      <c r="D311" s="109"/>
      <c r="E311" s="109"/>
      <c r="F311" s="109"/>
      <c r="G311" s="70"/>
      <c r="H311" s="70"/>
      <c r="I311" s="82"/>
      <c r="J311" s="82"/>
      <c r="K311" s="99"/>
      <c r="L311" s="99"/>
      <c r="M311" s="121"/>
      <c r="N311" s="121"/>
      <c r="O311" s="121"/>
      <c r="P311" s="121"/>
      <c r="Q311" s="121"/>
      <c r="R311" s="122"/>
      <c r="S311" s="122"/>
      <c r="T311" s="122"/>
      <c r="U311" s="122"/>
      <c r="V311" s="122"/>
      <c r="W311" s="123"/>
      <c r="X311" s="123"/>
      <c r="Y311" s="123"/>
      <c r="Z311" s="123"/>
      <c r="AA311" s="123"/>
      <c r="AB311" s="5"/>
      <c r="AC311" s="5"/>
    </row>
    <row r="312" ht="14.25" customHeight="1">
      <c r="A312" s="48"/>
      <c r="B312" s="120"/>
      <c r="C312" s="108"/>
      <c r="D312" s="109"/>
      <c r="E312" s="109"/>
      <c r="F312" s="109"/>
      <c r="G312" s="70"/>
      <c r="H312" s="70"/>
      <c r="I312" s="82"/>
      <c r="J312" s="82"/>
      <c r="K312" s="99"/>
      <c r="L312" s="99"/>
      <c r="M312" s="121"/>
      <c r="N312" s="121"/>
      <c r="O312" s="121"/>
      <c r="P312" s="121"/>
      <c r="Q312" s="121"/>
      <c r="R312" s="122"/>
      <c r="S312" s="122"/>
      <c r="T312" s="122"/>
      <c r="U312" s="122"/>
      <c r="V312" s="122"/>
      <c r="W312" s="123"/>
      <c r="X312" s="123"/>
      <c r="Y312" s="123"/>
      <c r="Z312" s="123"/>
      <c r="AA312" s="123"/>
      <c r="AB312" s="5"/>
      <c r="AC312" s="5"/>
    </row>
    <row r="313" ht="14.25" customHeight="1">
      <c r="A313" s="48"/>
      <c r="B313" s="120"/>
      <c r="C313" s="108"/>
      <c r="D313" s="109"/>
      <c r="E313" s="109"/>
      <c r="F313" s="109"/>
      <c r="G313" s="70"/>
      <c r="H313" s="70"/>
      <c r="I313" s="82"/>
      <c r="J313" s="82"/>
      <c r="K313" s="99"/>
      <c r="L313" s="99"/>
      <c r="M313" s="121"/>
      <c r="N313" s="121"/>
      <c r="O313" s="121"/>
      <c r="P313" s="121"/>
      <c r="Q313" s="121"/>
      <c r="R313" s="122"/>
      <c r="S313" s="122"/>
      <c r="T313" s="122"/>
      <c r="U313" s="122"/>
      <c r="V313" s="122"/>
      <c r="W313" s="123"/>
      <c r="X313" s="123"/>
      <c r="Y313" s="123"/>
      <c r="Z313" s="123"/>
      <c r="AA313" s="123"/>
      <c r="AB313" s="5"/>
      <c r="AC313" s="5"/>
    </row>
    <row r="314" ht="14.25" customHeight="1">
      <c r="A314" s="48"/>
      <c r="B314" s="120"/>
      <c r="C314" s="108"/>
      <c r="D314" s="109"/>
      <c r="E314" s="109"/>
      <c r="F314" s="109"/>
      <c r="G314" s="70"/>
      <c r="H314" s="70"/>
      <c r="I314" s="82"/>
      <c r="J314" s="82"/>
      <c r="K314" s="99"/>
      <c r="L314" s="99"/>
      <c r="M314" s="121"/>
      <c r="N314" s="121"/>
      <c r="O314" s="121"/>
      <c r="P314" s="121"/>
      <c r="Q314" s="121"/>
      <c r="R314" s="122"/>
      <c r="S314" s="122"/>
      <c r="T314" s="122"/>
      <c r="U314" s="122"/>
      <c r="V314" s="122"/>
      <c r="W314" s="123"/>
      <c r="X314" s="123"/>
      <c r="Y314" s="123"/>
      <c r="Z314" s="123"/>
      <c r="AA314" s="123"/>
      <c r="AB314" s="5"/>
      <c r="AC314" s="5"/>
    </row>
    <row r="315" ht="14.25" customHeight="1">
      <c r="A315" s="48"/>
      <c r="B315" s="120"/>
      <c r="C315" s="108"/>
      <c r="D315" s="109"/>
      <c r="E315" s="109"/>
      <c r="F315" s="109"/>
      <c r="G315" s="70"/>
      <c r="H315" s="70"/>
      <c r="I315" s="82"/>
      <c r="J315" s="82"/>
      <c r="K315" s="99"/>
      <c r="L315" s="99"/>
      <c r="M315" s="121"/>
      <c r="N315" s="121"/>
      <c r="O315" s="121"/>
      <c r="P315" s="121"/>
      <c r="Q315" s="121"/>
      <c r="R315" s="122"/>
      <c r="S315" s="122"/>
      <c r="T315" s="122"/>
      <c r="U315" s="122"/>
      <c r="V315" s="122"/>
      <c r="W315" s="123"/>
      <c r="X315" s="123"/>
      <c r="Y315" s="123"/>
      <c r="Z315" s="123"/>
      <c r="AA315" s="123"/>
      <c r="AB315" s="5"/>
      <c r="AC315" s="5"/>
    </row>
    <row r="316" ht="14.25" customHeight="1">
      <c r="A316" s="48"/>
      <c r="B316" s="120"/>
      <c r="C316" s="108"/>
      <c r="D316" s="109"/>
      <c r="E316" s="109"/>
      <c r="F316" s="109"/>
      <c r="G316" s="70"/>
      <c r="H316" s="70"/>
      <c r="I316" s="82"/>
      <c r="J316" s="82"/>
      <c r="K316" s="99"/>
      <c r="L316" s="99"/>
      <c r="M316" s="121"/>
      <c r="N316" s="121"/>
      <c r="O316" s="121"/>
      <c r="P316" s="121"/>
      <c r="Q316" s="121"/>
      <c r="R316" s="122"/>
      <c r="S316" s="122"/>
      <c r="T316" s="122"/>
      <c r="U316" s="122"/>
      <c r="V316" s="122"/>
      <c r="W316" s="123"/>
      <c r="X316" s="123"/>
      <c r="Y316" s="123"/>
      <c r="Z316" s="123"/>
      <c r="AA316" s="123"/>
      <c r="AB316" s="5"/>
      <c r="AC316" s="5"/>
    </row>
    <row r="317" ht="14.25" customHeight="1">
      <c r="A317" s="48"/>
      <c r="B317" s="120"/>
      <c r="C317" s="108"/>
      <c r="D317" s="109"/>
      <c r="E317" s="109"/>
      <c r="F317" s="109"/>
      <c r="G317" s="70"/>
      <c r="H317" s="70"/>
      <c r="I317" s="82"/>
      <c r="J317" s="82"/>
      <c r="K317" s="99"/>
      <c r="L317" s="99"/>
      <c r="M317" s="121"/>
      <c r="N317" s="121"/>
      <c r="O317" s="121"/>
      <c r="P317" s="121"/>
      <c r="Q317" s="121"/>
      <c r="R317" s="122"/>
      <c r="S317" s="122"/>
      <c r="T317" s="122"/>
      <c r="U317" s="122"/>
      <c r="V317" s="122"/>
      <c r="W317" s="123"/>
      <c r="X317" s="123"/>
      <c r="Y317" s="123"/>
      <c r="Z317" s="123"/>
      <c r="AA317" s="123"/>
      <c r="AB317" s="5"/>
      <c r="AC317" s="5"/>
    </row>
    <row r="318" ht="14.25" customHeight="1">
      <c r="A318" s="48"/>
      <c r="B318" s="120"/>
      <c r="C318" s="108"/>
      <c r="D318" s="109"/>
      <c r="E318" s="109"/>
      <c r="F318" s="109"/>
      <c r="G318" s="70"/>
      <c r="H318" s="70"/>
      <c r="I318" s="82"/>
      <c r="J318" s="82"/>
      <c r="K318" s="99"/>
      <c r="L318" s="99"/>
      <c r="M318" s="121"/>
      <c r="N318" s="121"/>
      <c r="O318" s="121"/>
      <c r="P318" s="121"/>
      <c r="Q318" s="121"/>
      <c r="R318" s="122"/>
      <c r="S318" s="122"/>
      <c r="T318" s="122"/>
      <c r="U318" s="122"/>
      <c r="V318" s="122"/>
      <c r="W318" s="123"/>
      <c r="X318" s="123"/>
      <c r="Y318" s="123"/>
      <c r="Z318" s="123"/>
      <c r="AA318" s="123"/>
      <c r="AB318" s="5"/>
      <c r="AC318" s="5"/>
    </row>
    <row r="319" ht="14.25" customHeight="1">
      <c r="A319" s="48"/>
      <c r="B319" s="120"/>
      <c r="C319" s="108"/>
      <c r="D319" s="109"/>
      <c r="E319" s="109"/>
      <c r="F319" s="109"/>
      <c r="G319" s="70"/>
      <c r="H319" s="70"/>
      <c r="I319" s="82"/>
      <c r="J319" s="82"/>
      <c r="K319" s="99"/>
      <c r="L319" s="99"/>
      <c r="M319" s="121"/>
      <c r="N319" s="121"/>
      <c r="O319" s="121"/>
      <c r="P319" s="121"/>
      <c r="Q319" s="121"/>
      <c r="R319" s="122"/>
      <c r="S319" s="122"/>
      <c r="T319" s="122"/>
      <c r="U319" s="122"/>
      <c r="V319" s="122"/>
      <c r="W319" s="123"/>
      <c r="X319" s="123"/>
      <c r="Y319" s="123"/>
      <c r="Z319" s="123"/>
      <c r="AA319" s="123"/>
      <c r="AB319" s="5"/>
      <c r="AC319" s="5"/>
    </row>
    <row r="320" ht="14.25" customHeight="1">
      <c r="A320" s="48"/>
      <c r="B320" s="120"/>
      <c r="C320" s="108"/>
      <c r="D320" s="109"/>
      <c r="E320" s="109"/>
      <c r="F320" s="109"/>
      <c r="G320" s="70"/>
      <c r="H320" s="70"/>
      <c r="I320" s="82"/>
      <c r="J320" s="82"/>
      <c r="K320" s="99"/>
      <c r="L320" s="99"/>
      <c r="M320" s="121"/>
      <c r="N320" s="121"/>
      <c r="O320" s="121"/>
      <c r="P320" s="121"/>
      <c r="Q320" s="121"/>
      <c r="R320" s="122"/>
      <c r="S320" s="122"/>
      <c r="T320" s="122"/>
      <c r="U320" s="122"/>
      <c r="V320" s="122"/>
      <c r="W320" s="123"/>
      <c r="X320" s="123"/>
      <c r="Y320" s="123"/>
      <c r="Z320" s="123"/>
      <c r="AA320" s="123"/>
      <c r="AB320" s="5"/>
      <c r="AC320" s="5"/>
    </row>
    <row r="321" ht="14.25" customHeight="1">
      <c r="A321" s="48"/>
      <c r="B321" s="120"/>
      <c r="C321" s="108"/>
      <c r="D321" s="109"/>
      <c r="E321" s="109"/>
      <c r="F321" s="109"/>
      <c r="G321" s="70"/>
      <c r="H321" s="70"/>
      <c r="I321" s="82"/>
      <c r="J321" s="82"/>
      <c r="K321" s="99"/>
      <c r="L321" s="99"/>
      <c r="M321" s="121"/>
      <c r="N321" s="121"/>
      <c r="O321" s="121"/>
      <c r="P321" s="121"/>
      <c r="Q321" s="121"/>
      <c r="R321" s="122"/>
      <c r="S321" s="122"/>
      <c r="T321" s="122"/>
      <c r="U321" s="122"/>
      <c r="V321" s="122"/>
      <c r="W321" s="123"/>
      <c r="X321" s="123"/>
      <c r="Y321" s="123"/>
      <c r="Z321" s="123"/>
      <c r="AA321" s="123"/>
      <c r="AB321" s="5"/>
      <c r="AC321" s="5"/>
    </row>
    <row r="322" ht="14.25" customHeight="1">
      <c r="A322" s="48"/>
      <c r="B322" s="120"/>
      <c r="C322" s="108"/>
      <c r="D322" s="109"/>
      <c r="E322" s="109"/>
      <c r="F322" s="109"/>
      <c r="G322" s="70"/>
      <c r="H322" s="70"/>
      <c r="I322" s="82"/>
      <c r="J322" s="82"/>
      <c r="K322" s="99"/>
      <c r="L322" s="99"/>
      <c r="M322" s="121"/>
      <c r="N322" s="121"/>
      <c r="O322" s="121"/>
      <c r="P322" s="121"/>
      <c r="Q322" s="121"/>
      <c r="R322" s="122"/>
      <c r="S322" s="122"/>
      <c r="T322" s="122"/>
      <c r="U322" s="122"/>
      <c r="V322" s="122"/>
      <c r="W322" s="123"/>
      <c r="X322" s="123"/>
      <c r="Y322" s="123"/>
      <c r="Z322" s="123"/>
      <c r="AA322" s="123"/>
      <c r="AB322" s="5"/>
      <c r="AC322" s="5"/>
    </row>
    <row r="323" ht="14.25" customHeight="1">
      <c r="A323" s="48"/>
      <c r="B323" s="120"/>
      <c r="C323" s="108"/>
      <c r="D323" s="109"/>
      <c r="E323" s="109"/>
      <c r="F323" s="109"/>
      <c r="G323" s="70"/>
      <c r="H323" s="70"/>
      <c r="I323" s="82"/>
      <c r="J323" s="82"/>
      <c r="K323" s="99"/>
      <c r="L323" s="99"/>
      <c r="M323" s="121"/>
      <c r="N323" s="121"/>
      <c r="O323" s="121"/>
      <c r="P323" s="121"/>
      <c r="Q323" s="121"/>
      <c r="R323" s="122"/>
      <c r="S323" s="122"/>
      <c r="T323" s="122"/>
      <c r="U323" s="122"/>
      <c r="V323" s="122"/>
      <c r="W323" s="123"/>
      <c r="X323" s="123"/>
      <c r="Y323" s="123"/>
      <c r="Z323" s="123"/>
      <c r="AA323" s="123"/>
      <c r="AB323" s="5"/>
      <c r="AC323" s="5"/>
    </row>
    <row r="324" ht="14.25" customHeight="1">
      <c r="A324" s="48"/>
      <c r="B324" s="120"/>
      <c r="C324" s="108"/>
      <c r="D324" s="109"/>
      <c r="E324" s="109"/>
      <c r="F324" s="109"/>
      <c r="G324" s="70"/>
      <c r="H324" s="70"/>
      <c r="I324" s="82"/>
      <c r="J324" s="82"/>
      <c r="K324" s="99"/>
      <c r="L324" s="99"/>
      <c r="M324" s="121"/>
      <c r="N324" s="121"/>
      <c r="O324" s="121"/>
      <c r="P324" s="121"/>
      <c r="Q324" s="121"/>
      <c r="R324" s="122"/>
      <c r="S324" s="122"/>
      <c r="T324" s="122"/>
      <c r="U324" s="122"/>
      <c r="V324" s="122"/>
      <c r="W324" s="123"/>
      <c r="X324" s="123"/>
      <c r="Y324" s="123"/>
      <c r="Z324" s="123"/>
      <c r="AA324" s="123"/>
      <c r="AB324" s="5"/>
      <c r="AC324" s="5"/>
    </row>
    <row r="325" ht="14.25" customHeight="1">
      <c r="A325" s="48"/>
      <c r="B325" s="120"/>
      <c r="C325" s="108"/>
      <c r="D325" s="109"/>
      <c r="E325" s="109"/>
      <c r="F325" s="109"/>
      <c r="G325" s="70"/>
      <c r="H325" s="70"/>
      <c r="I325" s="82"/>
      <c r="J325" s="82"/>
      <c r="K325" s="99"/>
      <c r="L325" s="99"/>
      <c r="M325" s="121"/>
      <c r="N325" s="121"/>
      <c r="O325" s="121"/>
      <c r="P325" s="121"/>
      <c r="Q325" s="121"/>
      <c r="R325" s="122"/>
      <c r="S325" s="122"/>
      <c r="T325" s="122"/>
      <c r="U325" s="122"/>
      <c r="V325" s="122"/>
      <c r="W325" s="123"/>
      <c r="X325" s="123"/>
      <c r="Y325" s="123"/>
      <c r="Z325" s="123"/>
      <c r="AA325" s="123"/>
      <c r="AB325" s="5"/>
      <c r="AC325" s="5"/>
    </row>
    <row r="326" ht="14.25" customHeight="1">
      <c r="A326" s="48"/>
      <c r="B326" s="120"/>
      <c r="C326" s="108"/>
      <c r="D326" s="109"/>
      <c r="E326" s="109"/>
      <c r="F326" s="109"/>
      <c r="G326" s="70"/>
      <c r="H326" s="70"/>
      <c r="I326" s="82"/>
      <c r="J326" s="82"/>
      <c r="K326" s="99"/>
      <c r="L326" s="99"/>
      <c r="M326" s="121"/>
      <c r="N326" s="121"/>
      <c r="O326" s="121"/>
      <c r="P326" s="121"/>
      <c r="Q326" s="121"/>
      <c r="R326" s="122"/>
      <c r="S326" s="122"/>
      <c r="T326" s="122"/>
      <c r="U326" s="122"/>
      <c r="V326" s="122"/>
      <c r="W326" s="123"/>
      <c r="X326" s="123"/>
      <c r="Y326" s="123"/>
      <c r="Z326" s="123"/>
      <c r="AA326" s="123"/>
      <c r="AB326" s="5"/>
      <c r="AC326" s="5"/>
    </row>
    <row r="327" ht="14.25" customHeight="1">
      <c r="A327" s="48"/>
      <c r="B327" s="120"/>
      <c r="C327" s="108"/>
      <c r="D327" s="109"/>
      <c r="E327" s="109"/>
      <c r="F327" s="109"/>
      <c r="G327" s="70"/>
      <c r="H327" s="70"/>
      <c r="I327" s="82"/>
      <c r="J327" s="82"/>
      <c r="K327" s="99"/>
      <c r="L327" s="99"/>
      <c r="M327" s="121"/>
      <c r="N327" s="121"/>
      <c r="O327" s="121"/>
      <c r="P327" s="121"/>
      <c r="Q327" s="121"/>
      <c r="R327" s="122"/>
      <c r="S327" s="122"/>
      <c r="T327" s="122"/>
      <c r="U327" s="122"/>
      <c r="V327" s="122"/>
      <c r="W327" s="123"/>
      <c r="X327" s="123"/>
      <c r="Y327" s="123"/>
      <c r="Z327" s="123"/>
      <c r="AA327" s="123"/>
      <c r="AB327" s="5"/>
      <c r="AC327" s="5"/>
    </row>
    <row r="328" ht="14.25" customHeight="1">
      <c r="A328" s="48"/>
      <c r="B328" s="120"/>
      <c r="C328" s="108"/>
      <c r="D328" s="109"/>
      <c r="E328" s="109"/>
      <c r="F328" s="109"/>
      <c r="G328" s="70"/>
      <c r="H328" s="70"/>
      <c r="I328" s="82"/>
      <c r="J328" s="82"/>
      <c r="K328" s="99"/>
      <c r="L328" s="99"/>
      <c r="M328" s="121"/>
      <c r="N328" s="121"/>
      <c r="O328" s="121"/>
      <c r="P328" s="121"/>
      <c r="Q328" s="121"/>
      <c r="R328" s="122"/>
      <c r="S328" s="122"/>
      <c r="T328" s="122"/>
      <c r="U328" s="122"/>
      <c r="V328" s="122"/>
      <c r="W328" s="123"/>
      <c r="X328" s="123"/>
      <c r="Y328" s="123"/>
      <c r="Z328" s="123"/>
      <c r="AA328" s="123"/>
      <c r="AB328" s="5"/>
      <c r="AC328" s="5"/>
    </row>
    <row r="329" ht="14.25" customHeight="1">
      <c r="A329" s="48"/>
      <c r="B329" s="120"/>
      <c r="C329" s="108"/>
      <c r="D329" s="109"/>
      <c r="E329" s="109"/>
      <c r="F329" s="109"/>
      <c r="G329" s="70"/>
      <c r="H329" s="70"/>
      <c r="I329" s="82"/>
      <c r="J329" s="82"/>
      <c r="K329" s="99"/>
      <c r="L329" s="99"/>
      <c r="M329" s="121"/>
      <c r="N329" s="121"/>
      <c r="O329" s="121"/>
      <c r="P329" s="121"/>
      <c r="Q329" s="121"/>
      <c r="R329" s="122"/>
      <c r="S329" s="122"/>
      <c r="T329" s="122"/>
      <c r="U329" s="122"/>
      <c r="V329" s="122"/>
      <c r="W329" s="123"/>
      <c r="X329" s="123"/>
      <c r="Y329" s="123"/>
      <c r="Z329" s="123"/>
      <c r="AA329" s="123"/>
      <c r="AB329" s="5"/>
      <c r="AC329" s="5"/>
    </row>
    <row r="330" ht="14.25" customHeight="1">
      <c r="A330" s="48"/>
      <c r="B330" s="120"/>
      <c r="C330" s="108"/>
      <c r="D330" s="109"/>
      <c r="E330" s="109"/>
      <c r="F330" s="109"/>
      <c r="G330" s="70"/>
      <c r="H330" s="70"/>
      <c r="I330" s="82"/>
      <c r="J330" s="82"/>
      <c r="K330" s="99"/>
      <c r="L330" s="99"/>
      <c r="M330" s="121"/>
      <c r="N330" s="121"/>
      <c r="O330" s="121"/>
      <c r="P330" s="121"/>
      <c r="Q330" s="121"/>
      <c r="R330" s="122"/>
      <c r="S330" s="122"/>
      <c r="T330" s="122"/>
      <c r="U330" s="122"/>
      <c r="V330" s="122"/>
      <c r="W330" s="123"/>
      <c r="X330" s="123"/>
      <c r="Y330" s="123"/>
      <c r="Z330" s="123"/>
      <c r="AA330" s="123"/>
      <c r="AB330" s="5"/>
      <c r="AC330" s="5"/>
    </row>
    <row r="331" ht="14.25" customHeight="1">
      <c r="A331" s="48"/>
      <c r="B331" s="120"/>
      <c r="C331" s="108"/>
      <c r="D331" s="109"/>
      <c r="E331" s="109"/>
      <c r="F331" s="109"/>
      <c r="G331" s="70"/>
      <c r="H331" s="70"/>
      <c r="I331" s="82"/>
      <c r="J331" s="82"/>
      <c r="K331" s="99"/>
      <c r="L331" s="99"/>
      <c r="M331" s="121"/>
      <c r="N331" s="121"/>
      <c r="O331" s="121"/>
      <c r="P331" s="121"/>
      <c r="Q331" s="121"/>
      <c r="R331" s="122"/>
      <c r="S331" s="122"/>
      <c r="T331" s="122"/>
      <c r="U331" s="122"/>
      <c r="V331" s="122"/>
      <c r="W331" s="123"/>
      <c r="X331" s="123"/>
      <c r="Y331" s="123"/>
      <c r="Z331" s="123"/>
      <c r="AA331" s="123"/>
      <c r="AB331" s="5"/>
      <c r="AC331" s="5"/>
    </row>
    <row r="332" ht="14.25" customHeight="1">
      <c r="A332" s="48"/>
      <c r="B332" s="120"/>
      <c r="C332" s="108"/>
      <c r="D332" s="109"/>
      <c r="E332" s="109"/>
      <c r="F332" s="109"/>
      <c r="G332" s="70"/>
      <c r="H332" s="70"/>
      <c r="I332" s="82"/>
      <c r="J332" s="82"/>
      <c r="K332" s="99"/>
      <c r="L332" s="99"/>
      <c r="M332" s="121"/>
      <c r="N332" s="121"/>
      <c r="O332" s="121"/>
      <c r="P332" s="121"/>
      <c r="Q332" s="121"/>
      <c r="R332" s="122"/>
      <c r="S332" s="122"/>
      <c r="T332" s="122"/>
      <c r="U332" s="122"/>
      <c r="V332" s="122"/>
      <c r="W332" s="123"/>
      <c r="X332" s="123"/>
      <c r="Y332" s="123"/>
      <c r="Z332" s="123"/>
      <c r="AA332" s="123"/>
      <c r="AB332" s="5"/>
      <c r="AC332" s="5"/>
    </row>
    <row r="333" ht="14.25" customHeight="1">
      <c r="A333" s="48"/>
      <c r="B333" s="120"/>
      <c r="C333" s="108"/>
      <c r="D333" s="109"/>
      <c r="E333" s="109"/>
      <c r="F333" s="109"/>
      <c r="G333" s="70"/>
      <c r="H333" s="70"/>
      <c r="I333" s="82"/>
      <c r="J333" s="82"/>
      <c r="K333" s="99"/>
      <c r="L333" s="99"/>
      <c r="M333" s="121"/>
      <c r="N333" s="121"/>
      <c r="O333" s="121"/>
      <c r="P333" s="121"/>
      <c r="Q333" s="121"/>
      <c r="R333" s="122"/>
      <c r="S333" s="122"/>
      <c r="T333" s="122"/>
      <c r="U333" s="122"/>
      <c r="V333" s="122"/>
      <c r="W333" s="123"/>
      <c r="X333" s="123"/>
      <c r="Y333" s="123"/>
      <c r="Z333" s="123"/>
      <c r="AA333" s="123"/>
      <c r="AB333" s="5"/>
      <c r="AC333" s="5"/>
    </row>
    <row r="334" ht="14.25" customHeight="1">
      <c r="A334" s="48"/>
      <c r="B334" s="120"/>
      <c r="C334" s="108"/>
      <c r="D334" s="109"/>
      <c r="E334" s="109"/>
      <c r="F334" s="109"/>
      <c r="G334" s="70"/>
      <c r="H334" s="70"/>
      <c r="I334" s="82"/>
      <c r="J334" s="82"/>
      <c r="K334" s="99"/>
      <c r="L334" s="99"/>
      <c r="M334" s="121"/>
      <c r="N334" s="121"/>
      <c r="O334" s="121"/>
      <c r="P334" s="121"/>
      <c r="Q334" s="121"/>
      <c r="R334" s="122"/>
      <c r="S334" s="122"/>
      <c r="T334" s="122"/>
      <c r="U334" s="122"/>
      <c r="V334" s="122"/>
      <c r="W334" s="123"/>
      <c r="X334" s="123"/>
      <c r="Y334" s="123"/>
      <c r="Z334" s="123"/>
      <c r="AA334" s="123"/>
      <c r="AB334" s="5"/>
      <c r="AC334" s="5"/>
    </row>
    <row r="335" ht="14.25" customHeight="1">
      <c r="A335" s="48"/>
      <c r="B335" s="120"/>
      <c r="C335" s="108"/>
      <c r="D335" s="109"/>
      <c r="E335" s="109"/>
      <c r="F335" s="109"/>
      <c r="G335" s="70"/>
      <c r="H335" s="70"/>
      <c r="I335" s="82"/>
      <c r="J335" s="82"/>
      <c r="K335" s="99"/>
      <c r="L335" s="99"/>
      <c r="M335" s="121"/>
      <c r="N335" s="121"/>
      <c r="O335" s="121"/>
      <c r="P335" s="121"/>
      <c r="Q335" s="121"/>
      <c r="R335" s="122"/>
      <c r="S335" s="122"/>
      <c r="T335" s="122"/>
      <c r="U335" s="122"/>
      <c r="V335" s="122"/>
      <c r="W335" s="123"/>
      <c r="X335" s="123"/>
      <c r="Y335" s="123"/>
      <c r="Z335" s="123"/>
      <c r="AA335" s="123"/>
      <c r="AB335" s="5"/>
      <c r="AC335" s="5"/>
    </row>
    <row r="336" ht="14.25" customHeight="1">
      <c r="A336" s="48"/>
      <c r="B336" s="120"/>
      <c r="C336" s="108"/>
      <c r="D336" s="109"/>
      <c r="E336" s="109"/>
      <c r="F336" s="109"/>
      <c r="G336" s="70"/>
      <c r="H336" s="70"/>
      <c r="I336" s="82"/>
      <c r="J336" s="82"/>
      <c r="K336" s="99"/>
      <c r="L336" s="99"/>
      <c r="M336" s="121"/>
      <c r="N336" s="121"/>
      <c r="O336" s="121"/>
      <c r="P336" s="121"/>
      <c r="Q336" s="121"/>
      <c r="R336" s="122"/>
      <c r="S336" s="122"/>
      <c r="T336" s="122"/>
      <c r="U336" s="122"/>
      <c r="V336" s="122"/>
      <c r="W336" s="123"/>
      <c r="X336" s="123"/>
      <c r="Y336" s="123"/>
      <c r="Z336" s="123"/>
      <c r="AA336" s="123"/>
      <c r="AB336" s="5"/>
      <c r="AC336" s="5"/>
    </row>
    <row r="337" ht="14.25" customHeight="1">
      <c r="A337" s="48"/>
      <c r="B337" s="120"/>
      <c r="C337" s="108"/>
      <c r="D337" s="109"/>
      <c r="E337" s="109"/>
      <c r="F337" s="109"/>
      <c r="G337" s="70"/>
      <c r="H337" s="70"/>
      <c r="I337" s="82"/>
      <c r="J337" s="82"/>
      <c r="K337" s="99"/>
      <c r="L337" s="99"/>
      <c r="M337" s="121"/>
      <c r="N337" s="121"/>
      <c r="O337" s="121"/>
      <c r="P337" s="121"/>
      <c r="Q337" s="121"/>
      <c r="R337" s="122"/>
      <c r="S337" s="122"/>
      <c r="T337" s="122"/>
      <c r="U337" s="122"/>
      <c r="V337" s="122"/>
      <c r="W337" s="123"/>
      <c r="X337" s="123"/>
      <c r="Y337" s="123"/>
      <c r="Z337" s="123"/>
      <c r="AA337" s="123"/>
      <c r="AB337" s="5"/>
      <c r="AC337" s="5"/>
    </row>
    <row r="338" ht="14.25" customHeight="1">
      <c r="A338" s="48"/>
      <c r="B338" s="120"/>
      <c r="C338" s="108"/>
      <c r="D338" s="109"/>
      <c r="E338" s="109"/>
      <c r="F338" s="109"/>
      <c r="G338" s="70"/>
      <c r="H338" s="70"/>
      <c r="I338" s="82"/>
      <c r="J338" s="82"/>
      <c r="K338" s="99"/>
      <c r="L338" s="99"/>
      <c r="M338" s="121"/>
      <c r="N338" s="121"/>
      <c r="O338" s="121"/>
      <c r="P338" s="121"/>
      <c r="Q338" s="121"/>
      <c r="R338" s="122"/>
      <c r="S338" s="122"/>
      <c r="T338" s="122"/>
      <c r="U338" s="122"/>
      <c r="V338" s="122"/>
      <c r="W338" s="123"/>
      <c r="X338" s="123"/>
      <c r="Y338" s="123"/>
      <c r="Z338" s="123"/>
      <c r="AA338" s="123"/>
      <c r="AB338" s="5"/>
      <c r="AC338" s="5"/>
    </row>
    <row r="339" ht="14.25" customHeight="1">
      <c r="A339" s="48"/>
      <c r="B339" s="120"/>
      <c r="C339" s="108"/>
      <c r="D339" s="109"/>
      <c r="E339" s="109"/>
      <c r="F339" s="109"/>
      <c r="G339" s="70"/>
      <c r="H339" s="70"/>
      <c r="I339" s="82"/>
      <c r="J339" s="82"/>
      <c r="K339" s="99"/>
      <c r="L339" s="99"/>
      <c r="M339" s="121"/>
      <c r="N339" s="121"/>
      <c r="O339" s="121"/>
      <c r="P339" s="121"/>
      <c r="Q339" s="121"/>
      <c r="R339" s="122"/>
      <c r="S339" s="122"/>
      <c r="T339" s="122"/>
      <c r="U339" s="122"/>
      <c r="V339" s="122"/>
      <c r="W339" s="123"/>
      <c r="X339" s="123"/>
      <c r="Y339" s="123"/>
      <c r="Z339" s="123"/>
      <c r="AA339" s="123"/>
      <c r="AB339" s="5"/>
      <c r="AC339" s="5"/>
    </row>
    <row r="340" ht="14.25" customHeight="1">
      <c r="A340" s="48"/>
      <c r="B340" s="120"/>
      <c r="C340" s="108"/>
      <c r="D340" s="109"/>
      <c r="E340" s="109"/>
      <c r="F340" s="109"/>
      <c r="G340" s="70"/>
      <c r="H340" s="70"/>
      <c r="I340" s="82"/>
      <c r="J340" s="82"/>
      <c r="K340" s="99"/>
      <c r="L340" s="99"/>
      <c r="M340" s="121"/>
      <c r="N340" s="121"/>
      <c r="O340" s="121"/>
      <c r="P340" s="121"/>
      <c r="Q340" s="121"/>
      <c r="R340" s="122"/>
      <c r="S340" s="122"/>
      <c r="T340" s="122"/>
      <c r="U340" s="122"/>
      <c r="V340" s="122"/>
      <c r="W340" s="123"/>
      <c r="X340" s="123"/>
      <c r="Y340" s="123"/>
      <c r="Z340" s="123"/>
      <c r="AA340" s="123"/>
      <c r="AB340" s="5"/>
      <c r="AC340" s="5"/>
    </row>
    <row r="341" ht="14.25" customHeight="1">
      <c r="A341" s="48"/>
      <c r="B341" s="120"/>
      <c r="C341" s="108"/>
      <c r="D341" s="109"/>
      <c r="E341" s="109"/>
      <c r="F341" s="109"/>
      <c r="G341" s="70"/>
      <c r="H341" s="70"/>
      <c r="I341" s="82"/>
      <c r="J341" s="82"/>
      <c r="K341" s="99"/>
      <c r="L341" s="99"/>
      <c r="M341" s="121"/>
      <c r="N341" s="121"/>
      <c r="O341" s="121"/>
      <c r="P341" s="121"/>
      <c r="Q341" s="121"/>
      <c r="R341" s="122"/>
      <c r="S341" s="122"/>
      <c r="T341" s="122"/>
      <c r="U341" s="122"/>
      <c r="V341" s="122"/>
      <c r="W341" s="123"/>
      <c r="X341" s="123"/>
      <c r="Y341" s="123"/>
      <c r="Z341" s="123"/>
      <c r="AA341" s="123"/>
      <c r="AB341" s="5"/>
      <c r="AC341" s="5"/>
    </row>
    <row r="342" ht="14.25" customHeight="1">
      <c r="A342" s="48"/>
      <c r="B342" s="120"/>
      <c r="C342" s="108"/>
      <c r="D342" s="109"/>
      <c r="E342" s="109"/>
      <c r="F342" s="109"/>
      <c r="G342" s="70"/>
      <c r="H342" s="70"/>
      <c r="I342" s="82"/>
      <c r="J342" s="82"/>
      <c r="K342" s="99"/>
      <c r="L342" s="99"/>
      <c r="M342" s="121"/>
      <c r="N342" s="121"/>
      <c r="O342" s="121"/>
      <c r="P342" s="121"/>
      <c r="Q342" s="121"/>
      <c r="R342" s="122"/>
      <c r="S342" s="122"/>
      <c r="T342" s="122"/>
      <c r="U342" s="122"/>
      <c r="V342" s="122"/>
      <c r="W342" s="123"/>
      <c r="X342" s="123"/>
      <c r="Y342" s="123"/>
      <c r="Z342" s="123"/>
      <c r="AA342" s="123"/>
      <c r="AB342" s="5"/>
      <c r="AC342" s="5"/>
    </row>
    <row r="343" ht="14.25" customHeight="1">
      <c r="A343" s="48"/>
      <c r="B343" s="120"/>
      <c r="C343" s="108"/>
      <c r="D343" s="109"/>
      <c r="E343" s="109"/>
      <c r="F343" s="109"/>
      <c r="G343" s="70"/>
      <c r="H343" s="70"/>
      <c r="I343" s="82"/>
      <c r="J343" s="82"/>
      <c r="K343" s="99"/>
      <c r="L343" s="99"/>
      <c r="M343" s="121"/>
      <c r="N343" s="121"/>
      <c r="O343" s="121"/>
      <c r="P343" s="121"/>
      <c r="Q343" s="121"/>
      <c r="R343" s="122"/>
      <c r="S343" s="122"/>
      <c r="T343" s="122"/>
      <c r="U343" s="122"/>
      <c r="V343" s="122"/>
      <c r="W343" s="123"/>
      <c r="X343" s="123"/>
      <c r="Y343" s="123"/>
      <c r="Z343" s="123"/>
      <c r="AA343" s="123"/>
      <c r="AB343" s="5"/>
      <c r="AC343" s="5"/>
    </row>
    <row r="344" ht="14.25" customHeight="1">
      <c r="A344" s="48"/>
      <c r="B344" s="120"/>
      <c r="C344" s="108"/>
      <c r="D344" s="109"/>
      <c r="E344" s="109"/>
      <c r="F344" s="109"/>
      <c r="G344" s="70"/>
      <c r="H344" s="70"/>
      <c r="I344" s="82"/>
      <c r="J344" s="82"/>
      <c r="K344" s="99"/>
      <c r="L344" s="99"/>
      <c r="M344" s="121"/>
      <c r="N344" s="121"/>
      <c r="O344" s="121"/>
      <c r="P344" s="121"/>
      <c r="Q344" s="121"/>
      <c r="R344" s="122"/>
      <c r="S344" s="122"/>
      <c r="T344" s="122"/>
      <c r="U344" s="122"/>
      <c r="V344" s="122"/>
      <c r="W344" s="123"/>
      <c r="X344" s="123"/>
      <c r="Y344" s="123"/>
      <c r="Z344" s="123"/>
      <c r="AA344" s="123"/>
      <c r="AB344" s="5"/>
      <c r="AC344" s="5"/>
    </row>
    <row r="345" ht="14.25" customHeight="1">
      <c r="A345" s="48"/>
      <c r="B345" s="120"/>
      <c r="C345" s="108"/>
      <c r="D345" s="109"/>
      <c r="E345" s="109"/>
      <c r="F345" s="109"/>
      <c r="G345" s="70"/>
      <c r="H345" s="70"/>
      <c r="I345" s="82"/>
      <c r="J345" s="82"/>
      <c r="K345" s="99"/>
      <c r="L345" s="99"/>
      <c r="M345" s="121"/>
      <c r="N345" s="121"/>
      <c r="O345" s="121"/>
      <c r="P345" s="121"/>
      <c r="Q345" s="121"/>
      <c r="R345" s="122"/>
      <c r="S345" s="122"/>
      <c r="T345" s="122"/>
      <c r="U345" s="122"/>
      <c r="V345" s="122"/>
      <c r="W345" s="123"/>
      <c r="X345" s="123"/>
      <c r="Y345" s="123"/>
      <c r="Z345" s="123"/>
      <c r="AA345" s="123"/>
      <c r="AB345" s="5"/>
      <c r="AC345" s="5"/>
    </row>
    <row r="346" ht="14.25" customHeight="1">
      <c r="A346" s="48"/>
      <c r="B346" s="120"/>
      <c r="C346" s="108"/>
      <c r="D346" s="109"/>
      <c r="E346" s="109"/>
      <c r="F346" s="109"/>
      <c r="G346" s="70"/>
      <c r="H346" s="70"/>
      <c r="I346" s="82"/>
      <c r="J346" s="82"/>
      <c r="K346" s="99"/>
      <c r="L346" s="99"/>
      <c r="M346" s="121"/>
      <c r="N346" s="121"/>
      <c r="O346" s="121"/>
      <c r="P346" s="121"/>
      <c r="Q346" s="121"/>
      <c r="R346" s="122"/>
      <c r="S346" s="122"/>
      <c r="T346" s="122"/>
      <c r="U346" s="122"/>
      <c r="V346" s="122"/>
      <c r="W346" s="123"/>
      <c r="X346" s="123"/>
      <c r="Y346" s="123"/>
      <c r="Z346" s="123"/>
      <c r="AA346" s="123"/>
      <c r="AB346" s="5"/>
      <c r="AC346" s="5"/>
    </row>
    <row r="347" ht="14.25" customHeight="1">
      <c r="A347" s="48"/>
      <c r="B347" s="120"/>
      <c r="C347" s="108"/>
      <c r="D347" s="109"/>
      <c r="E347" s="109"/>
      <c r="F347" s="109"/>
      <c r="G347" s="70"/>
      <c r="H347" s="70"/>
      <c r="I347" s="82"/>
      <c r="J347" s="82"/>
      <c r="K347" s="99"/>
      <c r="L347" s="99"/>
      <c r="M347" s="121"/>
      <c r="N347" s="121"/>
      <c r="O347" s="121"/>
      <c r="P347" s="121"/>
      <c r="Q347" s="121"/>
      <c r="R347" s="122"/>
      <c r="S347" s="122"/>
      <c r="T347" s="122"/>
      <c r="U347" s="122"/>
      <c r="V347" s="122"/>
      <c r="W347" s="123"/>
      <c r="X347" s="123"/>
      <c r="Y347" s="123"/>
      <c r="Z347" s="123"/>
      <c r="AA347" s="123"/>
      <c r="AB347" s="5"/>
      <c r="AC347" s="5"/>
    </row>
    <row r="348" ht="14.25" customHeight="1">
      <c r="A348" s="48"/>
      <c r="B348" s="120"/>
      <c r="C348" s="108"/>
      <c r="D348" s="109"/>
      <c r="E348" s="109"/>
      <c r="F348" s="109"/>
      <c r="G348" s="70"/>
      <c r="H348" s="70"/>
      <c r="I348" s="82"/>
      <c r="J348" s="82"/>
      <c r="K348" s="99"/>
      <c r="L348" s="99"/>
      <c r="M348" s="121"/>
      <c r="N348" s="121"/>
      <c r="O348" s="121"/>
      <c r="P348" s="121"/>
      <c r="Q348" s="121"/>
      <c r="R348" s="122"/>
      <c r="S348" s="122"/>
      <c r="T348" s="122"/>
      <c r="U348" s="122"/>
      <c r="V348" s="122"/>
      <c r="W348" s="123"/>
      <c r="X348" s="123"/>
      <c r="Y348" s="123"/>
      <c r="Z348" s="123"/>
      <c r="AA348" s="123"/>
      <c r="AB348" s="5"/>
      <c r="AC348" s="5"/>
    </row>
    <row r="349" ht="14.25" customHeight="1">
      <c r="A349" s="48"/>
      <c r="B349" s="120"/>
      <c r="C349" s="108"/>
      <c r="D349" s="109"/>
      <c r="E349" s="109"/>
      <c r="F349" s="109"/>
      <c r="G349" s="70"/>
      <c r="H349" s="70"/>
      <c r="I349" s="82"/>
      <c r="J349" s="82"/>
      <c r="K349" s="99"/>
      <c r="L349" s="99"/>
      <c r="M349" s="121"/>
      <c r="N349" s="121"/>
      <c r="O349" s="121"/>
      <c r="P349" s="121"/>
      <c r="Q349" s="121"/>
      <c r="R349" s="122"/>
      <c r="S349" s="122"/>
      <c r="T349" s="122"/>
      <c r="U349" s="122"/>
      <c r="V349" s="122"/>
      <c r="W349" s="123"/>
      <c r="X349" s="123"/>
      <c r="Y349" s="123"/>
      <c r="Z349" s="123"/>
      <c r="AA349" s="123"/>
      <c r="AB349" s="5"/>
      <c r="AC349" s="5"/>
    </row>
    <row r="350" ht="14.25" customHeight="1">
      <c r="A350" s="48"/>
      <c r="B350" s="120"/>
      <c r="C350" s="108"/>
      <c r="D350" s="109"/>
      <c r="E350" s="109"/>
      <c r="F350" s="109"/>
      <c r="G350" s="70"/>
      <c r="H350" s="70"/>
      <c r="I350" s="82"/>
      <c r="J350" s="82"/>
      <c r="K350" s="99"/>
      <c r="L350" s="99"/>
      <c r="M350" s="121"/>
      <c r="N350" s="121"/>
      <c r="O350" s="121"/>
      <c r="P350" s="121"/>
      <c r="Q350" s="121"/>
      <c r="R350" s="122"/>
      <c r="S350" s="122"/>
      <c r="T350" s="122"/>
      <c r="U350" s="122"/>
      <c r="V350" s="122"/>
      <c r="W350" s="123"/>
      <c r="X350" s="123"/>
      <c r="Y350" s="123"/>
      <c r="Z350" s="123"/>
      <c r="AA350" s="123"/>
      <c r="AB350" s="5"/>
      <c r="AC350" s="5"/>
    </row>
    <row r="351" ht="14.25" customHeight="1">
      <c r="A351" s="48"/>
      <c r="B351" s="120"/>
      <c r="C351" s="108"/>
      <c r="D351" s="109"/>
      <c r="E351" s="109"/>
      <c r="F351" s="109"/>
      <c r="G351" s="70"/>
      <c r="H351" s="70"/>
      <c r="I351" s="82"/>
      <c r="J351" s="82"/>
      <c r="K351" s="99"/>
      <c r="L351" s="99"/>
      <c r="M351" s="121"/>
      <c r="N351" s="121"/>
      <c r="O351" s="121"/>
      <c r="P351" s="121"/>
      <c r="Q351" s="121"/>
      <c r="R351" s="122"/>
      <c r="S351" s="122"/>
      <c r="T351" s="122"/>
      <c r="U351" s="122"/>
      <c r="V351" s="122"/>
      <c r="W351" s="123"/>
      <c r="X351" s="123"/>
      <c r="Y351" s="123"/>
      <c r="Z351" s="123"/>
      <c r="AA351" s="123"/>
      <c r="AB351" s="5"/>
      <c r="AC351" s="5"/>
    </row>
    <row r="352" ht="14.25" customHeight="1">
      <c r="A352" s="48"/>
      <c r="B352" s="120"/>
      <c r="C352" s="108"/>
      <c r="D352" s="109"/>
      <c r="E352" s="109"/>
      <c r="F352" s="109"/>
      <c r="G352" s="70"/>
      <c r="H352" s="70"/>
      <c r="I352" s="82"/>
      <c r="J352" s="82"/>
      <c r="K352" s="99"/>
      <c r="L352" s="99"/>
      <c r="M352" s="121"/>
      <c r="N352" s="121"/>
      <c r="O352" s="121"/>
      <c r="P352" s="121"/>
      <c r="Q352" s="121"/>
      <c r="R352" s="122"/>
      <c r="S352" s="122"/>
      <c r="T352" s="122"/>
      <c r="U352" s="122"/>
      <c r="V352" s="122"/>
      <c r="W352" s="123"/>
      <c r="X352" s="123"/>
      <c r="Y352" s="123"/>
      <c r="Z352" s="123"/>
      <c r="AA352" s="123"/>
      <c r="AB352" s="5"/>
      <c r="AC352" s="5"/>
    </row>
    <row r="353" ht="14.25" customHeight="1">
      <c r="A353" s="48"/>
      <c r="B353" s="120"/>
      <c r="C353" s="108"/>
      <c r="D353" s="109"/>
      <c r="E353" s="109"/>
      <c r="F353" s="109"/>
      <c r="G353" s="70"/>
      <c r="H353" s="70"/>
      <c r="I353" s="82"/>
      <c r="J353" s="82"/>
      <c r="K353" s="99"/>
      <c r="L353" s="99"/>
      <c r="M353" s="121"/>
      <c r="N353" s="121"/>
      <c r="O353" s="121"/>
      <c r="P353" s="121"/>
      <c r="Q353" s="121"/>
      <c r="R353" s="122"/>
      <c r="S353" s="122"/>
      <c r="T353" s="122"/>
      <c r="U353" s="122"/>
      <c r="V353" s="122"/>
      <c r="W353" s="123"/>
      <c r="X353" s="123"/>
      <c r="Y353" s="123"/>
      <c r="Z353" s="123"/>
      <c r="AA353" s="123"/>
      <c r="AB353" s="5"/>
      <c r="AC353" s="5"/>
    </row>
    <row r="354" ht="14.25" customHeight="1">
      <c r="A354" s="48"/>
      <c r="B354" s="120"/>
      <c r="C354" s="108"/>
      <c r="D354" s="109"/>
      <c r="E354" s="109"/>
      <c r="F354" s="109"/>
      <c r="G354" s="70"/>
      <c r="H354" s="70"/>
      <c r="I354" s="82"/>
      <c r="J354" s="82"/>
      <c r="K354" s="99"/>
      <c r="L354" s="99"/>
      <c r="M354" s="121"/>
      <c r="N354" s="121"/>
      <c r="O354" s="121"/>
      <c r="P354" s="121"/>
      <c r="Q354" s="121"/>
      <c r="R354" s="122"/>
      <c r="S354" s="122"/>
      <c r="T354" s="122"/>
      <c r="U354" s="122"/>
      <c r="V354" s="122"/>
      <c r="W354" s="123"/>
      <c r="X354" s="123"/>
      <c r="Y354" s="123"/>
      <c r="Z354" s="123"/>
      <c r="AA354" s="123"/>
      <c r="AB354" s="5"/>
      <c r="AC354" s="5"/>
    </row>
    <row r="355" ht="14.25" customHeight="1">
      <c r="A355" s="48"/>
      <c r="B355" s="120"/>
      <c r="C355" s="108"/>
      <c r="D355" s="109"/>
      <c r="E355" s="109"/>
      <c r="F355" s="109"/>
      <c r="G355" s="70"/>
      <c r="H355" s="70"/>
      <c r="I355" s="82"/>
      <c r="J355" s="82"/>
      <c r="K355" s="99"/>
      <c r="L355" s="99"/>
      <c r="M355" s="121"/>
      <c r="N355" s="121"/>
      <c r="O355" s="121"/>
      <c r="P355" s="121"/>
      <c r="Q355" s="121"/>
      <c r="R355" s="122"/>
      <c r="S355" s="122"/>
      <c r="T355" s="122"/>
      <c r="U355" s="122"/>
      <c r="V355" s="122"/>
      <c r="W355" s="123"/>
      <c r="X355" s="123"/>
      <c r="Y355" s="123"/>
      <c r="Z355" s="123"/>
      <c r="AA355" s="123"/>
      <c r="AB355" s="5"/>
      <c r="AC355" s="5"/>
    </row>
    <row r="356" ht="14.25" customHeight="1">
      <c r="A356" s="48"/>
      <c r="B356" s="120"/>
      <c r="C356" s="108"/>
      <c r="D356" s="109"/>
      <c r="E356" s="109"/>
      <c r="F356" s="109"/>
      <c r="G356" s="70"/>
      <c r="H356" s="70"/>
      <c r="I356" s="82"/>
      <c r="J356" s="82"/>
      <c r="K356" s="99"/>
      <c r="L356" s="99"/>
      <c r="M356" s="121"/>
      <c r="N356" s="121"/>
      <c r="O356" s="121"/>
      <c r="P356" s="121"/>
      <c r="Q356" s="121"/>
      <c r="R356" s="122"/>
      <c r="S356" s="122"/>
      <c r="T356" s="122"/>
      <c r="U356" s="122"/>
      <c r="V356" s="122"/>
      <c r="W356" s="123"/>
      <c r="X356" s="123"/>
      <c r="Y356" s="123"/>
      <c r="Z356" s="123"/>
      <c r="AA356" s="123"/>
      <c r="AB356" s="5"/>
      <c r="AC356" s="5"/>
    </row>
    <row r="357" ht="14.25" customHeight="1">
      <c r="A357" s="48"/>
      <c r="B357" s="120"/>
      <c r="C357" s="108"/>
      <c r="D357" s="109"/>
      <c r="E357" s="109"/>
      <c r="F357" s="109"/>
      <c r="G357" s="70"/>
      <c r="H357" s="70"/>
      <c r="I357" s="82"/>
      <c r="J357" s="82"/>
      <c r="K357" s="99"/>
      <c r="L357" s="99"/>
      <c r="M357" s="121"/>
      <c r="N357" s="121"/>
      <c r="O357" s="121"/>
      <c r="P357" s="121"/>
      <c r="Q357" s="121"/>
      <c r="R357" s="122"/>
      <c r="S357" s="122"/>
      <c r="T357" s="122"/>
      <c r="U357" s="122"/>
      <c r="V357" s="122"/>
      <c r="W357" s="123"/>
      <c r="X357" s="123"/>
      <c r="Y357" s="123"/>
      <c r="Z357" s="123"/>
      <c r="AA357" s="123"/>
      <c r="AB357" s="5"/>
      <c r="AC357" s="5"/>
    </row>
    <row r="358" ht="14.25" customHeight="1">
      <c r="A358" s="48"/>
      <c r="B358" s="120"/>
      <c r="C358" s="108"/>
      <c r="D358" s="109"/>
      <c r="E358" s="109"/>
      <c r="F358" s="109"/>
      <c r="G358" s="70"/>
      <c r="H358" s="70"/>
      <c r="I358" s="82"/>
      <c r="J358" s="82"/>
      <c r="K358" s="99"/>
      <c r="L358" s="99"/>
      <c r="M358" s="121"/>
      <c r="N358" s="121"/>
      <c r="O358" s="121"/>
      <c r="P358" s="121"/>
      <c r="Q358" s="121"/>
      <c r="R358" s="122"/>
      <c r="S358" s="122"/>
      <c r="T358" s="122"/>
      <c r="U358" s="122"/>
      <c r="V358" s="122"/>
      <c r="W358" s="123"/>
      <c r="X358" s="123"/>
      <c r="Y358" s="123"/>
      <c r="Z358" s="123"/>
      <c r="AA358" s="123"/>
      <c r="AB358" s="5"/>
      <c r="AC358" s="5"/>
    </row>
    <row r="359" ht="14.25" customHeight="1">
      <c r="A359" s="48"/>
      <c r="B359" s="120"/>
      <c r="C359" s="108"/>
      <c r="D359" s="109"/>
      <c r="E359" s="109"/>
      <c r="F359" s="109"/>
      <c r="G359" s="70"/>
      <c r="H359" s="70"/>
      <c r="I359" s="82"/>
      <c r="J359" s="82"/>
      <c r="K359" s="99"/>
      <c r="L359" s="99"/>
      <c r="M359" s="121"/>
      <c r="N359" s="121"/>
      <c r="O359" s="121"/>
      <c r="P359" s="121"/>
      <c r="Q359" s="121"/>
      <c r="R359" s="122"/>
      <c r="S359" s="122"/>
      <c r="T359" s="122"/>
      <c r="U359" s="122"/>
      <c r="V359" s="122"/>
      <c r="W359" s="123"/>
      <c r="X359" s="123"/>
      <c r="Y359" s="123"/>
      <c r="Z359" s="123"/>
      <c r="AA359" s="123"/>
      <c r="AB359" s="5"/>
      <c r="AC359" s="5"/>
    </row>
    <row r="360" ht="14.25" customHeight="1">
      <c r="A360" s="48"/>
      <c r="B360" s="120"/>
      <c r="C360" s="108"/>
      <c r="D360" s="109"/>
      <c r="E360" s="109"/>
      <c r="F360" s="109"/>
      <c r="G360" s="70"/>
      <c r="H360" s="70"/>
      <c r="I360" s="82"/>
      <c r="J360" s="82"/>
      <c r="K360" s="99"/>
      <c r="L360" s="99"/>
      <c r="M360" s="121"/>
      <c r="N360" s="121"/>
      <c r="O360" s="121"/>
      <c r="P360" s="121"/>
      <c r="Q360" s="121"/>
      <c r="R360" s="122"/>
      <c r="S360" s="122"/>
      <c r="T360" s="122"/>
      <c r="U360" s="122"/>
      <c r="V360" s="122"/>
      <c r="W360" s="123"/>
      <c r="X360" s="123"/>
      <c r="Y360" s="123"/>
      <c r="Z360" s="123"/>
      <c r="AA360" s="123"/>
      <c r="AB360" s="5"/>
      <c r="AC360" s="5"/>
    </row>
    <row r="361" ht="14.25" customHeight="1">
      <c r="A361" s="48"/>
      <c r="B361" s="120"/>
      <c r="C361" s="108"/>
      <c r="D361" s="109"/>
      <c r="E361" s="109"/>
      <c r="F361" s="109"/>
      <c r="G361" s="70"/>
      <c r="H361" s="70"/>
      <c r="I361" s="82"/>
      <c r="J361" s="82"/>
      <c r="K361" s="99"/>
      <c r="L361" s="99"/>
      <c r="M361" s="121"/>
      <c r="N361" s="121"/>
      <c r="O361" s="121"/>
      <c r="P361" s="121"/>
      <c r="Q361" s="121"/>
      <c r="R361" s="122"/>
      <c r="S361" s="122"/>
      <c r="T361" s="122"/>
      <c r="U361" s="122"/>
      <c r="V361" s="122"/>
      <c r="W361" s="123"/>
      <c r="X361" s="123"/>
      <c r="Y361" s="123"/>
      <c r="Z361" s="123"/>
      <c r="AA361" s="123"/>
      <c r="AB361" s="5"/>
      <c r="AC361" s="5"/>
    </row>
    <row r="362" ht="14.25" customHeight="1">
      <c r="A362" s="48"/>
      <c r="B362" s="120"/>
      <c r="C362" s="108"/>
      <c r="D362" s="109"/>
      <c r="E362" s="109"/>
      <c r="F362" s="109"/>
      <c r="G362" s="70"/>
      <c r="H362" s="70"/>
      <c r="I362" s="82"/>
      <c r="J362" s="82"/>
      <c r="K362" s="99"/>
      <c r="L362" s="99"/>
      <c r="M362" s="121"/>
      <c r="N362" s="121"/>
      <c r="O362" s="121"/>
      <c r="P362" s="121"/>
      <c r="Q362" s="121"/>
      <c r="R362" s="122"/>
      <c r="S362" s="122"/>
      <c r="T362" s="122"/>
      <c r="U362" s="122"/>
      <c r="V362" s="122"/>
      <c r="W362" s="123"/>
      <c r="X362" s="123"/>
      <c r="Y362" s="123"/>
      <c r="Z362" s="123"/>
      <c r="AA362" s="123"/>
      <c r="AB362" s="5"/>
      <c r="AC362" s="5"/>
    </row>
    <row r="363" ht="14.25" customHeight="1">
      <c r="A363" s="48"/>
      <c r="B363" s="120"/>
      <c r="C363" s="108"/>
      <c r="D363" s="109"/>
      <c r="E363" s="109"/>
      <c r="F363" s="109"/>
      <c r="G363" s="70"/>
      <c r="H363" s="70"/>
      <c r="I363" s="82"/>
      <c r="J363" s="82"/>
      <c r="K363" s="99"/>
      <c r="L363" s="99"/>
      <c r="M363" s="121"/>
      <c r="N363" s="121"/>
      <c r="O363" s="121"/>
      <c r="P363" s="121"/>
      <c r="Q363" s="121"/>
      <c r="R363" s="122"/>
      <c r="S363" s="122"/>
      <c r="T363" s="122"/>
      <c r="U363" s="122"/>
      <c r="V363" s="122"/>
      <c r="W363" s="123"/>
      <c r="X363" s="123"/>
      <c r="Y363" s="123"/>
      <c r="Z363" s="123"/>
      <c r="AA363" s="123"/>
      <c r="AB363" s="5"/>
      <c r="AC363" s="5"/>
    </row>
    <row r="364" ht="14.25" customHeight="1">
      <c r="A364" s="48"/>
      <c r="B364" s="120"/>
      <c r="C364" s="108"/>
      <c r="D364" s="109"/>
      <c r="E364" s="109"/>
      <c r="F364" s="109"/>
      <c r="G364" s="70"/>
      <c r="H364" s="70"/>
      <c r="I364" s="82"/>
      <c r="J364" s="82"/>
      <c r="K364" s="99"/>
      <c r="L364" s="99"/>
      <c r="M364" s="121"/>
      <c r="N364" s="121"/>
      <c r="O364" s="121"/>
      <c r="P364" s="121"/>
      <c r="Q364" s="121"/>
      <c r="R364" s="122"/>
      <c r="S364" s="122"/>
      <c r="T364" s="122"/>
      <c r="U364" s="122"/>
      <c r="V364" s="122"/>
      <c r="W364" s="123"/>
      <c r="X364" s="123"/>
      <c r="Y364" s="123"/>
      <c r="Z364" s="123"/>
      <c r="AA364" s="123"/>
      <c r="AB364" s="5"/>
      <c r="AC364" s="5"/>
    </row>
    <row r="365" ht="14.25" customHeight="1">
      <c r="A365" s="48"/>
      <c r="B365" s="120"/>
      <c r="C365" s="108"/>
      <c r="D365" s="109"/>
      <c r="E365" s="109"/>
      <c r="F365" s="109"/>
      <c r="G365" s="70"/>
      <c r="H365" s="70"/>
      <c r="I365" s="82"/>
      <c r="J365" s="82"/>
      <c r="K365" s="99"/>
      <c r="L365" s="99"/>
      <c r="M365" s="121"/>
      <c r="N365" s="121"/>
      <c r="O365" s="121"/>
      <c r="P365" s="121"/>
      <c r="Q365" s="121"/>
      <c r="R365" s="122"/>
      <c r="S365" s="122"/>
      <c r="T365" s="122"/>
      <c r="U365" s="122"/>
      <c r="V365" s="122"/>
      <c r="W365" s="123"/>
      <c r="X365" s="123"/>
      <c r="Y365" s="123"/>
      <c r="Z365" s="123"/>
      <c r="AA365" s="123"/>
      <c r="AB365" s="5"/>
      <c r="AC365" s="5"/>
    </row>
    <row r="366" ht="14.25" customHeight="1">
      <c r="A366" s="48"/>
      <c r="B366" s="120"/>
      <c r="C366" s="108"/>
      <c r="D366" s="109"/>
      <c r="E366" s="109"/>
      <c r="F366" s="109"/>
      <c r="G366" s="70"/>
      <c r="H366" s="70"/>
      <c r="I366" s="82"/>
      <c r="J366" s="82"/>
      <c r="K366" s="99"/>
      <c r="L366" s="99"/>
      <c r="M366" s="121"/>
      <c r="N366" s="121"/>
      <c r="O366" s="121"/>
      <c r="P366" s="121"/>
      <c r="Q366" s="121"/>
      <c r="R366" s="122"/>
      <c r="S366" s="122"/>
      <c r="T366" s="122"/>
      <c r="U366" s="122"/>
      <c r="V366" s="122"/>
      <c r="W366" s="123"/>
      <c r="X366" s="123"/>
      <c r="Y366" s="123"/>
      <c r="Z366" s="123"/>
      <c r="AA366" s="123"/>
      <c r="AB366" s="5"/>
      <c r="AC366" s="5"/>
    </row>
    <row r="367" ht="14.25" customHeight="1">
      <c r="A367" s="48"/>
      <c r="B367" s="120"/>
      <c r="C367" s="108"/>
      <c r="D367" s="109"/>
      <c r="E367" s="109"/>
      <c r="F367" s="109"/>
      <c r="G367" s="70"/>
      <c r="H367" s="70"/>
      <c r="I367" s="82"/>
      <c r="J367" s="82"/>
      <c r="K367" s="99"/>
      <c r="L367" s="99"/>
      <c r="M367" s="121"/>
      <c r="N367" s="121"/>
      <c r="O367" s="121"/>
      <c r="P367" s="121"/>
      <c r="Q367" s="121"/>
      <c r="R367" s="122"/>
      <c r="S367" s="122"/>
      <c r="T367" s="122"/>
      <c r="U367" s="122"/>
      <c r="V367" s="122"/>
      <c r="W367" s="123"/>
      <c r="X367" s="123"/>
      <c r="Y367" s="123"/>
      <c r="Z367" s="123"/>
      <c r="AA367" s="123"/>
      <c r="AB367" s="5"/>
      <c r="AC367" s="5"/>
    </row>
    <row r="368" ht="14.25" customHeight="1">
      <c r="A368" s="48"/>
      <c r="B368" s="120"/>
      <c r="C368" s="108"/>
      <c r="D368" s="109"/>
      <c r="E368" s="109"/>
      <c r="F368" s="109"/>
      <c r="G368" s="70"/>
      <c r="H368" s="70"/>
      <c r="I368" s="82"/>
      <c r="J368" s="82"/>
      <c r="K368" s="99"/>
      <c r="L368" s="99"/>
      <c r="M368" s="121"/>
      <c r="N368" s="121"/>
      <c r="O368" s="121"/>
      <c r="P368" s="121"/>
      <c r="Q368" s="121"/>
      <c r="R368" s="122"/>
      <c r="S368" s="122"/>
      <c r="T368" s="122"/>
      <c r="U368" s="122"/>
      <c r="V368" s="122"/>
      <c r="W368" s="123"/>
      <c r="X368" s="123"/>
      <c r="Y368" s="123"/>
      <c r="Z368" s="123"/>
      <c r="AA368" s="123"/>
      <c r="AB368" s="5"/>
      <c r="AC368" s="5"/>
    </row>
    <row r="369" ht="14.25" customHeight="1">
      <c r="A369" s="48"/>
      <c r="B369" s="120"/>
      <c r="C369" s="108"/>
      <c r="D369" s="109"/>
      <c r="E369" s="109"/>
      <c r="F369" s="109"/>
      <c r="G369" s="70"/>
      <c r="H369" s="70"/>
      <c r="I369" s="82"/>
      <c r="J369" s="82"/>
      <c r="K369" s="99"/>
      <c r="L369" s="99"/>
      <c r="M369" s="121"/>
      <c r="N369" s="121"/>
      <c r="O369" s="121"/>
      <c r="P369" s="121"/>
      <c r="Q369" s="121"/>
      <c r="R369" s="122"/>
      <c r="S369" s="122"/>
      <c r="T369" s="122"/>
      <c r="U369" s="122"/>
      <c r="V369" s="122"/>
      <c r="W369" s="123"/>
      <c r="X369" s="123"/>
      <c r="Y369" s="123"/>
      <c r="Z369" s="123"/>
      <c r="AA369" s="123"/>
      <c r="AB369" s="5"/>
      <c r="AC369" s="5"/>
    </row>
    <row r="370" ht="14.25" customHeight="1">
      <c r="A370" s="48"/>
      <c r="B370" s="120"/>
      <c r="C370" s="108"/>
      <c r="D370" s="109"/>
      <c r="E370" s="109"/>
      <c r="F370" s="109"/>
      <c r="G370" s="70"/>
      <c r="H370" s="70"/>
      <c r="I370" s="82"/>
      <c r="J370" s="82"/>
      <c r="K370" s="99"/>
      <c r="L370" s="99"/>
      <c r="M370" s="121"/>
      <c r="N370" s="121"/>
      <c r="O370" s="121"/>
      <c r="P370" s="121"/>
      <c r="Q370" s="121"/>
      <c r="R370" s="122"/>
      <c r="S370" s="122"/>
      <c r="T370" s="122"/>
      <c r="U370" s="122"/>
      <c r="V370" s="122"/>
      <c r="W370" s="123"/>
      <c r="X370" s="123"/>
      <c r="Y370" s="123"/>
      <c r="Z370" s="123"/>
      <c r="AA370" s="123"/>
      <c r="AB370" s="5"/>
      <c r="AC370" s="5"/>
    </row>
    <row r="371" ht="14.25" customHeight="1">
      <c r="A371" s="48"/>
      <c r="B371" s="120"/>
      <c r="C371" s="108"/>
      <c r="D371" s="109"/>
      <c r="E371" s="109"/>
      <c r="F371" s="109"/>
      <c r="G371" s="70"/>
      <c r="H371" s="70"/>
      <c r="I371" s="82"/>
      <c r="J371" s="82"/>
      <c r="K371" s="99"/>
      <c r="L371" s="99"/>
      <c r="M371" s="121"/>
      <c r="N371" s="121"/>
      <c r="O371" s="121"/>
      <c r="P371" s="121"/>
      <c r="Q371" s="121"/>
      <c r="R371" s="122"/>
      <c r="S371" s="122"/>
      <c r="T371" s="122"/>
      <c r="U371" s="122"/>
      <c r="V371" s="122"/>
      <c r="W371" s="123"/>
      <c r="X371" s="123"/>
      <c r="Y371" s="123"/>
      <c r="Z371" s="123"/>
      <c r="AA371" s="123"/>
      <c r="AB371" s="5"/>
      <c r="AC371" s="5"/>
    </row>
    <row r="372" ht="14.25" customHeight="1">
      <c r="A372" s="48"/>
      <c r="B372" s="120"/>
      <c r="C372" s="108"/>
      <c r="D372" s="109"/>
      <c r="E372" s="109"/>
      <c r="F372" s="109"/>
      <c r="G372" s="70"/>
      <c r="H372" s="70"/>
      <c r="I372" s="82"/>
      <c r="J372" s="82"/>
      <c r="K372" s="99"/>
      <c r="L372" s="99"/>
      <c r="M372" s="121"/>
      <c r="N372" s="121"/>
      <c r="O372" s="121"/>
      <c r="P372" s="121"/>
      <c r="Q372" s="121"/>
      <c r="R372" s="122"/>
      <c r="S372" s="122"/>
      <c r="T372" s="122"/>
      <c r="U372" s="122"/>
      <c r="V372" s="122"/>
      <c r="W372" s="123"/>
      <c r="X372" s="123"/>
      <c r="Y372" s="123"/>
      <c r="Z372" s="123"/>
      <c r="AA372" s="123"/>
      <c r="AB372" s="5"/>
      <c r="AC372" s="5"/>
    </row>
    <row r="373" ht="14.25" customHeight="1">
      <c r="A373" s="48"/>
      <c r="B373" s="120"/>
      <c r="C373" s="108"/>
      <c r="D373" s="109"/>
      <c r="E373" s="109"/>
      <c r="F373" s="109"/>
      <c r="G373" s="70"/>
      <c r="H373" s="70"/>
      <c r="I373" s="82"/>
      <c r="J373" s="82"/>
      <c r="K373" s="99"/>
      <c r="L373" s="99"/>
      <c r="M373" s="121"/>
      <c r="N373" s="121"/>
      <c r="O373" s="121"/>
      <c r="P373" s="121"/>
      <c r="Q373" s="121"/>
      <c r="R373" s="122"/>
      <c r="S373" s="122"/>
      <c r="T373" s="122"/>
      <c r="U373" s="122"/>
      <c r="V373" s="122"/>
      <c r="W373" s="123"/>
      <c r="X373" s="123"/>
      <c r="Y373" s="123"/>
      <c r="Z373" s="123"/>
      <c r="AA373" s="123"/>
      <c r="AB373" s="5"/>
      <c r="AC373" s="5"/>
    </row>
    <row r="374" ht="14.25" customHeight="1">
      <c r="A374" s="48"/>
      <c r="B374" s="120"/>
      <c r="C374" s="108"/>
      <c r="D374" s="109"/>
      <c r="E374" s="109"/>
      <c r="F374" s="109"/>
      <c r="G374" s="70"/>
      <c r="H374" s="70"/>
      <c r="I374" s="82"/>
      <c r="J374" s="82"/>
      <c r="K374" s="99"/>
      <c r="L374" s="99"/>
      <c r="M374" s="121"/>
      <c r="N374" s="121"/>
      <c r="O374" s="121"/>
      <c r="P374" s="121"/>
      <c r="Q374" s="121"/>
      <c r="R374" s="122"/>
      <c r="S374" s="122"/>
      <c r="T374" s="122"/>
      <c r="U374" s="122"/>
      <c r="V374" s="122"/>
      <c r="W374" s="123"/>
      <c r="X374" s="123"/>
      <c r="Y374" s="123"/>
      <c r="Z374" s="123"/>
      <c r="AA374" s="123"/>
      <c r="AB374" s="5"/>
      <c r="AC374" s="5"/>
    </row>
    <row r="375" ht="14.25" customHeight="1">
      <c r="A375" s="48"/>
      <c r="B375" s="120"/>
      <c r="C375" s="108"/>
      <c r="D375" s="109"/>
      <c r="E375" s="109"/>
      <c r="F375" s="109"/>
      <c r="G375" s="70"/>
      <c r="H375" s="70"/>
      <c r="I375" s="82"/>
      <c r="J375" s="82"/>
      <c r="K375" s="99"/>
      <c r="L375" s="99"/>
      <c r="M375" s="121"/>
      <c r="N375" s="121"/>
      <c r="O375" s="121"/>
      <c r="P375" s="121"/>
      <c r="Q375" s="121"/>
      <c r="R375" s="122"/>
      <c r="S375" s="122"/>
      <c r="T375" s="122"/>
      <c r="U375" s="122"/>
      <c r="V375" s="122"/>
      <c r="W375" s="123"/>
      <c r="X375" s="123"/>
      <c r="Y375" s="123"/>
      <c r="Z375" s="123"/>
      <c r="AA375" s="123"/>
      <c r="AB375" s="5"/>
      <c r="AC375" s="5"/>
    </row>
    <row r="376" ht="14.25" customHeight="1">
      <c r="A376" s="48"/>
      <c r="B376" s="120"/>
      <c r="C376" s="108"/>
      <c r="D376" s="109"/>
      <c r="E376" s="109"/>
      <c r="F376" s="109"/>
      <c r="G376" s="70"/>
      <c r="H376" s="70"/>
      <c r="I376" s="82"/>
      <c r="J376" s="82"/>
      <c r="K376" s="99"/>
      <c r="L376" s="99"/>
      <c r="M376" s="121"/>
      <c r="N376" s="121"/>
      <c r="O376" s="121"/>
      <c r="P376" s="121"/>
      <c r="Q376" s="121"/>
      <c r="R376" s="122"/>
      <c r="S376" s="122"/>
      <c r="T376" s="122"/>
      <c r="U376" s="122"/>
      <c r="V376" s="122"/>
      <c r="W376" s="123"/>
      <c r="X376" s="123"/>
      <c r="Y376" s="123"/>
      <c r="Z376" s="123"/>
      <c r="AA376" s="123"/>
      <c r="AB376" s="5"/>
      <c r="AC376" s="5"/>
    </row>
    <row r="377" ht="14.25" customHeight="1">
      <c r="A377" s="48"/>
      <c r="B377" s="120"/>
      <c r="C377" s="108"/>
      <c r="D377" s="109"/>
      <c r="E377" s="109"/>
      <c r="F377" s="109"/>
      <c r="G377" s="70"/>
      <c r="H377" s="70"/>
      <c r="I377" s="82"/>
      <c r="J377" s="82"/>
      <c r="K377" s="99"/>
      <c r="L377" s="99"/>
      <c r="M377" s="121"/>
      <c r="N377" s="121"/>
      <c r="O377" s="121"/>
      <c r="P377" s="121"/>
      <c r="Q377" s="121"/>
      <c r="R377" s="122"/>
      <c r="S377" s="122"/>
      <c r="T377" s="122"/>
      <c r="U377" s="122"/>
      <c r="V377" s="122"/>
      <c r="W377" s="123"/>
      <c r="X377" s="123"/>
      <c r="Y377" s="123"/>
      <c r="Z377" s="123"/>
      <c r="AA377" s="123"/>
      <c r="AB377" s="5"/>
      <c r="AC377" s="5"/>
    </row>
    <row r="378" ht="14.25" customHeight="1">
      <c r="A378" s="48"/>
      <c r="B378" s="120"/>
      <c r="C378" s="108"/>
      <c r="D378" s="109"/>
      <c r="E378" s="109"/>
      <c r="F378" s="109"/>
      <c r="G378" s="70"/>
      <c r="H378" s="70"/>
      <c r="I378" s="82"/>
      <c r="J378" s="82"/>
      <c r="K378" s="99"/>
      <c r="L378" s="99"/>
      <c r="M378" s="121"/>
      <c r="N378" s="121"/>
      <c r="O378" s="121"/>
      <c r="P378" s="121"/>
      <c r="Q378" s="121"/>
      <c r="R378" s="122"/>
      <c r="S378" s="122"/>
      <c r="T378" s="122"/>
      <c r="U378" s="122"/>
      <c r="V378" s="122"/>
      <c r="W378" s="123"/>
      <c r="X378" s="123"/>
      <c r="Y378" s="123"/>
      <c r="Z378" s="123"/>
      <c r="AA378" s="123"/>
      <c r="AB378" s="5"/>
      <c r="AC378" s="5"/>
    </row>
    <row r="379" ht="14.25" customHeight="1">
      <c r="A379" s="48"/>
      <c r="B379" s="120"/>
      <c r="C379" s="108"/>
      <c r="D379" s="109"/>
      <c r="E379" s="109"/>
      <c r="F379" s="109"/>
      <c r="G379" s="70"/>
      <c r="H379" s="70"/>
      <c r="I379" s="82"/>
      <c r="J379" s="82"/>
      <c r="K379" s="99"/>
      <c r="L379" s="99"/>
      <c r="M379" s="121"/>
      <c r="N379" s="121"/>
      <c r="O379" s="121"/>
      <c r="P379" s="121"/>
      <c r="Q379" s="121"/>
      <c r="R379" s="122"/>
      <c r="S379" s="122"/>
      <c r="T379" s="122"/>
      <c r="U379" s="122"/>
      <c r="V379" s="122"/>
      <c r="W379" s="123"/>
      <c r="X379" s="123"/>
      <c r="Y379" s="123"/>
      <c r="Z379" s="123"/>
      <c r="AA379" s="123"/>
      <c r="AB379" s="5"/>
      <c r="AC379" s="5"/>
    </row>
    <row r="380" ht="14.25" customHeight="1">
      <c r="A380" s="48"/>
      <c r="B380" s="120"/>
      <c r="C380" s="108"/>
      <c r="D380" s="109"/>
      <c r="E380" s="109"/>
      <c r="F380" s="109"/>
      <c r="G380" s="70"/>
      <c r="H380" s="70"/>
      <c r="I380" s="82"/>
      <c r="J380" s="82"/>
      <c r="K380" s="99"/>
      <c r="L380" s="99"/>
      <c r="M380" s="121"/>
      <c r="N380" s="121"/>
      <c r="O380" s="121"/>
      <c r="P380" s="121"/>
      <c r="Q380" s="121"/>
      <c r="R380" s="122"/>
      <c r="S380" s="122"/>
      <c r="T380" s="122"/>
      <c r="U380" s="122"/>
      <c r="V380" s="122"/>
      <c r="W380" s="123"/>
      <c r="X380" s="123"/>
      <c r="Y380" s="123"/>
      <c r="Z380" s="123"/>
      <c r="AA380" s="123"/>
      <c r="AB380" s="5"/>
      <c r="AC380" s="5"/>
    </row>
    <row r="381" ht="14.25" customHeight="1">
      <c r="A381" s="48"/>
      <c r="B381" s="120"/>
      <c r="C381" s="108"/>
      <c r="D381" s="109"/>
      <c r="E381" s="109"/>
      <c r="F381" s="109"/>
      <c r="G381" s="70"/>
      <c r="H381" s="70"/>
      <c r="I381" s="82"/>
      <c r="J381" s="82"/>
      <c r="K381" s="99"/>
      <c r="L381" s="99"/>
      <c r="M381" s="121"/>
      <c r="N381" s="121"/>
      <c r="O381" s="121"/>
      <c r="P381" s="121"/>
      <c r="Q381" s="121"/>
      <c r="R381" s="122"/>
      <c r="S381" s="122"/>
      <c r="T381" s="122"/>
      <c r="U381" s="122"/>
      <c r="V381" s="122"/>
      <c r="W381" s="123"/>
      <c r="X381" s="123"/>
      <c r="Y381" s="123"/>
      <c r="Z381" s="123"/>
      <c r="AA381" s="123"/>
      <c r="AB381" s="5"/>
      <c r="AC381" s="5"/>
    </row>
    <row r="382" ht="14.25" customHeight="1">
      <c r="A382" s="48"/>
      <c r="B382" s="120"/>
      <c r="C382" s="108"/>
      <c r="D382" s="109"/>
      <c r="E382" s="109"/>
      <c r="F382" s="109"/>
      <c r="G382" s="70"/>
      <c r="H382" s="70"/>
      <c r="I382" s="82"/>
      <c r="J382" s="82"/>
      <c r="K382" s="99"/>
      <c r="L382" s="99"/>
      <c r="M382" s="121"/>
      <c r="N382" s="121"/>
      <c r="O382" s="121"/>
      <c r="P382" s="121"/>
      <c r="Q382" s="121"/>
      <c r="R382" s="122"/>
      <c r="S382" s="122"/>
      <c r="T382" s="122"/>
      <c r="U382" s="122"/>
      <c r="V382" s="122"/>
      <c r="W382" s="123"/>
      <c r="X382" s="123"/>
      <c r="Y382" s="123"/>
      <c r="Z382" s="123"/>
      <c r="AA382" s="123"/>
      <c r="AB382" s="5"/>
      <c r="AC382" s="5"/>
    </row>
    <row r="383" ht="14.25" customHeight="1">
      <c r="A383" s="48"/>
      <c r="B383" s="120"/>
      <c r="C383" s="108"/>
      <c r="D383" s="109"/>
      <c r="E383" s="109"/>
      <c r="F383" s="109"/>
      <c r="G383" s="70"/>
      <c r="H383" s="70"/>
      <c r="I383" s="82"/>
      <c r="J383" s="82"/>
      <c r="K383" s="99"/>
      <c r="L383" s="99"/>
      <c r="M383" s="121"/>
      <c r="N383" s="121"/>
      <c r="O383" s="121"/>
      <c r="P383" s="121"/>
      <c r="Q383" s="121"/>
      <c r="R383" s="122"/>
      <c r="S383" s="122"/>
      <c r="T383" s="122"/>
      <c r="U383" s="122"/>
      <c r="V383" s="122"/>
      <c r="W383" s="123"/>
      <c r="X383" s="123"/>
      <c r="Y383" s="123"/>
      <c r="Z383" s="123"/>
      <c r="AA383" s="123"/>
      <c r="AB383" s="5"/>
      <c r="AC383" s="5"/>
    </row>
    <row r="384" ht="14.25" customHeight="1">
      <c r="A384" s="48"/>
      <c r="B384" s="120"/>
      <c r="C384" s="108"/>
      <c r="D384" s="109"/>
      <c r="E384" s="109"/>
      <c r="F384" s="109"/>
      <c r="G384" s="70"/>
      <c r="H384" s="70"/>
      <c r="I384" s="82"/>
      <c r="J384" s="82"/>
      <c r="K384" s="99"/>
      <c r="L384" s="99"/>
      <c r="M384" s="121"/>
      <c r="N384" s="121"/>
      <c r="O384" s="121"/>
      <c r="P384" s="121"/>
      <c r="Q384" s="121"/>
      <c r="R384" s="122"/>
      <c r="S384" s="122"/>
      <c r="T384" s="122"/>
      <c r="U384" s="122"/>
      <c r="V384" s="122"/>
      <c r="W384" s="123"/>
      <c r="X384" s="123"/>
      <c r="Y384" s="123"/>
      <c r="Z384" s="123"/>
      <c r="AA384" s="123"/>
      <c r="AB384" s="5"/>
      <c r="AC384" s="5"/>
    </row>
    <row r="385" ht="14.25" customHeight="1">
      <c r="A385" s="48"/>
      <c r="B385" s="120"/>
      <c r="C385" s="108"/>
      <c r="D385" s="109"/>
      <c r="E385" s="109"/>
      <c r="F385" s="109"/>
      <c r="G385" s="70"/>
      <c r="H385" s="70"/>
      <c r="I385" s="82"/>
      <c r="J385" s="82"/>
      <c r="K385" s="99"/>
      <c r="L385" s="99"/>
      <c r="M385" s="121"/>
      <c r="N385" s="121"/>
      <c r="O385" s="121"/>
      <c r="P385" s="121"/>
      <c r="Q385" s="121"/>
      <c r="R385" s="122"/>
      <c r="S385" s="122"/>
      <c r="T385" s="122"/>
      <c r="U385" s="122"/>
      <c r="V385" s="122"/>
      <c r="W385" s="123"/>
      <c r="X385" s="123"/>
      <c r="Y385" s="123"/>
      <c r="Z385" s="123"/>
      <c r="AA385" s="123"/>
      <c r="AB385" s="5"/>
      <c r="AC385" s="5"/>
    </row>
    <row r="386" ht="14.25" customHeight="1">
      <c r="A386" s="48"/>
      <c r="B386" s="120"/>
      <c r="C386" s="108"/>
      <c r="D386" s="109"/>
      <c r="E386" s="109"/>
      <c r="F386" s="109"/>
      <c r="G386" s="70"/>
      <c r="H386" s="70"/>
      <c r="I386" s="82"/>
      <c r="J386" s="82"/>
      <c r="K386" s="99"/>
      <c r="L386" s="99"/>
      <c r="M386" s="121"/>
      <c r="N386" s="121"/>
      <c r="O386" s="121"/>
      <c r="P386" s="121"/>
      <c r="Q386" s="121"/>
      <c r="R386" s="122"/>
      <c r="S386" s="122"/>
      <c r="T386" s="122"/>
      <c r="U386" s="122"/>
      <c r="V386" s="122"/>
      <c r="W386" s="123"/>
      <c r="X386" s="123"/>
      <c r="Y386" s="123"/>
      <c r="Z386" s="123"/>
      <c r="AA386" s="123"/>
      <c r="AB386" s="5"/>
      <c r="AC386" s="5"/>
    </row>
    <row r="387" ht="14.25" customHeight="1">
      <c r="A387" s="48"/>
      <c r="B387" s="120"/>
      <c r="C387" s="108"/>
      <c r="D387" s="109"/>
      <c r="E387" s="109"/>
      <c r="F387" s="109"/>
      <c r="G387" s="70"/>
      <c r="H387" s="70"/>
      <c r="I387" s="82"/>
      <c r="J387" s="82"/>
      <c r="K387" s="99"/>
      <c r="L387" s="99"/>
      <c r="M387" s="121"/>
      <c r="N387" s="121"/>
      <c r="O387" s="121"/>
      <c r="P387" s="121"/>
      <c r="Q387" s="121"/>
      <c r="R387" s="122"/>
      <c r="S387" s="122"/>
      <c r="T387" s="122"/>
      <c r="U387" s="122"/>
      <c r="V387" s="122"/>
      <c r="W387" s="123"/>
      <c r="X387" s="123"/>
      <c r="Y387" s="123"/>
      <c r="Z387" s="123"/>
      <c r="AA387" s="123"/>
      <c r="AB387" s="5"/>
      <c r="AC387" s="5"/>
    </row>
    <row r="388" ht="14.25" customHeight="1">
      <c r="A388" s="48"/>
      <c r="B388" s="120"/>
      <c r="C388" s="108"/>
      <c r="D388" s="109"/>
      <c r="E388" s="109"/>
      <c r="F388" s="109"/>
      <c r="G388" s="70"/>
      <c r="H388" s="70"/>
      <c r="I388" s="82"/>
      <c r="J388" s="82"/>
      <c r="K388" s="99"/>
      <c r="L388" s="99"/>
      <c r="M388" s="121"/>
      <c r="N388" s="121"/>
      <c r="O388" s="121"/>
      <c r="P388" s="121"/>
      <c r="Q388" s="121"/>
      <c r="R388" s="122"/>
      <c r="S388" s="122"/>
      <c r="T388" s="122"/>
      <c r="U388" s="122"/>
      <c r="V388" s="122"/>
      <c r="W388" s="123"/>
      <c r="X388" s="123"/>
      <c r="Y388" s="123"/>
      <c r="Z388" s="123"/>
      <c r="AA388" s="123"/>
      <c r="AB388" s="5"/>
      <c r="AC388" s="5"/>
    </row>
    <row r="389" ht="14.25" customHeight="1">
      <c r="A389" s="48"/>
      <c r="B389" s="120"/>
      <c r="C389" s="108"/>
      <c r="D389" s="109"/>
      <c r="E389" s="109"/>
      <c r="F389" s="109"/>
      <c r="G389" s="70"/>
      <c r="H389" s="70"/>
      <c r="I389" s="82"/>
      <c r="J389" s="82"/>
      <c r="K389" s="99"/>
      <c r="L389" s="99"/>
      <c r="M389" s="121"/>
      <c r="N389" s="121"/>
      <c r="O389" s="121"/>
      <c r="P389" s="121"/>
      <c r="Q389" s="121"/>
      <c r="R389" s="122"/>
      <c r="S389" s="122"/>
      <c r="T389" s="122"/>
      <c r="U389" s="122"/>
      <c r="V389" s="122"/>
      <c r="W389" s="123"/>
      <c r="X389" s="123"/>
      <c r="Y389" s="123"/>
      <c r="Z389" s="123"/>
      <c r="AA389" s="123"/>
      <c r="AB389" s="5"/>
      <c r="AC389" s="5"/>
    </row>
    <row r="390" ht="14.25" customHeight="1">
      <c r="A390" s="48"/>
      <c r="B390" s="120"/>
      <c r="C390" s="108"/>
      <c r="D390" s="109"/>
      <c r="E390" s="109"/>
      <c r="F390" s="109"/>
      <c r="G390" s="70"/>
      <c r="H390" s="70"/>
      <c r="I390" s="82"/>
      <c r="J390" s="82"/>
      <c r="K390" s="99"/>
      <c r="L390" s="99"/>
      <c r="M390" s="121"/>
      <c r="N390" s="121"/>
      <c r="O390" s="121"/>
      <c r="P390" s="121"/>
      <c r="Q390" s="121"/>
      <c r="R390" s="122"/>
      <c r="S390" s="122"/>
      <c r="T390" s="122"/>
      <c r="U390" s="122"/>
      <c r="V390" s="122"/>
      <c r="W390" s="123"/>
      <c r="X390" s="123"/>
      <c r="Y390" s="123"/>
      <c r="Z390" s="123"/>
      <c r="AA390" s="123"/>
      <c r="AB390" s="5"/>
      <c r="AC390" s="5"/>
    </row>
    <row r="391" ht="14.25" customHeight="1">
      <c r="A391" s="48"/>
      <c r="B391" s="120"/>
      <c r="C391" s="108"/>
      <c r="D391" s="109"/>
      <c r="E391" s="109"/>
      <c r="F391" s="109"/>
      <c r="G391" s="70"/>
      <c r="H391" s="70"/>
      <c r="I391" s="82"/>
      <c r="J391" s="82"/>
      <c r="K391" s="99"/>
      <c r="L391" s="99"/>
      <c r="M391" s="121"/>
      <c r="N391" s="121"/>
      <c r="O391" s="121"/>
      <c r="P391" s="121"/>
      <c r="Q391" s="121"/>
      <c r="R391" s="122"/>
      <c r="S391" s="122"/>
      <c r="T391" s="122"/>
      <c r="U391" s="122"/>
      <c r="V391" s="122"/>
      <c r="W391" s="123"/>
      <c r="X391" s="123"/>
      <c r="Y391" s="123"/>
      <c r="Z391" s="123"/>
      <c r="AA391" s="123"/>
      <c r="AB391" s="5"/>
      <c r="AC391" s="5"/>
    </row>
    <row r="392" ht="14.25" customHeight="1">
      <c r="A392" s="48"/>
      <c r="B392" s="120"/>
      <c r="C392" s="108"/>
      <c r="D392" s="109"/>
      <c r="E392" s="109"/>
      <c r="F392" s="109"/>
      <c r="G392" s="70"/>
      <c r="H392" s="70"/>
      <c r="I392" s="82"/>
      <c r="J392" s="82"/>
      <c r="K392" s="99"/>
      <c r="L392" s="99"/>
      <c r="M392" s="121"/>
      <c r="N392" s="121"/>
      <c r="O392" s="121"/>
      <c r="P392" s="121"/>
      <c r="Q392" s="121"/>
      <c r="R392" s="122"/>
      <c r="S392" s="122"/>
      <c r="T392" s="122"/>
      <c r="U392" s="122"/>
      <c r="V392" s="122"/>
      <c r="W392" s="123"/>
      <c r="X392" s="123"/>
      <c r="Y392" s="123"/>
      <c r="Z392" s="123"/>
      <c r="AA392" s="123"/>
      <c r="AB392" s="5"/>
      <c r="AC392" s="5"/>
    </row>
    <row r="393" ht="14.25" customHeight="1">
      <c r="A393" s="48"/>
      <c r="B393" s="120"/>
      <c r="C393" s="108"/>
      <c r="D393" s="109"/>
      <c r="E393" s="109"/>
      <c r="F393" s="109"/>
      <c r="G393" s="70"/>
      <c r="H393" s="70"/>
      <c r="I393" s="82"/>
      <c r="J393" s="82"/>
      <c r="K393" s="99"/>
      <c r="L393" s="99"/>
      <c r="M393" s="121"/>
      <c r="N393" s="121"/>
      <c r="O393" s="121"/>
      <c r="P393" s="121"/>
      <c r="Q393" s="121"/>
      <c r="R393" s="122"/>
      <c r="S393" s="122"/>
      <c r="T393" s="122"/>
      <c r="U393" s="122"/>
      <c r="V393" s="122"/>
      <c r="W393" s="123"/>
      <c r="X393" s="123"/>
      <c r="Y393" s="123"/>
      <c r="Z393" s="123"/>
      <c r="AA393" s="123"/>
      <c r="AB393" s="5"/>
      <c r="AC393" s="5"/>
    </row>
    <row r="394" ht="14.25" customHeight="1">
      <c r="A394" s="48"/>
      <c r="B394" s="120"/>
      <c r="C394" s="108"/>
      <c r="D394" s="109"/>
      <c r="E394" s="109"/>
      <c r="F394" s="109"/>
      <c r="G394" s="70"/>
      <c r="H394" s="70"/>
      <c r="I394" s="82"/>
      <c r="J394" s="82"/>
      <c r="K394" s="99"/>
      <c r="L394" s="99"/>
      <c r="M394" s="121"/>
      <c r="N394" s="121"/>
      <c r="O394" s="121"/>
      <c r="P394" s="121"/>
      <c r="Q394" s="121"/>
      <c r="R394" s="122"/>
      <c r="S394" s="122"/>
      <c r="T394" s="122"/>
      <c r="U394" s="122"/>
      <c r="V394" s="122"/>
      <c r="W394" s="123"/>
      <c r="X394" s="123"/>
      <c r="Y394" s="123"/>
      <c r="Z394" s="123"/>
      <c r="AA394" s="123"/>
      <c r="AB394" s="5"/>
      <c r="AC394" s="5"/>
    </row>
    <row r="395" ht="14.25" customHeight="1">
      <c r="A395" s="48"/>
      <c r="B395" s="120"/>
      <c r="C395" s="108"/>
      <c r="D395" s="109"/>
      <c r="E395" s="109"/>
      <c r="F395" s="109"/>
      <c r="G395" s="70"/>
      <c r="H395" s="70"/>
      <c r="I395" s="82"/>
      <c r="J395" s="82"/>
      <c r="K395" s="99"/>
      <c r="L395" s="99"/>
      <c r="M395" s="121"/>
      <c r="N395" s="121"/>
      <c r="O395" s="121"/>
      <c r="P395" s="121"/>
      <c r="Q395" s="121"/>
      <c r="R395" s="122"/>
      <c r="S395" s="122"/>
      <c r="T395" s="122"/>
      <c r="U395" s="122"/>
      <c r="V395" s="122"/>
      <c r="W395" s="123"/>
      <c r="X395" s="123"/>
      <c r="Y395" s="123"/>
      <c r="Z395" s="123"/>
      <c r="AA395" s="123"/>
      <c r="AB395" s="5"/>
      <c r="AC395" s="5"/>
    </row>
    <row r="396" ht="14.25" customHeight="1">
      <c r="A396" s="48"/>
      <c r="B396" s="120"/>
      <c r="C396" s="108"/>
      <c r="D396" s="109"/>
      <c r="E396" s="109"/>
      <c r="F396" s="109"/>
      <c r="G396" s="70"/>
      <c r="H396" s="70"/>
      <c r="I396" s="82"/>
      <c r="J396" s="82"/>
      <c r="K396" s="99"/>
      <c r="L396" s="99"/>
      <c r="M396" s="121"/>
      <c r="N396" s="121"/>
      <c r="O396" s="121"/>
      <c r="P396" s="121"/>
      <c r="Q396" s="121"/>
      <c r="R396" s="122"/>
      <c r="S396" s="122"/>
      <c r="T396" s="122"/>
      <c r="U396" s="122"/>
      <c r="V396" s="122"/>
      <c r="W396" s="123"/>
      <c r="X396" s="123"/>
      <c r="Y396" s="123"/>
      <c r="Z396" s="123"/>
      <c r="AA396" s="123"/>
      <c r="AB396" s="5"/>
      <c r="AC396" s="5"/>
    </row>
    <row r="397" ht="14.25" customHeight="1">
      <c r="A397" s="48"/>
      <c r="B397" s="120"/>
      <c r="C397" s="108"/>
      <c r="D397" s="109"/>
      <c r="E397" s="109"/>
      <c r="F397" s="109"/>
      <c r="G397" s="70"/>
      <c r="H397" s="70"/>
      <c r="I397" s="82"/>
      <c r="J397" s="82"/>
      <c r="K397" s="99"/>
      <c r="L397" s="99"/>
      <c r="M397" s="121"/>
      <c r="N397" s="121"/>
      <c r="O397" s="121"/>
      <c r="P397" s="121"/>
      <c r="Q397" s="121"/>
      <c r="R397" s="122"/>
      <c r="S397" s="122"/>
      <c r="T397" s="122"/>
      <c r="U397" s="122"/>
      <c r="V397" s="122"/>
      <c r="W397" s="123"/>
      <c r="X397" s="123"/>
      <c r="Y397" s="123"/>
      <c r="Z397" s="123"/>
      <c r="AA397" s="123"/>
      <c r="AB397" s="5"/>
      <c r="AC397" s="5"/>
    </row>
    <row r="398" ht="14.25" customHeight="1">
      <c r="A398" s="48"/>
      <c r="B398" s="120"/>
      <c r="C398" s="108"/>
      <c r="D398" s="109"/>
      <c r="E398" s="109"/>
      <c r="F398" s="109"/>
      <c r="G398" s="70"/>
      <c r="H398" s="70"/>
      <c r="I398" s="82"/>
      <c r="J398" s="82"/>
      <c r="K398" s="99"/>
      <c r="L398" s="99"/>
      <c r="M398" s="121"/>
      <c r="N398" s="121"/>
      <c r="O398" s="121"/>
      <c r="P398" s="121"/>
      <c r="Q398" s="121"/>
      <c r="R398" s="122"/>
      <c r="S398" s="122"/>
      <c r="T398" s="122"/>
      <c r="U398" s="122"/>
      <c r="V398" s="122"/>
      <c r="W398" s="123"/>
      <c r="X398" s="123"/>
      <c r="Y398" s="123"/>
      <c r="Z398" s="123"/>
      <c r="AA398" s="123"/>
      <c r="AB398" s="5"/>
      <c r="AC398" s="5"/>
    </row>
    <row r="399" ht="14.25" customHeight="1">
      <c r="A399" s="48"/>
      <c r="B399" s="120"/>
      <c r="C399" s="108"/>
      <c r="D399" s="109"/>
      <c r="E399" s="109"/>
      <c r="F399" s="109"/>
      <c r="G399" s="70"/>
      <c r="H399" s="70"/>
      <c r="I399" s="82"/>
      <c r="J399" s="82"/>
      <c r="K399" s="99"/>
      <c r="L399" s="99"/>
      <c r="M399" s="121"/>
      <c r="N399" s="121"/>
      <c r="O399" s="121"/>
      <c r="P399" s="121"/>
      <c r="Q399" s="121"/>
      <c r="R399" s="122"/>
      <c r="S399" s="122"/>
      <c r="T399" s="122"/>
      <c r="U399" s="122"/>
      <c r="V399" s="122"/>
      <c r="W399" s="123"/>
      <c r="X399" s="123"/>
      <c r="Y399" s="123"/>
      <c r="Z399" s="123"/>
      <c r="AA399" s="123"/>
      <c r="AB399" s="5"/>
      <c r="AC399" s="5"/>
    </row>
    <row r="400" ht="14.25" customHeight="1">
      <c r="A400" s="48"/>
      <c r="B400" s="120"/>
      <c r="C400" s="108"/>
      <c r="D400" s="109"/>
      <c r="E400" s="109"/>
      <c r="F400" s="109"/>
      <c r="G400" s="70"/>
      <c r="H400" s="70"/>
      <c r="I400" s="82"/>
      <c r="J400" s="82"/>
      <c r="K400" s="99"/>
      <c r="L400" s="99"/>
      <c r="M400" s="121"/>
      <c r="N400" s="121"/>
      <c r="O400" s="121"/>
      <c r="P400" s="121"/>
      <c r="Q400" s="121"/>
      <c r="R400" s="122"/>
      <c r="S400" s="122"/>
      <c r="T400" s="122"/>
      <c r="U400" s="122"/>
      <c r="V400" s="122"/>
      <c r="W400" s="123"/>
      <c r="X400" s="123"/>
      <c r="Y400" s="123"/>
      <c r="Z400" s="123"/>
      <c r="AA400" s="123"/>
      <c r="AB400" s="5"/>
      <c r="AC400" s="5"/>
    </row>
    <row r="401" ht="14.25" customHeight="1">
      <c r="A401" s="48"/>
      <c r="B401" s="120"/>
      <c r="C401" s="108"/>
      <c r="D401" s="109"/>
      <c r="E401" s="109"/>
      <c r="F401" s="109"/>
      <c r="G401" s="70"/>
      <c r="H401" s="70"/>
      <c r="I401" s="82"/>
      <c r="J401" s="82"/>
      <c r="K401" s="99"/>
      <c r="L401" s="99"/>
      <c r="M401" s="121"/>
      <c r="N401" s="121"/>
      <c r="O401" s="121"/>
      <c r="P401" s="121"/>
      <c r="Q401" s="121"/>
      <c r="R401" s="122"/>
      <c r="S401" s="122"/>
      <c r="T401" s="122"/>
      <c r="U401" s="122"/>
      <c r="V401" s="122"/>
      <c r="W401" s="123"/>
      <c r="X401" s="123"/>
      <c r="Y401" s="123"/>
      <c r="Z401" s="123"/>
      <c r="AA401" s="123"/>
      <c r="AB401" s="5"/>
      <c r="AC401" s="5"/>
    </row>
    <row r="402" ht="14.25" customHeight="1">
      <c r="A402" s="48"/>
      <c r="B402" s="120"/>
      <c r="C402" s="108"/>
      <c r="D402" s="109"/>
      <c r="E402" s="109"/>
      <c r="F402" s="109"/>
      <c r="G402" s="70"/>
      <c r="H402" s="70"/>
      <c r="I402" s="82"/>
      <c r="J402" s="82"/>
      <c r="K402" s="99"/>
      <c r="L402" s="99"/>
      <c r="M402" s="121"/>
      <c r="N402" s="121"/>
      <c r="O402" s="121"/>
      <c r="P402" s="121"/>
      <c r="Q402" s="121"/>
      <c r="R402" s="122"/>
      <c r="S402" s="122"/>
      <c r="T402" s="122"/>
      <c r="U402" s="122"/>
      <c r="V402" s="122"/>
      <c r="W402" s="123"/>
      <c r="X402" s="123"/>
      <c r="Y402" s="123"/>
      <c r="Z402" s="123"/>
      <c r="AA402" s="123"/>
      <c r="AB402" s="5"/>
      <c r="AC402" s="5"/>
    </row>
    <row r="403" ht="14.25" customHeight="1">
      <c r="A403" s="48"/>
      <c r="B403" s="120"/>
      <c r="C403" s="108"/>
      <c r="D403" s="109"/>
      <c r="E403" s="109"/>
      <c r="F403" s="109"/>
      <c r="G403" s="70"/>
      <c r="H403" s="70"/>
      <c r="I403" s="82"/>
      <c r="J403" s="82"/>
      <c r="K403" s="99"/>
      <c r="L403" s="99"/>
      <c r="M403" s="121"/>
      <c r="N403" s="121"/>
      <c r="O403" s="121"/>
      <c r="P403" s="121"/>
      <c r="Q403" s="121"/>
      <c r="R403" s="122"/>
      <c r="S403" s="122"/>
      <c r="T403" s="122"/>
      <c r="U403" s="122"/>
      <c r="V403" s="122"/>
      <c r="W403" s="123"/>
      <c r="X403" s="123"/>
      <c r="Y403" s="123"/>
      <c r="Z403" s="123"/>
      <c r="AA403" s="123"/>
      <c r="AB403" s="5"/>
      <c r="AC403" s="5"/>
    </row>
    <row r="404" ht="14.25" customHeight="1">
      <c r="A404" s="48"/>
      <c r="B404" s="120"/>
      <c r="C404" s="108"/>
      <c r="D404" s="109"/>
      <c r="E404" s="109"/>
      <c r="F404" s="109"/>
      <c r="G404" s="70"/>
      <c r="H404" s="70"/>
      <c r="I404" s="82"/>
      <c r="J404" s="82"/>
      <c r="K404" s="99"/>
      <c r="L404" s="99"/>
      <c r="M404" s="121"/>
      <c r="N404" s="121"/>
      <c r="O404" s="121"/>
      <c r="P404" s="121"/>
      <c r="Q404" s="121"/>
      <c r="R404" s="122"/>
      <c r="S404" s="122"/>
      <c r="T404" s="122"/>
      <c r="U404" s="122"/>
      <c r="V404" s="122"/>
      <c r="W404" s="123"/>
      <c r="X404" s="123"/>
      <c r="Y404" s="123"/>
      <c r="Z404" s="123"/>
      <c r="AA404" s="123"/>
      <c r="AB404" s="5"/>
      <c r="AC404" s="5"/>
    </row>
    <row r="405" ht="14.25" customHeight="1">
      <c r="A405" s="48"/>
      <c r="B405" s="120"/>
      <c r="C405" s="108"/>
      <c r="D405" s="109"/>
      <c r="E405" s="109"/>
      <c r="F405" s="109"/>
      <c r="G405" s="70"/>
      <c r="H405" s="70"/>
      <c r="I405" s="82"/>
      <c r="J405" s="82"/>
      <c r="K405" s="99"/>
      <c r="L405" s="99"/>
      <c r="M405" s="121"/>
      <c r="N405" s="121"/>
      <c r="O405" s="121"/>
      <c r="P405" s="121"/>
      <c r="Q405" s="121"/>
      <c r="R405" s="122"/>
      <c r="S405" s="122"/>
      <c r="T405" s="122"/>
      <c r="U405" s="122"/>
      <c r="V405" s="122"/>
      <c r="W405" s="123"/>
      <c r="X405" s="123"/>
      <c r="Y405" s="123"/>
      <c r="Z405" s="123"/>
      <c r="AA405" s="123"/>
      <c r="AB405" s="5"/>
      <c r="AC405" s="5"/>
    </row>
    <row r="406" ht="14.25" customHeight="1">
      <c r="A406" s="48"/>
      <c r="B406" s="120"/>
      <c r="C406" s="108"/>
      <c r="D406" s="109"/>
      <c r="E406" s="109"/>
      <c r="F406" s="109"/>
      <c r="G406" s="70"/>
      <c r="H406" s="70"/>
      <c r="I406" s="82"/>
      <c r="J406" s="82"/>
      <c r="K406" s="99"/>
      <c r="L406" s="99"/>
      <c r="M406" s="121"/>
      <c r="N406" s="121"/>
      <c r="O406" s="121"/>
      <c r="P406" s="121"/>
      <c r="Q406" s="121"/>
      <c r="R406" s="122"/>
      <c r="S406" s="122"/>
      <c r="T406" s="122"/>
      <c r="U406" s="122"/>
      <c r="V406" s="122"/>
      <c r="W406" s="123"/>
      <c r="X406" s="123"/>
      <c r="Y406" s="123"/>
      <c r="Z406" s="123"/>
      <c r="AA406" s="123"/>
      <c r="AB406" s="5"/>
      <c r="AC406" s="5"/>
    </row>
    <row r="407" ht="14.25" customHeight="1">
      <c r="A407" s="48"/>
      <c r="B407" s="120"/>
      <c r="C407" s="108"/>
      <c r="D407" s="109"/>
      <c r="E407" s="109"/>
      <c r="F407" s="109"/>
      <c r="G407" s="70"/>
      <c r="H407" s="70"/>
      <c r="I407" s="82"/>
      <c r="J407" s="82"/>
      <c r="K407" s="99"/>
      <c r="L407" s="99"/>
      <c r="M407" s="121"/>
      <c r="N407" s="121"/>
      <c r="O407" s="121"/>
      <c r="P407" s="121"/>
      <c r="Q407" s="121"/>
      <c r="R407" s="122"/>
      <c r="S407" s="122"/>
      <c r="T407" s="122"/>
      <c r="U407" s="122"/>
      <c r="V407" s="122"/>
      <c r="W407" s="123"/>
      <c r="X407" s="123"/>
      <c r="Y407" s="123"/>
      <c r="Z407" s="123"/>
      <c r="AA407" s="123"/>
      <c r="AB407" s="5"/>
      <c r="AC407" s="5"/>
    </row>
    <row r="408" ht="14.25" customHeight="1">
      <c r="A408" s="48"/>
      <c r="B408" s="120"/>
      <c r="C408" s="108"/>
      <c r="D408" s="109"/>
      <c r="E408" s="109"/>
      <c r="F408" s="109"/>
      <c r="G408" s="70"/>
      <c r="H408" s="70"/>
      <c r="I408" s="82"/>
      <c r="J408" s="82"/>
      <c r="K408" s="99"/>
      <c r="L408" s="99"/>
      <c r="M408" s="121"/>
      <c r="N408" s="121"/>
      <c r="O408" s="121"/>
      <c r="P408" s="121"/>
      <c r="Q408" s="121"/>
      <c r="R408" s="122"/>
      <c r="S408" s="122"/>
      <c r="T408" s="122"/>
      <c r="U408" s="122"/>
      <c r="V408" s="122"/>
      <c r="W408" s="123"/>
      <c r="X408" s="123"/>
      <c r="Y408" s="123"/>
      <c r="Z408" s="123"/>
      <c r="AA408" s="123"/>
      <c r="AB408" s="5"/>
      <c r="AC408" s="5"/>
    </row>
    <row r="409" ht="14.25" customHeight="1">
      <c r="A409" s="48"/>
      <c r="B409" s="120"/>
      <c r="C409" s="108"/>
      <c r="D409" s="109"/>
      <c r="E409" s="109"/>
      <c r="F409" s="109"/>
      <c r="G409" s="70"/>
      <c r="H409" s="70"/>
      <c r="I409" s="82"/>
      <c r="J409" s="82"/>
      <c r="K409" s="99"/>
      <c r="L409" s="99"/>
      <c r="M409" s="121"/>
      <c r="N409" s="121"/>
      <c r="O409" s="121"/>
      <c r="P409" s="121"/>
      <c r="Q409" s="121"/>
      <c r="R409" s="122"/>
      <c r="S409" s="122"/>
      <c r="T409" s="122"/>
      <c r="U409" s="122"/>
      <c r="V409" s="122"/>
      <c r="W409" s="123"/>
      <c r="X409" s="123"/>
      <c r="Y409" s="123"/>
      <c r="Z409" s="123"/>
      <c r="AA409" s="123"/>
      <c r="AB409" s="5"/>
      <c r="AC409" s="5"/>
    </row>
    <row r="410" ht="14.25" customHeight="1">
      <c r="A410" s="48"/>
      <c r="B410" s="120"/>
      <c r="C410" s="108"/>
      <c r="D410" s="109"/>
      <c r="E410" s="109"/>
      <c r="F410" s="109"/>
      <c r="G410" s="70"/>
      <c r="H410" s="70"/>
      <c r="I410" s="82"/>
      <c r="J410" s="82"/>
      <c r="K410" s="99"/>
      <c r="L410" s="99"/>
      <c r="M410" s="121"/>
      <c r="N410" s="121"/>
      <c r="O410" s="121"/>
      <c r="P410" s="121"/>
      <c r="Q410" s="121"/>
      <c r="R410" s="122"/>
      <c r="S410" s="122"/>
      <c r="T410" s="122"/>
      <c r="U410" s="122"/>
      <c r="V410" s="122"/>
      <c r="W410" s="123"/>
      <c r="X410" s="123"/>
      <c r="Y410" s="123"/>
      <c r="Z410" s="123"/>
      <c r="AA410" s="123"/>
      <c r="AB410" s="5"/>
      <c r="AC410" s="5"/>
    </row>
    <row r="411" ht="14.25" customHeight="1">
      <c r="A411" s="48"/>
      <c r="B411" s="120"/>
      <c r="C411" s="108"/>
      <c r="D411" s="109"/>
      <c r="E411" s="109"/>
      <c r="F411" s="109"/>
      <c r="G411" s="70"/>
      <c r="H411" s="70"/>
      <c r="I411" s="82"/>
      <c r="J411" s="82"/>
      <c r="K411" s="99"/>
      <c r="L411" s="99"/>
      <c r="M411" s="121"/>
      <c r="N411" s="121"/>
      <c r="O411" s="121"/>
      <c r="P411" s="121"/>
      <c r="Q411" s="121"/>
      <c r="R411" s="122"/>
      <c r="S411" s="122"/>
      <c r="T411" s="122"/>
      <c r="U411" s="122"/>
      <c r="V411" s="122"/>
      <c r="W411" s="123"/>
      <c r="X411" s="123"/>
      <c r="Y411" s="123"/>
      <c r="Z411" s="123"/>
      <c r="AA411" s="123"/>
      <c r="AB411" s="5"/>
      <c r="AC411" s="5"/>
    </row>
    <row r="412" ht="14.25" customHeight="1">
      <c r="A412" s="48"/>
      <c r="B412" s="120"/>
      <c r="C412" s="108"/>
      <c r="D412" s="109"/>
      <c r="E412" s="109"/>
      <c r="F412" s="109"/>
      <c r="G412" s="70"/>
      <c r="H412" s="70"/>
      <c r="I412" s="82"/>
      <c r="J412" s="82"/>
      <c r="K412" s="99"/>
      <c r="L412" s="99"/>
      <c r="M412" s="121"/>
      <c r="N412" s="121"/>
      <c r="O412" s="121"/>
      <c r="P412" s="121"/>
      <c r="Q412" s="121"/>
      <c r="R412" s="122"/>
      <c r="S412" s="122"/>
      <c r="T412" s="122"/>
      <c r="U412" s="122"/>
      <c r="V412" s="122"/>
      <c r="W412" s="123"/>
      <c r="X412" s="123"/>
      <c r="Y412" s="123"/>
      <c r="Z412" s="123"/>
      <c r="AA412" s="123"/>
      <c r="AB412" s="5"/>
      <c r="AC412" s="5"/>
    </row>
    <row r="413" ht="14.25" customHeight="1">
      <c r="A413" s="48"/>
      <c r="B413" s="120"/>
      <c r="C413" s="108"/>
      <c r="D413" s="109"/>
      <c r="E413" s="109"/>
      <c r="F413" s="109"/>
      <c r="G413" s="70"/>
      <c r="H413" s="70"/>
      <c r="I413" s="82"/>
      <c r="J413" s="82"/>
      <c r="K413" s="99"/>
      <c r="L413" s="99"/>
      <c r="M413" s="121"/>
      <c r="N413" s="121"/>
      <c r="O413" s="121"/>
      <c r="P413" s="121"/>
      <c r="Q413" s="121"/>
      <c r="R413" s="122"/>
      <c r="S413" s="122"/>
      <c r="T413" s="122"/>
      <c r="U413" s="122"/>
      <c r="V413" s="122"/>
      <c r="W413" s="123"/>
      <c r="X413" s="123"/>
      <c r="Y413" s="123"/>
      <c r="Z413" s="123"/>
      <c r="AA413" s="123"/>
      <c r="AB413" s="5"/>
      <c r="AC413" s="5"/>
    </row>
    <row r="414" ht="14.25" customHeight="1">
      <c r="A414" s="48"/>
      <c r="B414" s="120"/>
      <c r="C414" s="108"/>
      <c r="D414" s="109"/>
      <c r="E414" s="109"/>
      <c r="F414" s="109"/>
      <c r="G414" s="70"/>
      <c r="H414" s="70"/>
      <c r="I414" s="82"/>
      <c r="J414" s="82"/>
      <c r="K414" s="99"/>
      <c r="L414" s="99"/>
      <c r="M414" s="121"/>
      <c r="N414" s="121"/>
      <c r="O414" s="121"/>
      <c r="P414" s="121"/>
      <c r="Q414" s="121"/>
      <c r="R414" s="122"/>
      <c r="S414" s="122"/>
      <c r="T414" s="122"/>
      <c r="U414" s="122"/>
      <c r="V414" s="122"/>
      <c r="W414" s="123"/>
      <c r="X414" s="123"/>
      <c r="Y414" s="123"/>
      <c r="Z414" s="123"/>
      <c r="AA414" s="123"/>
      <c r="AB414" s="5"/>
      <c r="AC414" s="5"/>
    </row>
    <row r="415" ht="14.25" customHeight="1">
      <c r="A415" s="48"/>
      <c r="B415" s="120"/>
      <c r="C415" s="108"/>
      <c r="D415" s="109"/>
      <c r="E415" s="109"/>
      <c r="F415" s="109"/>
      <c r="G415" s="70"/>
      <c r="H415" s="70"/>
      <c r="I415" s="82"/>
      <c r="J415" s="82"/>
      <c r="K415" s="99"/>
      <c r="L415" s="99"/>
      <c r="M415" s="121"/>
      <c r="N415" s="121"/>
      <c r="O415" s="121"/>
      <c r="P415" s="121"/>
      <c r="Q415" s="121"/>
      <c r="R415" s="122"/>
      <c r="S415" s="122"/>
      <c r="T415" s="122"/>
      <c r="U415" s="122"/>
      <c r="V415" s="122"/>
      <c r="W415" s="123"/>
      <c r="X415" s="123"/>
      <c r="Y415" s="123"/>
      <c r="Z415" s="123"/>
      <c r="AA415" s="123"/>
      <c r="AB415" s="5"/>
      <c r="AC415" s="5"/>
    </row>
    <row r="416" ht="14.25" customHeight="1">
      <c r="A416" s="48"/>
      <c r="B416" s="120"/>
      <c r="C416" s="108"/>
      <c r="D416" s="109"/>
      <c r="E416" s="109"/>
      <c r="F416" s="109"/>
      <c r="G416" s="70"/>
      <c r="H416" s="70"/>
      <c r="I416" s="82"/>
      <c r="J416" s="82"/>
      <c r="K416" s="99"/>
      <c r="L416" s="99"/>
      <c r="M416" s="121"/>
      <c r="N416" s="121"/>
      <c r="O416" s="121"/>
      <c r="P416" s="121"/>
      <c r="Q416" s="121"/>
      <c r="R416" s="122"/>
      <c r="S416" s="122"/>
      <c r="T416" s="122"/>
      <c r="U416" s="122"/>
      <c r="V416" s="122"/>
      <c r="W416" s="123"/>
      <c r="X416" s="123"/>
      <c r="Y416" s="123"/>
      <c r="Z416" s="123"/>
      <c r="AA416" s="123"/>
      <c r="AB416" s="5"/>
      <c r="AC416" s="5"/>
    </row>
    <row r="417" ht="14.25" customHeight="1">
      <c r="A417" s="48"/>
      <c r="B417" s="120"/>
      <c r="C417" s="108"/>
      <c r="D417" s="109"/>
      <c r="E417" s="109"/>
      <c r="F417" s="109"/>
      <c r="G417" s="70"/>
      <c r="H417" s="70"/>
      <c r="I417" s="82"/>
      <c r="J417" s="82"/>
      <c r="K417" s="99"/>
      <c r="L417" s="99"/>
      <c r="M417" s="121"/>
      <c r="N417" s="121"/>
      <c r="O417" s="121"/>
      <c r="P417" s="121"/>
      <c r="Q417" s="121"/>
      <c r="R417" s="122"/>
      <c r="S417" s="122"/>
      <c r="T417" s="122"/>
      <c r="U417" s="122"/>
      <c r="V417" s="122"/>
      <c r="W417" s="123"/>
      <c r="X417" s="123"/>
      <c r="Y417" s="123"/>
      <c r="Z417" s="123"/>
      <c r="AA417" s="123"/>
      <c r="AB417" s="5"/>
      <c r="AC417" s="5"/>
    </row>
    <row r="418" ht="14.25" customHeight="1">
      <c r="A418" s="48"/>
      <c r="B418" s="120"/>
      <c r="C418" s="108"/>
      <c r="D418" s="109"/>
      <c r="E418" s="109"/>
      <c r="F418" s="109"/>
      <c r="G418" s="70"/>
      <c r="H418" s="70"/>
      <c r="I418" s="82"/>
      <c r="J418" s="82"/>
      <c r="K418" s="99"/>
      <c r="L418" s="99"/>
      <c r="M418" s="121"/>
      <c r="N418" s="121"/>
      <c r="O418" s="121"/>
      <c r="P418" s="121"/>
      <c r="Q418" s="121"/>
      <c r="R418" s="122"/>
      <c r="S418" s="122"/>
      <c r="T418" s="122"/>
      <c r="U418" s="122"/>
      <c r="V418" s="122"/>
      <c r="W418" s="123"/>
      <c r="X418" s="123"/>
      <c r="Y418" s="123"/>
      <c r="Z418" s="123"/>
      <c r="AA418" s="123"/>
      <c r="AB418" s="5"/>
      <c r="AC418" s="5"/>
    </row>
    <row r="419" ht="14.25" customHeight="1">
      <c r="A419" s="48"/>
      <c r="B419" s="120"/>
      <c r="C419" s="108"/>
      <c r="D419" s="109"/>
      <c r="E419" s="109"/>
      <c r="F419" s="109"/>
      <c r="G419" s="70"/>
      <c r="H419" s="70"/>
      <c r="I419" s="82"/>
      <c r="J419" s="82"/>
      <c r="K419" s="99"/>
      <c r="L419" s="99"/>
      <c r="M419" s="121"/>
      <c r="N419" s="121"/>
      <c r="O419" s="121"/>
      <c r="P419" s="121"/>
      <c r="Q419" s="121"/>
      <c r="R419" s="122"/>
      <c r="S419" s="122"/>
      <c r="T419" s="122"/>
      <c r="U419" s="122"/>
      <c r="V419" s="122"/>
      <c r="W419" s="123"/>
      <c r="X419" s="123"/>
      <c r="Y419" s="123"/>
      <c r="Z419" s="123"/>
      <c r="AA419" s="123"/>
      <c r="AB419" s="5"/>
      <c r="AC419" s="5"/>
    </row>
    <row r="420" ht="14.25" customHeight="1">
      <c r="A420" s="48"/>
      <c r="B420" s="120"/>
      <c r="C420" s="108"/>
      <c r="D420" s="109"/>
      <c r="E420" s="109"/>
      <c r="F420" s="109"/>
      <c r="G420" s="70"/>
      <c r="H420" s="70"/>
      <c r="I420" s="82"/>
      <c r="J420" s="82"/>
      <c r="K420" s="99"/>
      <c r="L420" s="99"/>
      <c r="M420" s="121"/>
      <c r="N420" s="121"/>
      <c r="O420" s="121"/>
      <c r="P420" s="121"/>
      <c r="Q420" s="121"/>
      <c r="R420" s="122"/>
      <c r="S420" s="122"/>
      <c r="T420" s="122"/>
      <c r="U420" s="122"/>
      <c r="V420" s="122"/>
      <c r="W420" s="123"/>
      <c r="X420" s="123"/>
      <c r="Y420" s="123"/>
      <c r="Z420" s="123"/>
      <c r="AA420" s="123"/>
      <c r="AB420" s="5"/>
      <c r="AC420" s="5"/>
    </row>
    <row r="421" ht="14.25" customHeight="1">
      <c r="A421" s="48"/>
      <c r="B421" s="120"/>
      <c r="C421" s="108"/>
      <c r="D421" s="109"/>
      <c r="E421" s="109"/>
      <c r="F421" s="109"/>
      <c r="G421" s="70"/>
      <c r="H421" s="70"/>
      <c r="I421" s="82"/>
      <c r="J421" s="82"/>
      <c r="K421" s="99"/>
      <c r="L421" s="99"/>
      <c r="M421" s="121"/>
      <c r="N421" s="121"/>
      <c r="O421" s="121"/>
      <c r="P421" s="121"/>
      <c r="Q421" s="121"/>
      <c r="R421" s="122"/>
      <c r="S421" s="122"/>
      <c r="T421" s="122"/>
      <c r="U421" s="122"/>
      <c r="V421" s="122"/>
      <c r="W421" s="123"/>
      <c r="X421" s="123"/>
      <c r="Y421" s="123"/>
      <c r="Z421" s="123"/>
      <c r="AA421" s="123"/>
      <c r="AB421" s="5"/>
      <c r="AC421" s="5"/>
    </row>
    <row r="422" ht="14.25" customHeight="1">
      <c r="A422" s="48"/>
      <c r="B422" s="120"/>
      <c r="C422" s="108"/>
      <c r="D422" s="109"/>
      <c r="E422" s="109"/>
      <c r="F422" s="109"/>
      <c r="G422" s="70"/>
      <c r="H422" s="70"/>
      <c r="I422" s="82"/>
      <c r="J422" s="82"/>
      <c r="K422" s="99"/>
      <c r="L422" s="99"/>
      <c r="M422" s="121"/>
      <c r="N422" s="121"/>
      <c r="O422" s="121"/>
      <c r="P422" s="121"/>
      <c r="Q422" s="121"/>
      <c r="R422" s="122"/>
      <c r="S422" s="122"/>
      <c r="T422" s="122"/>
      <c r="U422" s="122"/>
      <c r="V422" s="122"/>
      <c r="W422" s="123"/>
      <c r="X422" s="123"/>
      <c r="Y422" s="123"/>
      <c r="Z422" s="123"/>
      <c r="AA422" s="123"/>
      <c r="AB422" s="5"/>
      <c r="AC422" s="5"/>
    </row>
    <row r="423" ht="14.25" customHeight="1">
      <c r="A423" s="48"/>
      <c r="B423" s="120"/>
      <c r="C423" s="108"/>
      <c r="D423" s="109"/>
      <c r="E423" s="109"/>
      <c r="F423" s="109"/>
      <c r="G423" s="70"/>
      <c r="H423" s="70"/>
      <c r="I423" s="82"/>
      <c r="J423" s="82"/>
      <c r="K423" s="99"/>
      <c r="L423" s="99"/>
      <c r="M423" s="121"/>
      <c r="N423" s="121"/>
      <c r="O423" s="121"/>
      <c r="P423" s="121"/>
      <c r="Q423" s="121"/>
      <c r="R423" s="122"/>
      <c r="S423" s="122"/>
      <c r="T423" s="122"/>
      <c r="U423" s="122"/>
      <c r="V423" s="122"/>
      <c r="W423" s="123"/>
      <c r="X423" s="123"/>
      <c r="Y423" s="123"/>
      <c r="Z423" s="123"/>
      <c r="AA423" s="123"/>
      <c r="AB423" s="5"/>
      <c r="AC423" s="5"/>
    </row>
    <row r="424" ht="14.25" customHeight="1">
      <c r="A424" s="48"/>
      <c r="B424" s="120"/>
      <c r="C424" s="108"/>
      <c r="D424" s="109"/>
      <c r="E424" s="109"/>
      <c r="F424" s="109"/>
      <c r="G424" s="70"/>
      <c r="H424" s="70"/>
      <c r="I424" s="82"/>
      <c r="J424" s="82"/>
      <c r="K424" s="99"/>
      <c r="L424" s="99"/>
      <c r="M424" s="121"/>
      <c r="N424" s="121"/>
      <c r="O424" s="121"/>
      <c r="P424" s="121"/>
      <c r="Q424" s="121"/>
      <c r="R424" s="122"/>
      <c r="S424" s="122"/>
      <c r="T424" s="122"/>
      <c r="U424" s="122"/>
      <c r="V424" s="122"/>
      <c r="W424" s="123"/>
      <c r="X424" s="123"/>
      <c r="Y424" s="123"/>
      <c r="Z424" s="123"/>
      <c r="AA424" s="123"/>
      <c r="AB424" s="5"/>
      <c r="AC424" s="5"/>
    </row>
    <row r="425" ht="14.25" customHeight="1">
      <c r="A425" s="48"/>
      <c r="B425" s="120"/>
      <c r="C425" s="108"/>
      <c r="D425" s="109"/>
      <c r="E425" s="109"/>
      <c r="F425" s="109"/>
      <c r="G425" s="70"/>
      <c r="H425" s="70"/>
      <c r="I425" s="82"/>
      <c r="J425" s="82"/>
      <c r="K425" s="99"/>
      <c r="L425" s="99"/>
      <c r="M425" s="121"/>
      <c r="N425" s="121"/>
      <c r="O425" s="121"/>
      <c r="P425" s="121"/>
      <c r="Q425" s="121"/>
      <c r="R425" s="122"/>
      <c r="S425" s="122"/>
      <c r="T425" s="122"/>
      <c r="U425" s="122"/>
      <c r="V425" s="122"/>
      <c r="W425" s="123"/>
      <c r="X425" s="123"/>
      <c r="Y425" s="123"/>
      <c r="Z425" s="123"/>
      <c r="AA425" s="123"/>
      <c r="AB425" s="5"/>
      <c r="AC425" s="5"/>
    </row>
    <row r="426" ht="14.25" customHeight="1">
      <c r="A426" s="48"/>
      <c r="B426" s="120"/>
      <c r="C426" s="108"/>
      <c r="D426" s="109"/>
      <c r="E426" s="109"/>
      <c r="F426" s="109"/>
      <c r="G426" s="70"/>
      <c r="H426" s="70"/>
      <c r="I426" s="82"/>
      <c r="J426" s="82"/>
      <c r="K426" s="99"/>
      <c r="L426" s="99"/>
      <c r="M426" s="121"/>
      <c r="N426" s="121"/>
      <c r="O426" s="121"/>
      <c r="P426" s="121"/>
      <c r="Q426" s="121"/>
      <c r="R426" s="122"/>
      <c r="S426" s="122"/>
      <c r="T426" s="122"/>
      <c r="U426" s="122"/>
      <c r="V426" s="122"/>
      <c r="W426" s="123"/>
      <c r="X426" s="123"/>
      <c r="Y426" s="123"/>
      <c r="Z426" s="123"/>
      <c r="AA426" s="123"/>
      <c r="AB426" s="5"/>
      <c r="AC426" s="5"/>
    </row>
    <row r="427" ht="14.25" customHeight="1">
      <c r="A427" s="48"/>
      <c r="B427" s="120"/>
      <c r="C427" s="108"/>
      <c r="D427" s="109"/>
      <c r="E427" s="109"/>
      <c r="F427" s="109"/>
      <c r="G427" s="70"/>
      <c r="H427" s="70"/>
      <c r="I427" s="82"/>
      <c r="J427" s="82"/>
      <c r="K427" s="99"/>
      <c r="L427" s="99"/>
      <c r="M427" s="121"/>
      <c r="N427" s="121"/>
      <c r="O427" s="121"/>
      <c r="P427" s="121"/>
      <c r="Q427" s="121"/>
      <c r="R427" s="122"/>
      <c r="S427" s="122"/>
      <c r="T427" s="122"/>
      <c r="U427" s="122"/>
      <c r="V427" s="122"/>
      <c r="W427" s="123"/>
      <c r="X427" s="123"/>
      <c r="Y427" s="123"/>
      <c r="Z427" s="123"/>
      <c r="AA427" s="123"/>
      <c r="AB427" s="5"/>
      <c r="AC427" s="5"/>
    </row>
    <row r="428" ht="14.25" customHeight="1">
      <c r="A428" s="48"/>
      <c r="B428" s="120"/>
      <c r="C428" s="108"/>
      <c r="D428" s="109"/>
      <c r="E428" s="109"/>
      <c r="F428" s="109"/>
      <c r="G428" s="70"/>
      <c r="H428" s="70"/>
      <c r="I428" s="82"/>
      <c r="J428" s="82"/>
      <c r="K428" s="99"/>
      <c r="L428" s="99"/>
      <c r="M428" s="121"/>
      <c r="N428" s="121"/>
      <c r="O428" s="121"/>
      <c r="P428" s="121"/>
      <c r="Q428" s="121"/>
      <c r="R428" s="122"/>
      <c r="S428" s="122"/>
      <c r="T428" s="122"/>
      <c r="U428" s="122"/>
      <c r="V428" s="122"/>
      <c r="W428" s="123"/>
      <c r="X428" s="123"/>
      <c r="Y428" s="123"/>
      <c r="Z428" s="123"/>
      <c r="AA428" s="123"/>
      <c r="AB428" s="5"/>
      <c r="AC428" s="5"/>
    </row>
    <row r="429" ht="14.25" customHeight="1">
      <c r="A429" s="48"/>
      <c r="B429" s="120"/>
      <c r="C429" s="108"/>
      <c r="D429" s="109"/>
      <c r="E429" s="109"/>
      <c r="F429" s="109"/>
      <c r="G429" s="70"/>
      <c r="H429" s="70"/>
      <c r="I429" s="82"/>
      <c r="J429" s="82"/>
      <c r="K429" s="99"/>
      <c r="L429" s="99"/>
      <c r="M429" s="121"/>
      <c r="N429" s="121"/>
      <c r="O429" s="121"/>
      <c r="P429" s="121"/>
      <c r="Q429" s="121"/>
      <c r="R429" s="122"/>
      <c r="S429" s="122"/>
      <c r="T429" s="122"/>
      <c r="U429" s="122"/>
      <c r="V429" s="122"/>
      <c r="W429" s="123"/>
      <c r="X429" s="123"/>
      <c r="Y429" s="123"/>
      <c r="Z429" s="123"/>
      <c r="AA429" s="123"/>
      <c r="AB429" s="5"/>
      <c r="AC429" s="5"/>
    </row>
    <row r="430" ht="14.25" customHeight="1">
      <c r="A430" s="48"/>
      <c r="B430" s="120"/>
      <c r="C430" s="108"/>
      <c r="D430" s="109"/>
      <c r="E430" s="109"/>
      <c r="F430" s="109"/>
      <c r="G430" s="70"/>
      <c r="H430" s="70"/>
      <c r="I430" s="82"/>
      <c r="J430" s="82"/>
      <c r="K430" s="99"/>
      <c r="L430" s="99"/>
      <c r="M430" s="121"/>
      <c r="N430" s="121"/>
      <c r="O430" s="121"/>
      <c r="P430" s="121"/>
      <c r="Q430" s="121"/>
      <c r="R430" s="122"/>
      <c r="S430" s="122"/>
      <c r="T430" s="122"/>
      <c r="U430" s="122"/>
      <c r="V430" s="122"/>
      <c r="W430" s="123"/>
      <c r="X430" s="123"/>
      <c r="Y430" s="123"/>
      <c r="Z430" s="123"/>
      <c r="AA430" s="123"/>
      <c r="AB430" s="5"/>
      <c r="AC430" s="5"/>
    </row>
    <row r="431" ht="14.25" customHeight="1">
      <c r="A431" s="48"/>
      <c r="B431" s="120"/>
      <c r="C431" s="108"/>
      <c r="D431" s="109"/>
      <c r="E431" s="109"/>
      <c r="F431" s="109"/>
      <c r="G431" s="70"/>
      <c r="H431" s="70"/>
      <c r="I431" s="82"/>
      <c r="J431" s="82"/>
      <c r="K431" s="99"/>
      <c r="L431" s="99"/>
      <c r="M431" s="121"/>
      <c r="N431" s="121"/>
      <c r="O431" s="121"/>
      <c r="P431" s="121"/>
      <c r="Q431" s="121"/>
      <c r="R431" s="122"/>
      <c r="S431" s="122"/>
      <c r="T431" s="122"/>
      <c r="U431" s="122"/>
      <c r="V431" s="122"/>
      <c r="W431" s="123"/>
      <c r="X431" s="123"/>
      <c r="Y431" s="123"/>
      <c r="Z431" s="123"/>
      <c r="AA431" s="123"/>
      <c r="AB431" s="5"/>
      <c r="AC431" s="5"/>
    </row>
    <row r="432" ht="14.25" customHeight="1">
      <c r="A432" s="48"/>
      <c r="B432" s="120"/>
      <c r="C432" s="108"/>
      <c r="D432" s="109"/>
      <c r="E432" s="109"/>
      <c r="F432" s="109"/>
      <c r="G432" s="70"/>
      <c r="H432" s="70"/>
      <c r="I432" s="82"/>
      <c r="J432" s="82"/>
      <c r="K432" s="99"/>
      <c r="L432" s="99"/>
      <c r="M432" s="121"/>
      <c r="N432" s="121"/>
      <c r="O432" s="121"/>
      <c r="P432" s="121"/>
      <c r="Q432" s="121"/>
      <c r="R432" s="122"/>
      <c r="S432" s="122"/>
      <c r="T432" s="122"/>
      <c r="U432" s="122"/>
      <c r="V432" s="122"/>
      <c r="W432" s="123"/>
      <c r="X432" s="123"/>
      <c r="Y432" s="123"/>
      <c r="Z432" s="123"/>
      <c r="AA432" s="123"/>
      <c r="AB432" s="5"/>
      <c r="AC432" s="5"/>
    </row>
    <row r="433" ht="14.25" customHeight="1">
      <c r="A433" s="48"/>
      <c r="B433" s="120"/>
      <c r="C433" s="108"/>
      <c r="D433" s="109"/>
      <c r="E433" s="109"/>
      <c r="F433" s="109"/>
      <c r="G433" s="70"/>
      <c r="H433" s="70"/>
      <c r="I433" s="82"/>
      <c r="J433" s="82"/>
      <c r="K433" s="99"/>
      <c r="L433" s="99"/>
      <c r="M433" s="121"/>
      <c r="N433" s="121"/>
      <c r="O433" s="121"/>
      <c r="P433" s="121"/>
      <c r="Q433" s="121"/>
      <c r="R433" s="122"/>
      <c r="S433" s="122"/>
      <c r="T433" s="122"/>
      <c r="U433" s="122"/>
      <c r="V433" s="122"/>
      <c r="W433" s="123"/>
      <c r="X433" s="123"/>
      <c r="Y433" s="123"/>
      <c r="Z433" s="123"/>
      <c r="AA433" s="123"/>
      <c r="AB433" s="5"/>
      <c r="AC433" s="5"/>
    </row>
    <row r="434" ht="14.25" customHeight="1">
      <c r="A434" s="48"/>
      <c r="B434" s="120"/>
      <c r="C434" s="108"/>
      <c r="D434" s="109"/>
      <c r="E434" s="109"/>
      <c r="F434" s="109"/>
      <c r="G434" s="70"/>
      <c r="H434" s="70"/>
      <c r="I434" s="82"/>
      <c r="J434" s="82"/>
      <c r="K434" s="99"/>
      <c r="L434" s="99"/>
      <c r="M434" s="121"/>
      <c r="N434" s="121"/>
      <c r="O434" s="121"/>
      <c r="P434" s="121"/>
      <c r="Q434" s="121"/>
      <c r="R434" s="122"/>
      <c r="S434" s="122"/>
      <c r="T434" s="122"/>
      <c r="U434" s="122"/>
      <c r="V434" s="122"/>
      <c r="W434" s="123"/>
      <c r="X434" s="123"/>
      <c r="Y434" s="123"/>
      <c r="Z434" s="123"/>
      <c r="AA434" s="123"/>
      <c r="AB434" s="5"/>
      <c r="AC434" s="5"/>
    </row>
    <row r="435" ht="14.25" customHeight="1">
      <c r="A435" s="48"/>
      <c r="B435" s="120"/>
      <c r="C435" s="108"/>
      <c r="D435" s="109"/>
      <c r="E435" s="109"/>
      <c r="F435" s="109"/>
      <c r="G435" s="70"/>
      <c r="H435" s="70"/>
      <c r="I435" s="82"/>
      <c r="J435" s="82"/>
      <c r="K435" s="99"/>
      <c r="L435" s="99"/>
      <c r="M435" s="121"/>
      <c r="N435" s="121"/>
      <c r="O435" s="121"/>
      <c r="P435" s="121"/>
      <c r="Q435" s="121"/>
      <c r="R435" s="122"/>
      <c r="S435" s="122"/>
      <c r="T435" s="122"/>
      <c r="U435" s="122"/>
      <c r="V435" s="122"/>
      <c r="W435" s="123"/>
      <c r="X435" s="123"/>
      <c r="Y435" s="123"/>
      <c r="Z435" s="123"/>
      <c r="AA435" s="123"/>
      <c r="AB435" s="5"/>
      <c r="AC435" s="5"/>
    </row>
    <row r="436" ht="14.25" customHeight="1">
      <c r="A436" s="48"/>
      <c r="B436" s="120"/>
      <c r="C436" s="108"/>
      <c r="D436" s="109"/>
      <c r="E436" s="109"/>
      <c r="F436" s="109"/>
      <c r="G436" s="70"/>
      <c r="H436" s="70"/>
      <c r="I436" s="82"/>
      <c r="J436" s="82"/>
      <c r="K436" s="99"/>
      <c r="L436" s="99"/>
      <c r="M436" s="121"/>
      <c r="N436" s="121"/>
      <c r="O436" s="121"/>
      <c r="P436" s="121"/>
      <c r="Q436" s="121"/>
      <c r="R436" s="122"/>
      <c r="S436" s="122"/>
      <c r="T436" s="122"/>
      <c r="U436" s="122"/>
      <c r="V436" s="122"/>
      <c r="W436" s="123"/>
      <c r="X436" s="123"/>
      <c r="Y436" s="123"/>
      <c r="Z436" s="123"/>
      <c r="AA436" s="123"/>
      <c r="AB436" s="5"/>
      <c r="AC436" s="5"/>
    </row>
    <row r="437" ht="14.25" customHeight="1">
      <c r="A437" s="48"/>
      <c r="B437" s="120"/>
      <c r="C437" s="108"/>
      <c r="D437" s="109"/>
      <c r="E437" s="109"/>
      <c r="F437" s="109"/>
      <c r="G437" s="70"/>
      <c r="H437" s="70"/>
      <c r="I437" s="82"/>
      <c r="J437" s="82"/>
      <c r="K437" s="99"/>
      <c r="L437" s="99"/>
      <c r="M437" s="121"/>
      <c r="N437" s="121"/>
      <c r="O437" s="121"/>
      <c r="P437" s="121"/>
      <c r="Q437" s="121"/>
      <c r="R437" s="122"/>
      <c r="S437" s="122"/>
      <c r="T437" s="122"/>
      <c r="U437" s="122"/>
      <c r="V437" s="122"/>
      <c r="W437" s="123"/>
      <c r="X437" s="123"/>
      <c r="Y437" s="123"/>
      <c r="Z437" s="123"/>
      <c r="AA437" s="123"/>
      <c r="AB437" s="5"/>
      <c r="AC437" s="5"/>
    </row>
    <row r="438" ht="14.25" customHeight="1">
      <c r="A438" s="48"/>
      <c r="B438" s="120"/>
      <c r="C438" s="108"/>
      <c r="D438" s="109"/>
      <c r="E438" s="109"/>
      <c r="F438" s="109"/>
      <c r="G438" s="70"/>
      <c r="H438" s="70"/>
      <c r="I438" s="82"/>
      <c r="J438" s="82"/>
      <c r="K438" s="99"/>
      <c r="L438" s="99"/>
      <c r="M438" s="121"/>
      <c r="N438" s="121"/>
      <c r="O438" s="121"/>
      <c r="P438" s="121"/>
      <c r="Q438" s="121"/>
      <c r="R438" s="122"/>
      <c r="S438" s="122"/>
      <c r="T438" s="122"/>
      <c r="U438" s="122"/>
      <c r="V438" s="122"/>
      <c r="W438" s="123"/>
      <c r="X438" s="123"/>
      <c r="Y438" s="123"/>
      <c r="Z438" s="123"/>
      <c r="AA438" s="123"/>
      <c r="AB438" s="5"/>
      <c r="AC438" s="5"/>
    </row>
    <row r="439" ht="14.25" customHeight="1">
      <c r="A439" s="48"/>
      <c r="B439" s="120"/>
      <c r="C439" s="108"/>
      <c r="D439" s="109"/>
      <c r="E439" s="109"/>
      <c r="F439" s="109"/>
      <c r="G439" s="70"/>
      <c r="H439" s="70"/>
      <c r="I439" s="82"/>
      <c r="J439" s="82"/>
      <c r="K439" s="99"/>
      <c r="L439" s="99"/>
      <c r="M439" s="121"/>
      <c r="N439" s="121"/>
      <c r="O439" s="121"/>
      <c r="P439" s="121"/>
      <c r="Q439" s="121"/>
      <c r="R439" s="122"/>
      <c r="S439" s="122"/>
      <c r="T439" s="122"/>
      <c r="U439" s="122"/>
      <c r="V439" s="122"/>
      <c r="W439" s="123"/>
      <c r="X439" s="123"/>
      <c r="Y439" s="123"/>
      <c r="Z439" s="123"/>
      <c r="AA439" s="123"/>
      <c r="AB439" s="5"/>
      <c r="AC439" s="5"/>
    </row>
    <row r="440" ht="14.25" customHeight="1">
      <c r="A440" s="48"/>
      <c r="B440" s="120"/>
      <c r="C440" s="108"/>
      <c r="D440" s="109"/>
      <c r="E440" s="109"/>
      <c r="F440" s="109"/>
      <c r="G440" s="70"/>
      <c r="H440" s="70"/>
      <c r="I440" s="82"/>
      <c r="J440" s="82"/>
      <c r="K440" s="99"/>
      <c r="L440" s="99"/>
      <c r="M440" s="121"/>
      <c r="N440" s="121"/>
      <c r="O440" s="121"/>
      <c r="P440" s="121"/>
      <c r="Q440" s="121"/>
      <c r="R440" s="122"/>
      <c r="S440" s="122"/>
      <c r="T440" s="122"/>
      <c r="U440" s="122"/>
      <c r="V440" s="122"/>
      <c r="W440" s="123"/>
      <c r="X440" s="123"/>
      <c r="Y440" s="123"/>
      <c r="Z440" s="123"/>
      <c r="AA440" s="123"/>
      <c r="AB440" s="5"/>
      <c r="AC440" s="5"/>
    </row>
    <row r="441" ht="14.25" customHeight="1">
      <c r="A441" s="48"/>
      <c r="B441" s="120"/>
      <c r="C441" s="108"/>
      <c r="D441" s="109"/>
      <c r="E441" s="109"/>
      <c r="F441" s="109"/>
      <c r="G441" s="70"/>
      <c r="H441" s="70"/>
      <c r="I441" s="82"/>
      <c r="J441" s="82"/>
      <c r="K441" s="99"/>
      <c r="L441" s="99"/>
      <c r="M441" s="121"/>
      <c r="N441" s="121"/>
      <c r="O441" s="121"/>
      <c r="P441" s="121"/>
      <c r="Q441" s="121"/>
      <c r="R441" s="122"/>
      <c r="S441" s="122"/>
      <c r="T441" s="122"/>
      <c r="U441" s="122"/>
      <c r="V441" s="122"/>
      <c r="W441" s="123"/>
      <c r="X441" s="123"/>
      <c r="Y441" s="123"/>
      <c r="Z441" s="123"/>
      <c r="AA441" s="123"/>
      <c r="AB441" s="5"/>
      <c r="AC441" s="5"/>
    </row>
    <row r="442" ht="14.25" customHeight="1">
      <c r="A442" s="48"/>
      <c r="B442" s="120"/>
      <c r="C442" s="108"/>
      <c r="D442" s="109"/>
      <c r="E442" s="109"/>
      <c r="F442" s="109"/>
      <c r="G442" s="70"/>
      <c r="H442" s="70"/>
      <c r="I442" s="82"/>
      <c r="J442" s="82"/>
      <c r="K442" s="99"/>
      <c r="L442" s="99"/>
      <c r="M442" s="121"/>
      <c r="N442" s="121"/>
      <c r="O442" s="121"/>
      <c r="P442" s="121"/>
      <c r="Q442" s="121"/>
      <c r="R442" s="122"/>
      <c r="S442" s="122"/>
      <c r="T442" s="122"/>
      <c r="U442" s="122"/>
      <c r="V442" s="122"/>
      <c r="W442" s="123"/>
      <c r="X442" s="123"/>
      <c r="Y442" s="123"/>
      <c r="Z442" s="123"/>
      <c r="AA442" s="123"/>
      <c r="AB442" s="5"/>
      <c r="AC442" s="5"/>
    </row>
    <row r="443" ht="14.25" customHeight="1">
      <c r="A443" s="48"/>
      <c r="B443" s="120"/>
      <c r="C443" s="108"/>
      <c r="D443" s="109"/>
      <c r="E443" s="109"/>
      <c r="F443" s="109"/>
      <c r="G443" s="70"/>
      <c r="H443" s="70"/>
      <c r="I443" s="82"/>
      <c r="J443" s="82"/>
      <c r="K443" s="99"/>
      <c r="L443" s="99"/>
      <c r="M443" s="121"/>
      <c r="N443" s="121"/>
      <c r="O443" s="121"/>
      <c r="P443" s="121"/>
      <c r="Q443" s="121"/>
      <c r="R443" s="122"/>
      <c r="S443" s="122"/>
      <c r="T443" s="122"/>
      <c r="U443" s="122"/>
      <c r="V443" s="122"/>
      <c r="W443" s="123"/>
      <c r="X443" s="123"/>
      <c r="Y443" s="123"/>
      <c r="Z443" s="123"/>
      <c r="AA443" s="123"/>
      <c r="AB443" s="5"/>
      <c r="AC443" s="5"/>
    </row>
    <row r="444" ht="14.25" customHeight="1">
      <c r="A444" s="48"/>
      <c r="B444" s="120"/>
      <c r="C444" s="108"/>
      <c r="D444" s="109"/>
      <c r="E444" s="109"/>
      <c r="F444" s="109"/>
      <c r="G444" s="70"/>
      <c r="H444" s="70"/>
      <c r="I444" s="82"/>
      <c r="J444" s="82"/>
      <c r="K444" s="99"/>
      <c r="L444" s="99"/>
      <c r="M444" s="121"/>
      <c r="N444" s="121"/>
      <c r="O444" s="121"/>
      <c r="P444" s="121"/>
      <c r="Q444" s="121"/>
      <c r="R444" s="122"/>
      <c r="S444" s="122"/>
      <c r="T444" s="122"/>
      <c r="U444" s="122"/>
      <c r="V444" s="122"/>
      <c r="W444" s="123"/>
      <c r="X444" s="123"/>
      <c r="Y444" s="123"/>
      <c r="Z444" s="123"/>
      <c r="AA444" s="123"/>
      <c r="AB444" s="5"/>
      <c r="AC444" s="5"/>
    </row>
    <row r="445" ht="14.25" customHeight="1">
      <c r="A445" s="48"/>
      <c r="B445" s="120"/>
      <c r="C445" s="108"/>
      <c r="D445" s="109"/>
      <c r="E445" s="109"/>
      <c r="F445" s="109"/>
      <c r="G445" s="70"/>
      <c r="H445" s="70"/>
      <c r="I445" s="82"/>
      <c r="J445" s="82"/>
      <c r="K445" s="99"/>
      <c r="L445" s="99"/>
      <c r="M445" s="121"/>
      <c r="N445" s="121"/>
      <c r="O445" s="121"/>
      <c r="P445" s="121"/>
      <c r="Q445" s="121"/>
      <c r="R445" s="122"/>
      <c r="S445" s="122"/>
      <c r="T445" s="122"/>
      <c r="U445" s="122"/>
      <c r="V445" s="122"/>
      <c r="W445" s="123"/>
      <c r="X445" s="123"/>
      <c r="Y445" s="123"/>
      <c r="Z445" s="123"/>
      <c r="AA445" s="123"/>
      <c r="AB445" s="5"/>
      <c r="AC445" s="5"/>
    </row>
    <row r="446" ht="14.25" customHeight="1">
      <c r="A446" s="48"/>
      <c r="B446" s="120"/>
      <c r="C446" s="108"/>
      <c r="D446" s="109"/>
      <c r="E446" s="109"/>
      <c r="F446" s="109"/>
      <c r="G446" s="70"/>
      <c r="H446" s="70"/>
      <c r="I446" s="82"/>
      <c r="J446" s="82"/>
      <c r="K446" s="99"/>
      <c r="L446" s="99"/>
      <c r="M446" s="121"/>
      <c r="N446" s="121"/>
      <c r="O446" s="121"/>
      <c r="P446" s="121"/>
      <c r="Q446" s="121"/>
      <c r="R446" s="122"/>
      <c r="S446" s="122"/>
      <c r="T446" s="122"/>
      <c r="U446" s="122"/>
      <c r="V446" s="122"/>
      <c r="W446" s="123"/>
      <c r="X446" s="123"/>
      <c r="Y446" s="123"/>
      <c r="Z446" s="123"/>
      <c r="AA446" s="123"/>
      <c r="AB446" s="5"/>
      <c r="AC446" s="5"/>
    </row>
    <row r="447" ht="14.25" customHeight="1">
      <c r="A447" s="48"/>
      <c r="B447" s="120"/>
      <c r="C447" s="108"/>
      <c r="D447" s="109"/>
      <c r="E447" s="109"/>
      <c r="F447" s="109"/>
      <c r="G447" s="70"/>
      <c r="H447" s="70"/>
      <c r="I447" s="82"/>
      <c r="J447" s="82"/>
      <c r="K447" s="99"/>
      <c r="L447" s="99"/>
      <c r="M447" s="121"/>
      <c r="N447" s="121"/>
      <c r="O447" s="121"/>
      <c r="P447" s="121"/>
      <c r="Q447" s="121"/>
      <c r="R447" s="122"/>
      <c r="S447" s="122"/>
      <c r="T447" s="122"/>
      <c r="U447" s="122"/>
      <c r="V447" s="122"/>
      <c r="W447" s="123"/>
      <c r="X447" s="123"/>
      <c r="Y447" s="123"/>
      <c r="Z447" s="123"/>
      <c r="AA447" s="123"/>
      <c r="AB447" s="5"/>
      <c r="AC447" s="5"/>
    </row>
    <row r="448" ht="14.25" customHeight="1">
      <c r="A448" s="48"/>
      <c r="B448" s="120"/>
      <c r="C448" s="108"/>
      <c r="D448" s="109"/>
      <c r="E448" s="109"/>
      <c r="F448" s="109"/>
      <c r="G448" s="70"/>
      <c r="H448" s="70"/>
      <c r="I448" s="82"/>
      <c r="J448" s="82"/>
      <c r="K448" s="99"/>
      <c r="L448" s="99"/>
      <c r="M448" s="121"/>
      <c r="N448" s="121"/>
      <c r="O448" s="121"/>
      <c r="P448" s="121"/>
      <c r="Q448" s="121"/>
      <c r="R448" s="122"/>
      <c r="S448" s="122"/>
      <c r="T448" s="122"/>
      <c r="U448" s="122"/>
      <c r="V448" s="122"/>
      <c r="W448" s="123"/>
      <c r="X448" s="123"/>
      <c r="Y448" s="123"/>
      <c r="Z448" s="123"/>
      <c r="AA448" s="123"/>
      <c r="AB448" s="5"/>
      <c r="AC448" s="5"/>
    </row>
    <row r="449" ht="14.25" customHeight="1">
      <c r="A449" s="48"/>
      <c r="B449" s="120"/>
      <c r="C449" s="108"/>
      <c r="D449" s="109"/>
      <c r="E449" s="109"/>
      <c r="F449" s="109"/>
      <c r="G449" s="70"/>
      <c r="H449" s="70"/>
      <c r="I449" s="82"/>
      <c r="J449" s="82"/>
      <c r="K449" s="99"/>
      <c r="L449" s="99"/>
      <c r="M449" s="121"/>
      <c r="N449" s="121"/>
      <c r="O449" s="121"/>
      <c r="P449" s="121"/>
      <c r="Q449" s="121"/>
      <c r="R449" s="122"/>
      <c r="S449" s="122"/>
      <c r="T449" s="122"/>
      <c r="U449" s="122"/>
      <c r="V449" s="122"/>
      <c r="W449" s="123"/>
      <c r="X449" s="123"/>
      <c r="Y449" s="123"/>
      <c r="Z449" s="123"/>
      <c r="AA449" s="123"/>
      <c r="AB449" s="5"/>
      <c r="AC449" s="5"/>
    </row>
    <row r="450" ht="14.25" customHeight="1">
      <c r="A450" s="48"/>
      <c r="B450" s="120"/>
      <c r="C450" s="108"/>
      <c r="D450" s="109"/>
      <c r="E450" s="109"/>
      <c r="F450" s="109"/>
      <c r="G450" s="70"/>
      <c r="H450" s="70"/>
      <c r="I450" s="82"/>
      <c r="J450" s="82"/>
      <c r="K450" s="99"/>
      <c r="L450" s="99"/>
      <c r="M450" s="121"/>
      <c r="N450" s="121"/>
      <c r="O450" s="121"/>
      <c r="P450" s="121"/>
      <c r="Q450" s="121"/>
      <c r="R450" s="122"/>
      <c r="S450" s="122"/>
      <c r="T450" s="122"/>
      <c r="U450" s="122"/>
      <c r="V450" s="122"/>
      <c r="W450" s="123"/>
      <c r="X450" s="123"/>
      <c r="Y450" s="123"/>
      <c r="Z450" s="123"/>
      <c r="AA450" s="123"/>
      <c r="AB450" s="5"/>
      <c r="AC450" s="5"/>
    </row>
    <row r="451" ht="14.25" customHeight="1">
      <c r="A451" s="48"/>
      <c r="B451" s="120"/>
      <c r="C451" s="108"/>
      <c r="D451" s="109"/>
      <c r="E451" s="109"/>
      <c r="F451" s="109"/>
      <c r="G451" s="70"/>
      <c r="H451" s="70"/>
      <c r="I451" s="82"/>
      <c r="J451" s="82"/>
      <c r="K451" s="99"/>
      <c r="L451" s="99"/>
      <c r="M451" s="121"/>
      <c r="N451" s="121"/>
      <c r="O451" s="121"/>
      <c r="P451" s="121"/>
      <c r="Q451" s="121"/>
      <c r="R451" s="122"/>
      <c r="S451" s="122"/>
      <c r="T451" s="122"/>
      <c r="U451" s="122"/>
      <c r="V451" s="122"/>
      <c r="W451" s="123"/>
      <c r="X451" s="123"/>
      <c r="Y451" s="123"/>
      <c r="Z451" s="123"/>
      <c r="AA451" s="123"/>
      <c r="AB451" s="5"/>
      <c r="AC451" s="5"/>
    </row>
    <row r="452" ht="14.25" customHeight="1">
      <c r="A452" s="48"/>
      <c r="B452" s="120"/>
      <c r="C452" s="108"/>
      <c r="D452" s="109"/>
      <c r="E452" s="109"/>
      <c r="F452" s="109"/>
      <c r="G452" s="70"/>
      <c r="H452" s="70"/>
      <c r="I452" s="82"/>
      <c r="J452" s="82"/>
      <c r="K452" s="99"/>
      <c r="L452" s="99"/>
      <c r="M452" s="121"/>
      <c r="N452" s="121"/>
      <c r="O452" s="121"/>
      <c r="P452" s="121"/>
      <c r="Q452" s="121"/>
      <c r="R452" s="122"/>
      <c r="S452" s="122"/>
      <c r="T452" s="122"/>
      <c r="U452" s="122"/>
      <c r="V452" s="122"/>
      <c r="W452" s="123"/>
      <c r="X452" s="123"/>
      <c r="Y452" s="123"/>
      <c r="Z452" s="123"/>
      <c r="AA452" s="123"/>
      <c r="AB452" s="5"/>
      <c r="AC452" s="5"/>
    </row>
    <row r="453" ht="14.25" customHeight="1">
      <c r="A453" s="48"/>
      <c r="B453" s="120"/>
      <c r="C453" s="108"/>
      <c r="D453" s="109"/>
      <c r="E453" s="109"/>
      <c r="F453" s="109"/>
      <c r="G453" s="70"/>
      <c r="H453" s="70"/>
      <c r="I453" s="82"/>
      <c r="J453" s="82"/>
      <c r="K453" s="99"/>
      <c r="L453" s="99"/>
      <c r="M453" s="121"/>
      <c r="N453" s="121"/>
      <c r="O453" s="121"/>
      <c r="P453" s="121"/>
      <c r="Q453" s="121"/>
      <c r="R453" s="122"/>
      <c r="S453" s="122"/>
      <c r="T453" s="122"/>
      <c r="U453" s="122"/>
      <c r="V453" s="122"/>
      <c r="W453" s="123"/>
      <c r="X453" s="123"/>
      <c r="Y453" s="123"/>
      <c r="Z453" s="123"/>
      <c r="AA453" s="123"/>
      <c r="AB453" s="5"/>
      <c r="AC453" s="5"/>
    </row>
    <row r="454" ht="14.25" customHeight="1">
      <c r="A454" s="48"/>
      <c r="B454" s="120"/>
      <c r="C454" s="108"/>
      <c r="D454" s="109"/>
      <c r="E454" s="109"/>
      <c r="F454" s="109"/>
      <c r="G454" s="70"/>
      <c r="H454" s="70"/>
      <c r="I454" s="82"/>
      <c r="J454" s="82"/>
      <c r="K454" s="99"/>
      <c r="L454" s="99"/>
      <c r="M454" s="121"/>
      <c r="N454" s="121"/>
      <c r="O454" s="121"/>
      <c r="P454" s="121"/>
      <c r="Q454" s="121"/>
      <c r="R454" s="122"/>
      <c r="S454" s="122"/>
      <c r="T454" s="122"/>
      <c r="U454" s="122"/>
      <c r="V454" s="122"/>
      <c r="W454" s="123"/>
      <c r="X454" s="123"/>
      <c r="Y454" s="123"/>
      <c r="Z454" s="123"/>
      <c r="AA454" s="123"/>
      <c r="AB454" s="5"/>
      <c r="AC454" s="5"/>
    </row>
    <row r="455" ht="14.25" customHeight="1">
      <c r="A455" s="48"/>
      <c r="B455" s="120"/>
      <c r="C455" s="108"/>
      <c r="D455" s="109"/>
      <c r="E455" s="109"/>
      <c r="F455" s="109"/>
      <c r="G455" s="70"/>
      <c r="H455" s="70"/>
      <c r="I455" s="82"/>
      <c r="J455" s="82"/>
      <c r="K455" s="99"/>
      <c r="L455" s="99"/>
      <c r="M455" s="121"/>
      <c r="N455" s="121"/>
      <c r="O455" s="121"/>
      <c r="P455" s="121"/>
      <c r="Q455" s="121"/>
      <c r="R455" s="122"/>
      <c r="S455" s="122"/>
      <c r="T455" s="122"/>
      <c r="U455" s="122"/>
      <c r="V455" s="122"/>
      <c r="W455" s="123"/>
      <c r="X455" s="123"/>
      <c r="Y455" s="123"/>
      <c r="Z455" s="123"/>
      <c r="AA455" s="123"/>
      <c r="AB455" s="5"/>
      <c r="AC455" s="5"/>
    </row>
    <row r="456" ht="14.25" customHeight="1">
      <c r="A456" s="48"/>
      <c r="B456" s="120"/>
      <c r="C456" s="108"/>
      <c r="D456" s="109"/>
      <c r="E456" s="109"/>
      <c r="F456" s="109"/>
      <c r="G456" s="70"/>
      <c r="H456" s="70"/>
      <c r="I456" s="82"/>
      <c r="J456" s="82"/>
      <c r="K456" s="99"/>
      <c r="L456" s="99"/>
      <c r="M456" s="121"/>
      <c r="N456" s="121"/>
      <c r="O456" s="121"/>
      <c r="P456" s="121"/>
      <c r="Q456" s="121"/>
      <c r="R456" s="122"/>
      <c r="S456" s="122"/>
      <c r="T456" s="122"/>
      <c r="U456" s="122"/>
      <c r="V456" s="122"/>
      <c r="W456" s="123"/>
      <c r="X456" s="123"/>
      <c r="Y456" s="123"/>
      <c r="Z456" s="123"/>
      <c r="AA456" s="123"/>
      <c r="AB456" s="5"/>
      <c r="AC456" s="5"/>
    </row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AG2"/>
  </mergeCells>
  <hyperlinks>
    <hyperlink r:id="rId1" ref="C1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24.29"/>
    <col customWidth="1" min="3" max="3" width="11.29"/>
    <col customWidth="1" min="4" max="4" width="10.71"/>
    <col customWidth="1" min="5" max="5" width="9.14"/>
    <col customWidth="1" min="6" max="6" width="10.71"/>
    <col customWidth="1" hidden="1" min="7" max="7" width="0.14"/>
    <col customWidth="1" hidden="1" min="8" max="8" width="7.57"/>
    <col customWidth="1" hidden="1" min="9" max="10" width="7.43"/>
    <col customWidth="1" hidden="1" min="11" max="11" width="7.57"/>
    <col customWidth="1" hidden="1" min="12" max="12" width="7.43"/>
    <col customWidth="1" hidden="1" min="13" max="13" width="7.57"/>
    <col customWidth="1" hidden="1" min="14" max="14" width="7.14"/>
    <col customWidth="1" hidden="1" min="15" max="16" width="7.43"/>
    <col customWidth="1" hidden="1" min="17" max="19" width="7.57"/>
    <col customWidth="1" hidden="1" min="20" max="20" width="7.71"/>
    <col customWidth="1" hidden="1" min="21" max="21" width="8.0"/>
    <col customWidth="1" hidden="1" min="22" max="23" width="7.71"/>
    <col customWidth="1" hidden="1" min="24" max="25" width="7.86"/>
    <col customWidth="1" hidden="1" min="26" max="26" width="7.71"/>
    <col customWidth="1" hidden="1" min="27" max="27" width="8.0"/>
  </cols>
  <sheetData>
    <row r="1" ht="12.75" customHeight="1">
      <c r="A1" s="33"/>
      <c r="B1" s="36" t="s">
        <v>48</v>
      </c>
      <c r="C1" s="36"/>
      <c r="D1" s="36"/>
      <c r="E1" s="36"/>
      <c r="F1" s="36"/>
      <c r="G1" s="42"/>
      <c r="H1" s="42"/>
      <c r="I1" s="42"/>
      <c r="J1" s="42"/>
      <c r="K1" s="42"/>
      <c r="L1" s="42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C1" s="124" t="s">
        <v>8</v>
      </c>
      <c r="AD1" s="51"/>
      <c r="AE1" s="51"/>
      <c r="AF1" s="51"/>
      <c r="AG1" s="52"/>
    </row>
    <row r="2" ht="12.75" customHeight="1">
      <c r="A2" s="33"/>
      <c r="B2" s="125" t="s">
        <v>49</v>
      </c>
      <c r="C2" s="126"/>
      <c r="D2" s="127"/>
      <c r="E2" s="127"/>
      <c r="F2" s="127"/>
      <c r="G2" s="127"/>
      <c r="H2" s="127"/>
      <c r="I2" s="42"/>
      <c r="J2" s="42"/>
      <c r="K2" s="42"/>
      <c r="L2" s="4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C2" s="128"/>
      <c r="AG2" s="129"/>
    </row>
    <row r="3" ht="12.75" customHeight="1">
      <c r="A3" s="33"/>
      <c r="B3" s="125"/>
      <c r="C3" s="126"/>
      <c r="D3" s="130"/>
      <c r="E3" s="130"/>
      <c r="F3" s="127"/>
      <c r="G3" s="127"/>
      <c r="H3" s="127"/>
      <c r="I3" s="42"/>
      <c r="J3" s="42"/>
      <c r="K3" s="42"/>
      <c r="L3" s="42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C3" s="53"/>
      <c r="AD3" s="54"/>
      <c r="AE3" s="54"/>
      <c r="AF3" s="54"/>
      <c r="AG3" s="55"/>
    </row>
    <row r="4" ht="12.75" customHeight="1">
      <c r="A4" s="131"/>
      <c r="B4" s="131"/>
      <c r="C4" s="131"/>
      <c r="D4" s="132"/>
      <c r="E4" s="45"/>
      <c r="F4" s="36"/>
      <c r="G4" s="42"/>
      <c r="H4" s="42"/>
      <c r="I4" s="42"/>
      <c r="J4" s="42"/>
      <c r="K4" s="42"/>
      <c r="L4" s="4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2.75" customHeight="1">
      <c r="A5" s="33" t="s">
        <v>21</v>
      </c>
      <c r="B5" s="33"/>
      <c r="C5" s="133"/>
      <c r="D5" s="42"/>
      <c r="E5" s="42"/>
      <c r="F5" s="42"/>
      <c r="G5" s="42"/>
      <c r="H5" s="42"/>
      <c r="I5" s="42"/>
      <c r="J5" s="42"/>
      <c r="K5" s="42"/>
      <c r="L5" s="42"/>
      <c r="M5" s="5" t="s">
        <v>4</v>
      </c>
      <c r="N5" s="5"/>
      <c r="O5" s="5"/>
      <c r="P5" s="5"/>
      <c r="Q5" s="5"/>
      <c r="R5" s="5" t="s">
        <v>5</v>
      </c>
      <c r="S5" s="5"/>
      <c r="T5" s="5"/>
      <c r="U5" s="5"/>
      <c r="V5" s="5"/>
      <c r="W5" s="5" t="s">
        <v>6</v>
      </c>
      <c r="X5" s="5"/>
      <c r="Y5" s="5"/>
      <c r="Z5" s="5"/>
      <c r="AA5" s="5"/>
    </row>
    <row r="6" ht="12.75" customHeight="1">
      <c r="A6" s="33" t="s">
        <v>50</v>
      </c>
      <c r="B6" s="134"/>
      <c r="C6" s="135" t="s">
        <v>20</v>
      </c>
      <c r="D6" s="45" t="s">
        <v>51</v>
      </c>
      <c r="E6" s="45" t="s">
        <v>52</v>
      </c>
      <c r="F6" s="45" t="s">
        <v>53</v>
      </c>
      <c r="G6" s="42"/>
      <c r="H6" s="42"/>
      <c r="I6" s="42"/>
      <c r="J6" s="42"/>
      <c r="K6" s="42"/>
      <c r="L6" s="42"/>
      <c r="M6" s="5" t="s">
        <v>28</v>
      </c>
      <c r="N6" s="5" t="s">
        <v>30</v>
      </c>
      <c r="O6" s="5" t="s">
        <v>32</v>
      </c>
      <c r="P6" s="5" t="s">
        <v>34</v>
      </c>
      <c r="Q6" s="5" t="s">
        <v>35</v>
      </c>
      <c r="R6" s="5" t="s">
        <v>28</v>
      </c>
      <c r="S6" s="5" t="s">
        <v>30</v>
      </c>
      <c r="T6" s="5" t="s">
        <v>32</v>
      </c>
      <c r="U6" s="5" t="s">
        <v>34</v>
      </c>
      <c r="V6" s="5" t="s">
        <v>35</v>
      </c>
      <c r="W6" s="5" t="s">
        <v>28</v>
      </c>
      <c r="X6" s="5" t="s">
        <v>30</v>
      </c>
      <c r="Y6" s="5" t="s">
        <v>32</v>
      </c>
      <c r="Z6" s="5" t="s">
        <v>34</v>
      </c>
      <c r="AA6" s="5" t="s">
        <v>35</v>
      </c>
    </row>
    <row r="7" ht="12.75" customHeight="1">
      <c r="A7" s="136">
        <v>1.0</v>
      </c>
      <c r="B7" s="137" t="s">
        <v>5</v>
      </c>
      <c r="C7" s="138">
        <v>0.5</v>
      </c>
      <c r="D7" s="139">
        <v>5.0</v>
      </c>
      <c r="E7" s="140">
        <v>1.0</v>
      </c>
      <c r="F7" s="140">
        <f>'1RM'!$C$5*C7</f>
        <v>50</v>
      </c>
      <c r="G7" s="141"/>
      <c r="H7" s="142"/>
      <c r="I7" s="141">
        <f t="shared" ref="I7:I10" si="1">D7*E7</f>
        <v>5</v>
      </c>
      <c r="J7" s="142">
        <f t="shared" ref="J7:J10" si="2">F7*I7</f>
        <v>250</v>
      </c>
      <c r="K7" s="141"/>
      <c r="L7" s="42"/>
      <c r="M7" s="5"/>
      <c r="N7" s="5"/>
      <c r="O7" s="5"/>
      <c r="P7" s="5"/>
      <c r="Q7" s="5"/>
      <c r="R7" s="143">
        <f t="shared" ref="R7:R10" si="3">IF(ISNUMBER(SEARCH("Press de banca",$B7)),IF($C7&gt;=0.5,IF($C7&lt;0.6,$D7*$E7," ")," ")," ")</f>
        <v>5</v>
      </c>
      <c r="S7" s="143" t="str">
        <f t="shared" ref="S7:S10" si="4">IF(ISNUMBER(SEARCH("Press de banca",$B7)),IF($C7&gt;=0.6,IF($C7&lt;0.7,$D7*$E7," ")," ")," ")</f>
        <v> </v>
      </c>
      <c r="T7" s="143" t="str">
        <f t="shared" ref="T7:T10" si="5">IF(ISNUMBER(SEARCH("Press de banca",$B7)),IF($C7&gt;=0.7,IF($C7&lt;0.8,$D7*$E7," ")," ")," ")</f>
        <v> </v>
      </c>
      <c r="U7" s="143" t="str">
        <f t="shared" ref="U7:U10" si="6">IF(ISNUMBER(SEARCH("Press de banca",$B7)),IF($C7&gt;=0.8,IF($C7&lt;0.9,$D7*$E7," ")," ")," ")</f>
        <v> </v>
      </c>
      <c r="V7" s="143" t="str">
        <f t="shared" ref="V7:V10" si="7">IF(ISNUMBER(SEARCH("Press de banca",$B7)),IF($C7&gt;=0.9,$D7*$E7," ")," ")</f>
        <v> </v>
      </c>
      <c r="W7" s="5"/>
      <c r="X7" s="5"/>
      <c r="Y7" s="5"/>
      <c r="Z7" s="5"/>
      <c r="AA7" s="5"/>
    </row>
    <row r="8" ht="12.75" customHeight="1">
      <c r="A8" s="136"/>
      <c r="B8" s="144" t="s">
        <v>5</v>
      </c>
      <c r="C8" s="138">
        <v>0.6</v>
      </c>
      <c r="D8" s="139">
        <v>4.0</v>
      </c>
      <c r="E8" s="140">
        <v>1.0</v>
      </c>
      <c r="F8" s="140">
        <f>'1RM'!$C$5*C8</f>
        <v>60</v>
      </c>
      <c r="G8" s="141"/>
      <c r="H8" s="142"/>
      <c r="I8" s="141">
        <f t="shared" si="1"/>
        <v>4</v>
      </c>
      <c r="J8" s="142">
        <f t="shared" si="2"/>
        <v>240</v>
      </c>
      <c r="K8" s="141"/>
      <c r="L8" s="42"/>
      <c r="M8" s="5"/>
      <c r="N8" s="5"/>
      <c r="O8" s="5"/>
      <c r="P8" s="5"/>
      <c r="Q8" s="5"/>
      <c r="R8" s="143" t="str">
        <f t="shared" si="3"/>
        <v> </v>
      </c>
      <c r="S8" s="143">
        <f t="shared" si="4"/>
        <v>4</v>
      </c>
      <c r="T8" s="143" t="str">
        <f t="shared" si="5"/>
        <v> </v>
      </c>
      <c r="U8" s="143" t="str">
        <f t="shared" si="6"/>
        <v> </v>
      </c>
      <c r="V8" s="143" t="str">
        <f t="shared" si="7"/>
        <v> </v>
      </c>
      <c r="W8" s="5"/>
      <c r="X8" s="5"/>
      <c r="Y8" s="5"/>
      <c r="Z8" s="5"/>
      <c r="AA8" s="5"/>
    </row>
    <row r="9" ht="12.75" customHeight="1">
      <c r="A9" s="136"/>
      <c r="B9" s="144" t="s">
        <v>5</v>
      </c>
      <c r="C9" s="138">
        <v>0.7</v>
      </c>
      <c r="D9" s="139">
        <v>3.0</v>
      </c>
      <c r="E9" s="140">
        <v>1.0</v>
      </c>
      <c r="F9" s="140">
        <f>'1RM'!$C$5*C9</f>
        <v>70</v>
      </c>
      <c r="G9" s="141"/>
      <c r="H9" s="142"/>
      <c r="I9" s="141">
        <f t="shared" si="1"/>
        <v>3</v>
      </c>
      <c r="J9" s="142">
        <f t="shared" si="2"/>
        <v>210</v>
      </c>
      <c r="K9" s="141"/>
      <c r="L9" s="42"/>
      <c r="M9" s="5"/>
      <c r="N9" s="5"/>
      <c r="O9" s="5"/>
      <c r="P9" s="5"/>
      <c r="Q9" s="5"/>
      <c r="R9" s="143" t="str">
        <f t="shared" si="3"/>
        <v> </v>
      </c>
      <c r="S9" s="143" t="str">
        <f t="shared" si="4"/>
        <v> </v>
      </c>
      <c r="T9" s="143">
        <f t="shared" si="5"/>
        <v>3</v>
      </c>
      <c r="U9" s="143" t="str">
        <f t="shared" si="6"/>
        <v> </v>
      </c>
      <c r="V9" s="143" t="str">
        <f t="shared" si="7"/>
        <v> </v>
      </c>
      <c r="W9" s="5"/>
      <c r="X9" s="5"/>
      <c r="Y9" s="5"/>
      <c r="Z9" s="5"/>
      <c r="AA9" s="5"/>
    </row>
    <row r="10" ht="12.75" customHeight="1">
      <c r="A10" s="136"/>
      <c r="B10" s="144" t="s">
        <v>5</v>
      </c>
      <c r="C10" s="138">
        <v>0.8</v>
      </c>
      <c r="D10" s="139">
        <v>5.0</v>
      </c>
      <c r="E10" s="140">
        <v>4.0</v>
      </c>
      <c r="F10" s="140">
        <f>'1RM'!$C$5*C10</f>
        <v>80</v>
      </c>
      <c r="G10" s="141"/>
      <c r="H10" s="142"/>
      <c r="I10" s="141">
        <f t="shared" si="1"/>
        <v>20</v>
      </c>
      <c r="J10" s="142">
        <f t="shared" si="2"/>
        <v>1600</v>
      </c>
      <c r="K10" s="141"/>
      <c r="L10" s="42"/>
      <c r="M10" s="5"/>
      <c r="N10" s="5"/>
      <c r="O10" s="5"/>
      <c r="P10" s="5"/>
      <c r="Q10" s="5"/>
      <c r="R10" s="143" t="str">
        <f t="shared" si="3"/>
        <v> </v>
      </c>
      <c r="S10" s="143" t="str">
        <f t="shared" si="4"/>
        <v> </v>
      </c>
      <c r="T10" s="143" t="str">
        <f t="shared" si="5"/>
        <v> </v>
      </c>
      <c r="U10" s="143">
        <f t="shared" si="6"/>
        <v>20</v>
      </c>
      <c r="V10" s="143" t="str">
        <f t="shared" si="7"/>
        <v> </v>
      </c>
      <c r="W10" s="5"/>
      <c r="X10" s="5"/>
      <c r="Y10" s="5"/>
      <c r="Z10" s="5"/>
      <c r="AA10" s="5"/>
    </row>
    <row r="11" ht="12.75" customHeight="1">
      <c r="A11" s="145">
        <v>2.0</v>
      </c>
      <c r="B11" s="146" t="s">
        <v>4</v>
      </c>
      <c r="C11" s="147">
        <v>0.5</v>
      </c>
      <c r="D11" s="148">
        <v>5.0</v>
      </c>
      <c r="E11" s="149">
        <v>1.0</v>
      </c>
      <c r="F11" s="149">
        <f>'1RM'!$C$4*C11</f>
        <v>50</v>
      </c>
      <c r="G11" s="141">
        <f t="shared" ref="G11:G18" si="8">D11*E11</f>
        <v>5</v>
      </c>
      <c r="H11" s="142">
        <f t="shared" ref="H11:H18" si="9">F11*G11</f>
        <v>250</v>
      </c>
      <c r="I11" s="141"/>
      <c r="J11" s="142"/>
      <c r="K11" s="141"/>
      <c r="L11" s="42"/>
      <c r="M11" s="150">
        <f t="shared" ref="M11:M18" si="10">IF(ISNUMBER(SEARCH("Sentadilla",$B11)),IF($C11&gt;=0.5,IF($C11&lt;0.6,$D11*$E11," ")," ")," ")</f>
        <v>5</v>
      </c>
      <c r="N11" s="150" t="str">
        <f t="shared" ref="N11:N18" si="11">IF(ISNUMBER(SEARCH("Sentadilla",$B11)),IF($C11&gt;=0.6,IF($C11&lt;0.7,$D11*$E11," ")," ")," ")</f>
        <v> </v>
      </c>
      <c r="O11" s="150" t="str">
        <f t="shared" ref="O11:O18" si="12">IF(ISNUMBER(SEARCH("Sentadilla",$B11)),IF($C11&gt;=0.7,IF($C11&lt;0.8,$D11*$E11," ")," ")," ")</f>
        <v> </v>
      </c>
      <c r="P11" s="150" t="str">
        <f t="shared" ref="P11:P18" si="13">IF(ISNUMBER(SEARCH("Sentadilla",$B11)),IF($C11&gt;=0.8,IF($C11&lt;0.9,$D11*$E11," ")," ")," ")</f>
        <v> </v>
      </c>
      <c r="Q11" s="150" t="str">
        <f t="shared" ref="Q11:Q18" si="14">IF(ISNUMBER(SEARCH("Sentadilla",$B11)),IF($C11&gt;=0.9,$D11*$E11," ")," ")</f>
        <v> </v>
      </c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2.75" customHeight="1">
      <c r="A12" s="145"/>
      <c r="B12" s="151" t="s">
        <v>4</v>
      </c>
      <c r="C12" s="147">
        <v>0.6</v>
      </c>
      <c r="D12" s="148">
        <v>5.0</v>
      </c>
      <c r="E12" s="149">
        <v>1.0</v>
      </c>
      <c r="F12" s="149">
        <f>'1RM'!$C$4*C12</f>
        <v>60</v>
      </c>
      <c r="G12" s="141">
        <f t="shared" si="8"/>
        <v>5</v>
      </c>
      <c r="H12" s="142">
        <f t="shared" si="9"/>
        <v>300</v>
      </c>
      <c r="I12" s="141"/>
      <c r="J12" s="142"/>
      <c r="K12" s="141"/>
      <c r="L12" s="42"/>
      <c r="M12" s="150" t="str">
        <f t="shared" si="10"/>
        <v> </v>
      </c>
      <c r="N12" s="150">
        <f t="shared" si="11"/>
        <v>5</v>
      </c>
      <c r="O12" s="150" t="str">
        <f t="shared" si="12"/>
        <v> </v>
      </c>
      <c r="P12" s="150" t="str">
        <f t="shared" si="13"/>
        <v> </v>
      </c>
      <c r="Q12" s="150" t="str">
        <f t="shared" si="14"/>
        <v> </v>
      </c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2.75" customHeight="1">
      <c r="A13" s="145"/>
      <c r="B13" s="151" t="s">
        <v>4</v>
      </c>
      <c r="C13" s="147">
        <v>0.7</v>
      </c>
      <c r="D13" s="148">
        <v>5.0</v>
      </c>
      <c r="E13" s="149">
        <v>1.0</v>
      </c>
      <c r="F13" s="149">
        <f>'1RM'!$C$4*C13</f>
        <v>70</v>
      </c>
      <c r="G13" s="141">
        <f t="shared" si="8"/>
        <v>5</v>
      </c>
      <c r="H13" s="142">
        <f t="shared" si="9"/>
        <v>350</v>
      </c>
      <c r="I13" s="141"/>
      <c r="J13" s="142"/>
      <c r="K13" s="141"/>
      <c r="L13" s="42"/>
      <c r="M13" s="150" t="str">
        <f t="shared" si="10"/>
        <v> </v>
      </c>
      <c r="N13" s="150" t="str">
        <f t="shared" si="11"/>
        <v> </v>
      </c>
      <c r="O13" s="150">
        <f t="shared" si="12"/>
        <v>5</v>
      </c>
      <c r="P13" s="150" t="str">
        <f t="shared" si="13"/>
        <v> </v>
      </c>
      <c r="Q13" s="150" t="str">
        <f t="shared" si="14"/>
        <v> </v>
      </c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2.75" customHeight="1">
      <c r="A14" s="145"/>
      <c r="B14" s="151" t="s">
        <v>4</v>
      </c>
      <c r="C14" s="147">
        <v>0.7</v>
      </c>
      <c r="D14" s="148">
        <v>8.0</v>
      </c>
      <c r="E14" s="149">
        <v>1.0</v>
      </c>
      <c r="F14" s="149">
        <f>'1RM'!$C$4*C14</f>
        <v>70</v>
      </c>
      <c r="G14" s="141">
        <f t="shared" si="8"/>
        <v>8</v>
      </c>
      <c r="H14" s="142">
        <f t="shared" si="9"/>
        <v>560</v>
      </c>
      <c r="I14" s="141"/>
      <c r="J14" s="142"/>
      <c r="K14" s="141"/>
      <c r="L14" s="42"/>
      <c r="M14" s="150" t="str">
        <f t="shared" si="10"/>
        <v> </v>
      </c>
      <c r="N14" s="150" t="str">
        <f t="shared" si="11"/>
        <v> </v>
      </c>
      <c r="O14" s="150">
        <f t="shared" si="12"/>
        <v>8</v>
      </c>
      <c r="P14" s="150" t="str">
        <f t="shared" si="13"/>
        <v> </v>
      </c>
      <c r="Q14" s="150" t="str">
        <f t="shared" si="14"/>
        <v> </v>
      </c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2.75" customHeight="1">
      <c r="A15" s="145"/>
      <c r="B15" s="151" t="s">
        <v>4</v>
      </c>
      <c r="C15" s="147">
        <v>0.7</v>
      </c>
      <c r="D15" s="148">
        <v>5.0</v>
      </c>
      <c r="E15" s="149">
        <v>1.0</v>
      </c>
      <c r="F15" s="149">
        <f>'1RM'!$C$4*C15</f>
        <v>70</v>
      </c>
      <c r="G15" s="141">
        <f t="shared" si="8"/>
        <v>5</v>
      </c>
      <c r="H15" s="142">
        <f t="shared" si="9"/>
        <v>350</v>
      </c>
      <c r="I15" s="141"/>
      <c r="J15" s="142"/>
      <c r="K15" s="141"/>
      <c r="L15" s="42"/>
      <c r="M15" s="150" t="str">
        <f t="shared" si="10"/>
        <v> </v>
      </c>
      <c r="N15" s="150" t="str">
        <f t="shared" si="11"/>
        <v> </v>
      </c>
      <c r="O15" s="150">
        <f t="shared" si="12"/>
        <v>5</v>
      </c>
      <c r="P15" s="150" t="str">
        <f t="shared" si="13"/>
        <v> </v>
      </c>
      <c r="Q15" s="150" t="str">
        <f t="shared" si="14"/>
        <v> </v>
      </c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2.75" customHeight="1">
      <c r="A16" s="145"/>
      <c r="B16" s="151" t="s">
        <v>4</v>
      </c>
      <c r="C16" s="147">
        <v>0.7</v>
      </c>
      <c r="D16" s="148">
        <v>8.0</v>
      </c>
      <c r="E16" s="149">
        <v>1.0</v>
      </c>
      <c r="F16" s="149">
        <f>'1RM'!$C$4*C16</f>
        <v>70</v>
      </c>
      <c r="G16" s="141">
        <f t="shared" si="8"/>
        <v>8</v>
      </c>
      <c r="H16" s="142">
        <f t="shared" si="9"/>
        <v>560</v>
      </c>
      <c r="I16" s="141"/>
      <c r="J16" s="142"/>
      <c r="K16" s="141"/>
      <c r="L16" s="42"/>
      <c r="M16" s="150" t="str">
        <f t="shared" si="10"/>
        <v> </v>
      </c>
      <c r="N16" s="150" t="str">
        <f t="shared" si="11"/>
        <v> </v>
      </c>
      <c r="O16" s="150">
        <f t="shared" si="12"/>
        <v>8</v>
      </c>
      <c r="P16" s="150" t="str">
        <f t="shared" si="13"/>
        <v> </v>
      </c>
      <c r="Q16" s="150" t="str">
        <f t="shared" si="14"/>
        <v> </v>
      </c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2.75" customHeight="1">
      <c r="A17" s="145"/>
      <c r="B17" s="151" t="s">
        <v>4</v>
      </c>
      <c r="C17" s="147">
        <v>0.7</v>
      </c>
      <c r="D17" s="148">
        <v>5.0</v>
      </c>
      <c r="E17" s="149">
        <v>1.0</v>
      </c>
      <c r="F17" s="149">
        <f>'1RM'!$C$4*C17</f>
        <v>70</v>
      </c>
      <c r="G17" s="141">
        <f t="shared" si="8"/>
        <v>5</v>
      </c>
      <c r="H17" s="142">
        <f t="shared" si="9"/>
        <v>350</v>
      </c>
      <c r="I17" s="141"/>
      <c r="J17" s="142"/>
      <c r="K17" s="141"/>
      <c r="L17" s="42"/>
      <c r="M17" s="150" t="str">
        <f t="shared" si="10"/>
        <v> </v>
      </c>
      <c r="N17" s="150" t="str">
        <f t="shared" si="11"/>
        <v> </v>
      </c>
      <c r="O17" s="150">
        <f t="shared" si="12"/>
        <v>5</v>
      </c>
      <c r="P17" s="150" t="str">
        <f t="shared" si="13"/>
        <v> </v>
      </c>
      <c r="Q17" s="150" t="str">
        <f t="shared" si="14"/>
        <v> </v>
      </c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2.75" customHeight="1">
      <c r="A18" s="145"/>
      <c r="B18" s="151" t="s">
        <v>4</v>
      </c>
      <c r="C18" s="147">
        <v>0.7</v>
      </c>
      <c r="D18" s="148">
        <v>8.0</v>
      </c>
      <c r="E18" s="149">
        <v>1.0</v>
      </c>
      <c r="F18" s="149">
        <f>'1RM'!$C$4*C18</f>
        <v>70</v>
      </c>
      <c r="G18" s="141">
        <f t="shared" si="8"/>
        <v>8</v>
      </c>
      <c r="H18" s="142">
        <f t="shared" si="9"/>
        <v>560</v>
      </c>
      <c r="I18" s="141"/>
      <c r="J18" s="142"/>
      <c r="K18" s="141"/>
      <c r="L18" s="42"/>
      <c r="M18" s="150" t="str">
        <f t="shared" si="10"/>
        <v> </v>
      </c>
      <c r="N18" s="150" t="str">
        <f t="shared" si="11"/>
        <v> </v>
      </c>
      <c r="O18" s="150">
        <f t="shared" si="12"/>
        <v>8</v>
      </c>
      <c r="P18" s="150" t="str">
        <f t="shared" si="13"/>
        <v> </v>
      </c>
      <c r="Q18" s="150" t="str">
        <f t="shared" si="14"/>
        <v> </v>
      </c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2.75" customHeight="1">
      <c r="A19" s="136">
        <v>3.0</v>
      </c>
      <c r="B19" s="137" t="s">
        <v>85</v>
      </c>
      <c r="C19" s="138">
        <v>0.6</v>
      </c>
      <c r="D19" s="139">
        <v>3.0</v>
      </c>
      <c r="E19" s="140">
        <v>1.0</v>
      </c>
      <c r="F19" s="140">
        <f>'1RM'!$C$5*C19</f>
        <v>60</v>
      </c>
      <c r="G19" s="141"/>
      <c r="H19" s="142"/>
      <c r="I19" s="141">
        <f t="shared" ref="I19:I22" si="15">D19*E19</f>
        <v>3</v>
      </c>
      <c r="J19" s="142">
        <f t="shared" ref="J19:J22" si="16">F19*I19</f>
        <v>180</v>
      </c>
      <c r="K19" s="141"/>
      <c r="L19" s="42"/>
      <c r="M19" s="5"/>
      <c r="N19" s="5"/>
      <c r="O19" s="5"/>
      <c r="P19" s="5"/>
      <c r="Q19" s="5"/>
      <c r="R19" s="143" t="str">
        <f t="shared" ref="R19:R22" si="17">IF(ISNUMBER(SEARCH("Press de banca",$B19)),IF($C19&gt;=0.5,IF($C19&lt;0.6,$D19*$E19," ")," ")," ")</f>
        <v> </v>
      </c>
      <c r="S19" s="143">
        <f t="shared" ref="S19:S22" si="18">IF(ISNUMBER(SEARCH("Press de banca",$B19)),IF($C19&gt;=0.6,IF($C19&lt;0.7,$D19*$E19," ")," ")," ")</f>
        <v>3</v>
      </c>
      <c r="T19" s="143" t="str">
        <f t="shared" ref="T19:T22" si="19">IF(ISNUMBER(SEARCH("Press de banca",$B19)),IF($C19&gt;=0.7,IF($C19&lt;0.8,$D19*$E19," ")," ")," ")</f>
        <v> </v>
      </c>
      <c r="U19" s="143" t="str">
        <f t="shared" ref="U19:U22" si="20">IF(ISNUMBER(SEARCH("Press de banca",$B19)),IF($C19&gt;=0.8,IF($C19&lt;0.9,$D19*$E19," ")," ")," ")</f>
        <v> </v>
      </c>
      <c r="V19" s="143" t="str">
        <f t="shared" ref="V19:V22" si="21">IF(ISNUMBER(SEARCH("Press de banca",$B19)),IF($C19&gt;=0.9,$D19*$E19," ")," ")</f>
        <v> </v>
      </c>
      <c r="W19" s="5"/>
      <c r="X19" s="5"/>
      <c r="Y19" s="5"/>
      <c r="Z19" s="5"/>
      <c r="AA19" s="5"/>
    </row>
    <row r="20" ht="12.75" customHeight="1">
      <c r="A20" s="136"/>
      <c r="B20" s="144" t="s">
        <v>85</v>
      </c>
      <c r="C20" s="138">
        <v>0.7</v>
      </c>
      <c r="D20" s="139">
        <v>3.0</v>
      </c>
      <c r="E20" s="140">
        <v>1.0</v>
      </c>
      <c r="F20" s="140">
        <f>'1RM'!$C$5*C20</f>
        <v>70</v>
      </c>
      <c r="G20" s="141"/>
      <c r="H20" s="142"/>
      <c r="I20" s="141">
        <f t="shared" si="15"/>
        <v>3</v>
      </c>
      <c r="J20" s="142">
        <f t="shared" si="16"/>
        <v>210</v>
      </c>
      <c r="K20" s="141"/>
      <c r="L20" s="42"/>
      <c r="M20" s="5"/>
      <c r="N20" s="5"/>
      <c r="O20" s="5"/>
      <c r="P20" s="5"/>
      <c r="Q20" s="5"/>
      <c r="R20" s="143" t="str">
        <f t="shared" si="17"/>
        <v> </v>
      </c>
      <c r="S20" s="143" t="str">
        <f t="shared" si="18"/>
        <v> </v>
      </c>
      <c r="T20" s="143">
        <f t="shared" si="19"/>
        <v>3</v>
      </c>
      <c r="U20" s="143" t="str">
        <f t="shared" si="20"/>
        <v> </v>
      </c>
      <c r="V20" s="143" t="str">
        <f t="shared" si="21"/>
        <v> </v>
      </c>
      <c r="W20" s="5"/>
      <c r="X20" s="5"/>
      <c r="Y20" s="5"/>
      <c r="Z20" s="5"/>
      <c r="AA20" s="5"/>
    </row>
    <row r="21" ht="12.75" customHeight="1">
      <c r="A21" s="136"/>
      <c r="B21" s="144" t="s">
        <v>85</v>
      </c>
      <c r="C21" s="138">
        <v>0.8</v>
      </c>
      <c r="D21" s="139">
        <v>3.0</v>
      </c>
      <c r="E21" s="140">
        <v>2.0</v>
      </c>
      <c r="F21" s="140">
        <f>'1RM'!$C$5*C21</f>
        <v>80</v>
      </c>
      <c r="G21" s="141"/>
      <c r="H21" s="142"/>
      <c r="I21" s="141">
        <f t="shared" si="15"/>
        <v>6</v>
      </c>
      <c r="J21" s="142">
        <f t="shared" si="16"/>
        <v>480</v>
      </c>
      <c r="K21" s="141"/>
      <c r="L21" s="42"/>
      <c r="M21" s="5"/>
      <c r="N21" s="5"/>
      <c r="O21" s="5"/>
      <c r="P21" s="5"/>
      <c r="Q21" s="5"/>
      <c r="R21" s="143" t="str">
        <f t="shared" si="17"/>
        <v> </v>
      </c>
      <c r="S21" s="143" t="str">
        <f t="shared" si="18"/>
        <v> </v>
      </c>
      <c r="T21" s="143" t="str">
        <f t="shared" si="19"/>
        <v> </v>
      </c>
      <c r="U21" s="143">
        <f t="shared" si="20"/>
        <v>6</v>
      </c>
      <c r="V21" s="143" t="str">
        <f t="shared" si="21"/>
        <v> </v>
      </c>
      <c r="W21" s="5"/>
      <c r="X21" s="5"/>
      <c r="Y21" s="5"/>
      <c r="Z21" s="5"/>
      <c r="AA21" s="5"/>
    </row>
    <row r="22" ht="12.75" customHeight="1">
      <c r="A22" s="136"/>
      <c r="B22" s="144" t="s">
        <v>85</v>
      </c>
      <c r="C22" s="138">
        <v>0.85</v>
      </c>
      <c r="D22" s="139">
        <v>2.0</v>
      </c>
      <c r="E22" s="140">
        <v>3.0</v>
      </c>
      <c r="F22" s="140">
        <f>'1RM'!$C$5*C22</f>
        <v>85</v>
      </c>
      <c r="G22" s="141"/>
      <c r="H22" s="142"/>
      <c r="I22" s="141">
        <f t="shared" si="15"/>
        <v>6</v>
      </c>
      <c r="J22" s="142">
        <f t="shared" si="16"/>
        <v>510</v>
      </c>
      <c r="K22" s="141"/>
      <c r="L22" s="42"/>
      <c r="M22" s="5"/>
      <c r="N22" s="5"/>
      <c r="O22" s="5"/>
      <c r="P22" s="5"/>
      <c r="Q22" s="5"/>
      <c r="R22" s="143" t="str">
        <f t="shared" si="17"/>
        <v> </v>
      </c>
      <c r="S22" s="143" t="str">
        <f t="shared" si="18"/>
        <v> </v>
      </c>
      <c r="T22" s="143" t="str">
        <f t="shared" si="19"/>
        <v> </v>
      </c>
      <c r="U22" s="143">
        <f t="shared" si="20"/>
        <v>6</v>
      </c>
      <c r="V22" s="143" t="str">
        <f t="shared" si="21"/>
        <v> </v>
      </c>
      <c r="W22" s="5"/>
      <c r="X22" s="5"/>
      <c r="Y22" s="5"/>
      <c r="Z22" s="5"/>
      <c r="AA22" s="5"/>
    </row>
    <row r="23" ht="12.75" customHeight="1">
      <c r="A23" s="152">
        <v>4.0</v>
      </c>
      <c r="B23" s="153" t="s">
        <v>55</v>
      </c>
      <c r="C23" s="154"/>
      <c r="D23" s="155">
        <v>10.0</v>
      </c>
      <c r="E23" s="156">
        <v>5.0</v>
      </c>
      <c r="F23" s="156"/>
      <c r="G23" s="141"/>
      <c r="H23" s="142"/>
      <c r="I23" s="141"/>
      <c r="J23" s="142"/>
      <c r="K23" s="141"/>
      <c r="L23" s="4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2.75" customHeight="1">
      <c r="A24" s="152">
        <v>5.0</v>
      </c>
      <c r="B24" s="153" t="s">
        <v>56</v>
      </c>
      <c r="C24" s="154"/>
      <c r="D24" s="155">
        <v>8.0</v>
      </c>
      <c r="E24" s="156">
        <v>3.0</v>
      </c>
      <c r="F24" s="156"/>
      <c r="G24" s="141"/>
      <c r="H24" s="142"/>
      <c r="I24" s="141"/>
      <c r="J24" s="142"/>
      <c r="K24" s="141"/>
      <c r="L24" s="42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2.75" customHeight="1">
      <c r="A25" s="33"/>
      <c r="B25" s="134"/>
      <c r="C25" s="133"/>
      <c r="D25" s="42"/>
      <c r="E25" s="42"/>
      <c r="F25" s="42"/>
      <c r="G25" s="141"/>
      <c r="H25" s="142"/>
      <c r="I25" s="141"/>
      <c r="J25" s="142"/>
      <c r="K25" s="141"/>
      <c r="L25" s="42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2.75" customHeight="1">
      <c r="A26" s="33" t="s">
        <v>57</v>
      </c>
      <c r="B26" s="134"/>
      <c r="C26" s="135" t="s">
        <v>20</v>
      </c>
      <c r="D26" s="45" t="s">
        <v>51</v>
      </c>
      <c r="E26" s="45" t="s">
        <v>52</v>
      </c>
      <c r="F26" s="45" t="s">
        <v>53</v>
      </c>
      <c r="G26" s="141"/>
      <c r="H26" s="142"/>
      <c r="I26" s="141"/>
      <c r="J26" s="142"/>
      <c r="K26" s="141"/>
      <c r="L26" s="42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2.75" customHeight="1">
      <c r="A27" s="157">
        <v>1.0</v>
      </c>
      <c r="B27" s="158" t="s">
        <v>67</v>
      </c>
      <c r="C27" s="159">
        <v>0.5</v>
      </c>
      <c r="D27" s="160">
        <v>3.0</v>
      </c>
      <c r="E27" s="161">
        <v>1.0</v>
      </c>
      <c r="F27" s="161">
        <f>'1RM'!$C$6*C27</f>
        <v>50</v>
      </c>
      <c r="G27" s="141"/>
      <c r="H27" s="142"/>
      <c r="I27" s="141"/>
      <c r="J27" s="142"/>
      <c r="K27" s="141">
        <f t="shared" ref="K27:K29" si="22">D27*E27</f>
        <v>3</v>
      </c>
      <c r="L27" s="42">
        <f t="shared" ref="L27:L29" si="23">F27*K27</f>
        <v>150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162">
        <f t="shared" ref="W27:W29" si="24">IF(ISNUMBER(SEARCH("Peso muerto",$B27)),IF($C27&gt;=0.5,IF($C27&lt;0.6,$D27*$E27," ")," ")," ")</f>
        <v>3</v>
      </c>
      <c r="X27" s="162" t="str">
        <f t="shared" ref="X27:X29" si="25">IF(ISNUMBER(SEARCH("Peso muerto",$B27)),IF($C27&gt;=0.6,IF($C27&lt;0.7,$D27*$E27," ")," ")," ")</f>
        <v> </v>
      </c>
      <c r="Y27" s="162" t="str">
        <f t="shared" ref="Y27:Y29" si="26">IF(ISNUMBER(SEARCH("Peso muerto",$B27)),IF($C27&gt;=0.7,IF($C27&lt;0.8,$D27*$E27," ")," ")," ")</f>
        <v> </v>
      </c>
      <c r="Z27" s="162" t="str">
        <f t="shared" ref="Z27:Z29" si="27">IF(ISNUMBER(SEARCH("Peso muerto",$B27)),IF($C27&gt;=0.8,IF($C27&lt;0.9,$D27*$E27," ")," ")," ")</f>
        <v> </v>
      </c>
      <c r="AA27" s="162" t="str">
        <f t="shared" ref="AA27:AA29" si="28">IF(ISNUMBER(SEARCH("Peso muerto",$B27)),IF($C27&gt;=0.9,$D27*$E27," ")," ")</f>
        <v> </v>
      </c>
    </row>
    <row r="28" ht="12.75" customHeight="1">
      <c r="A28" s="157"/>
      <c r="B28" s="163" t="s">
        <v>67</v>
      </c>
      <c r="C28" s="159">
        <v>0.6</v>
      </c>
      <c r="D28" s="160">
        <v>3.0</v>
      </c>
      <c r="E28" s="161">
        <v>1.0</v>
      </c>
      <c r="F28" s="161">
        <f>'1RM'!$C$6*C28</f>
        <v>60</v>
      </c>
      <c r="G28" s="141"/>
      <c r="H28" s="142"/>
      <c r="I28" s="141"/>
      <c r="J28" s="142"/>
      <c r="K28" s="141">
        <f t="shared" si="22"/>
        <v>3</v>
      </c>
      <c r="L28" s="42">
        <f t="shared" si="23"/>
        <v>180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162" t="str">
        <f t="shared" si="24"/>
        <v> </v>
      </c>
      <c r="X28" s="162">
        <f t="shared" si="25"/>
        <v>3</v>
      </c>
      <c r="Y28" s="162" t="str">
        <f t="shared" si="26"/>
        <v> </v>
      </c>
      <c r="Z28" s="162" t="str">
        <f t="shared" si="27"/>
        <v> </v>
      </c>
      <c r="AA28" s="162" t="str">
        <f t="shared" si="28"/>
        <v> </v>
      </c>
    </row>
    <row r="29" ht="12.75" customHeight="1">
      <c r="A29" s="157"/>
      <c r="B29" s="163" t="s">
        <v>67</v>
      </c>
      <c r="C29" s="159">
        <v>0.7</v>
      </c>
      <c r="D29" s="160">
        <v>2.0</v>
      </c>
      <c r="E29" s="161">
        <v>4.0</v>
      </c>
      <c r="F29" s="161">
        <f>'1RM'!$C$6*C29</f>
        <v>70</v>
      </c>
      <c r="G29" s="141"/>
      <c r="H29" s="142"/>
      <c r="I29" s="141"/>
      <c r="J29" s="142"/>
      <c r="K29" s="141">
        <f t="shared" si="22"/>
        <v>8</v>
      </c>
      <c r="L29" s="42">
        <f t="shared" si="23"/>
        <v>560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162" t="str">
        <f t="shared" si="24"/>
        <v> </v>
      </c>
      <c r="X29" s="162" t="str">
        <f t="shared" si="25"/>
        <v> </v>
      </c>
      <c r="Y29" s="162">
        <f t="shared" si="26"/>
        <v>8</v>
      </c>
      <c r="Z29" s="162" t="str">
        <f t="shared" si="27"/>
        <v> </v>
      </c>
      <c r="AA29" s="162" t="str">
        <f t="shared" si="28"/>
        <v> </v>
      </c>
    </row>
    <row r="30" ht="12.75" customHeight="1">
      <c r="A30" s="136">
        <v>2.0</v>
      </c>
      <c r="B30" s="137" t="s">
        <v>86</v>
      </c>
      <c r="C30" s="138">
        <v>0.5</v>
      </c>
      <c r="D30" s="139">
        <v>3.0</v>
      </c>
      <c r="E30" s="140">
        <v>1.0</v>
      </c>
      <c r="F30" s="140">
        <f>'1RM'!$C$5*C30</f>
        <v>50</v>
      </c>
      <c r="G30" s="141"/>
      <c r="H30" s="142"/>
      <c r="I30" s="141">
        <f t="shared" ref="I30:I33" si="29">D30*E30</f>
        <v>3</v>
      </c>
      <c r="J30" s="142">
        <f t="shared" ref="J30:J33" si="30">F30*I30</f>
        <v>150</v>
      </c>
      <c r="K30" s="141"/>
      <c r="L30" s="42"/>
      <c r="M30" s="5"/>
      <c r="N30" s="5"/>
      <c r="O30" s="5"/>
      <c r="P30" s="5"/>
      <c r="Q30" s="5"/>
      <c r="R30" s="143">
        <f t="shared" ref="R30:R33" si="31">IF(ISNUMBER(SEARCH("Press de banca",$B30)),IF($C30&gt;=0.5,IF($C30&lt;0.6,$D30*$E30," ")," ")," ")</f>
        <v>3</v>
      </c>
      <c r="S30" s="143" t="str">
        <f t="shared" ref="S30:S33" si="32">IF(ISNUMBER(SEARCH("Press de banca",$B30)),IF($C30&gt;=0.6,IF($C30&lt;0.7,$D30*$E30," ")," ")," ")</f>
        <v> </v>
      </c>
      <c r="T30" s="143" t="str">
        <f t="shared" ref="T30:T33" si="33">IF(ISNUMBER(SEARCH("Press de banca",$B30)),IF($C30&gt;=0.7,IF($C30&lt;0.8,$D30*$E30," ")," ")," ")</f>
        <v> </v>
      </c>
      <c r="U30" s="143" t="str">
        <f t="shared" ref="U30:U33" si="34">IF(ISNUMBER(SEARCH("Press de banca",$B30)),IF($C30&gt;=0.8,IF($C30&lt;0.9,$D30*$E30," ")," ")," ")</f>
        <v> </v>
      </c>
      <c r="V30" s="143" t="str">
        <f t="shared" ref="V30:V33" si="35">IF(ISNUMBER(SEARCH("Press de banca",$B30)),IF($C30&gt;=0.9,$D30*$E30," ")," ")</f>
        <v> </v>
      </c>
      <c r="W30" s="5"/>
      <c r="X30" s="5"/>
      <c r="Y30" s="5"/>
      <c r="Z30" s="5"/>
      <c r="AA30" s="5"/>
    </row>
    <row r="31" ht="12.75" customHeight="1">
      <c r="A31" s="136"/>
      <c r="B31" s="144" t="s">
        <v>86</v>
      </c>
      <c r="C31" s="138">
        <v>0.6</v>
      </c>
      <c r="D31" s="139">
        <v>3.0</v>
      </c>
      <c r="E31" s="140">
        <v>1.0</v>
      </c>
      <c r="F31" s="140">
        <f>'1RM'!$C$5*C31</f>
        <v>60</v>
      </c>
      <c r="G31" s="141"/>
      <c r="H31" s="142"/>
      <c r="I31" s="141">
        <f t="shared" si="29"/>
        <v>3</v>
      </c>
      <c r="J31" s="142">
        <f t="shared" si="30"/>
        <v>180</v>
      </c>
      <c r="K31" s="141"/>
      <c r="L31" s="42"/>
      <c r="M31" s="5"/>
      <c r="N31" s="5"/>
      <c r="O31" s="5"/>
      <c r="P31" s="5"/>
      <c r="Q31" s="5"/>
      <c r="R31" s="143" t="str">
        <f t="shared" si="31"/>
        <v> </v>
      </c>
      <c r="S31" s="143">
        <f t="shared" si="32"/>
        <v>3</v>
      </c>
      <c r="T31" s="143" t="str">
        <f t="shared" si="33"/>
        <v> </v>
      </c>
      <c r="U31" s="143" t="str">
        <f t="shared" si="34"/>
        <v> </v>
      </c>
      <c r="V31" s="143" t="str">
        <f t="shared" si="35"/>
        <v> </v>
      </c>
      <c r="W31" s="5"/>
      <c r="X31" s="5"/>
      <c r="Y31" s="5"/>
      <c r="Z31" s="5"/>
      <c r="AA31" s="5"/>
    </row>
    <row r="32" ht="12.75" customHeight="1">
      <c r="A32" s="136"/>
      <c r="B32" s="144" t="s">
        <v>86</v>
      </c>
      <c r="C32" s="138">
        <v>0.7</v>
      </c>
      <c r="D32" s="139">
        <v>3.0</v>
      </c>
      <c r="E32" s="140">
        <v>1.0</v>
      </c>
      <c r="F32" s="140">
        <f>'1RM'!$C$5*C32</f>
        <v>70</v>
      </c>
      <c r="G32" s="141"/>
      <c r="H32" s="142"/>
      <c r="I32" s="141">
        <f t="shared" si="29"/>
        <v>3</v>
      </c>
      <c r="J32" s="142">
        <f t="shared" si="30"/>
        <v>210</v>
      </c>
      <c r="K32" s="141"/>
      <c r="L32" s="42"/>
      <c r="M32" s="5"/>
      <c r="N32" s="5"/>
      <c r="O32" s="5"/>
      <c r="P32" s="5"/>
      <c r="Q32" s="5"/>
      <c r="R32" s="143" t="str">
        <f t="shared" si="31"/>
        <v> </v>
      </c>
      <c r="S32" s="143" t="str">
        <f t="shared" si="32"/>
        <v> </v>
      </c>
      <c r="T32" s="143">
        <f t="shared" si="33"/>
        <v>3</v>
      </c>
      <c r="U32" s="143" t="str">
        <f t="shared" si="34"/>
        <v> </v>
      </c>
      <c r="V32" s="143" t="str">
        <f t="shared" si="35"/>
        <v> </v>
      </c>
      <c r="W32" s="5"/>
      <c r="X32" s="5"/>
      <c r="Y32" s="5"/>
      <c r="Z32" s="5"/>
      <c r="AA32" s="5"/>
    </row>
    <row r="33" ht="12.75" customHeight="1">
      <c r="A33" s="136"/>
      <c r="B33" s="144" t="s">
        <v>86</v>
      </c>
      <c r="C33" s="138">
        <v>0.75</v>
      </c>
      <c r="D33" s="139">
        <v>2.0</v>
      </c>
      <c r="E33" s="140">
        <v>4.0</v>
      </c>
      <c r="F33" s="140">
        <f>'1RM'!$C$5*C33</f>
        <v>75</v>
      </c>
      <c r="G33" s="141"/>
      <c r="H33" s="142"/>
      <c r="I33" s="141">
        <f t="shared" si="29"/>
        <v>8</v>
      </c>
      <c r="J33" s="142">
        <f t="shared" si="30"/>
        <v>600</v>
      </c>
      <c r="K33" s="141"/>
      <c r="L33" s="42"/>
      <c r="M33" s="5"/>
      <c r="N33" s="5"/>
      <c r="O33" s="5"/>
      <c r="P33" s="5"/>
      <c r="Q33" s="5"/>
      <c r="R33" s="143" t="str">
        <f t="shared" si="31"/>
        <v> </v>
      </c>
      <c r="S33" s="143" t="str">
        <f t="shared" si="32"/>
        <v> </v>
      </c>
      <c r="T33" s="143">
        <f t="shared" si="33"/>
        <v>8</v>
      </c>
      <c r="U33" s="143" t="str">
        <f t="shared" si="34"/>
        <v> </v>
      </c>
      <c r="V33" s="143" t="str">
        <f t="shared" si="35"/>
        <v> </v>
      </c>
      <c r="W33" s="5"/>
      <c r="X33" s="5"/>
      <c r="Y33" s="5"/>
      <c r="Z33" s="5"/>
      <c r="AA33" s="5"/>
    </row>
    <row r="34" ht="12.75" customHeight="1">
      <c r="A34" s="157">
        <v>3.0</v>
      </c>
      <c r="B34" s="158" t="s">
        <v>68</v>
      </c>
      <c r="C34" s="159">
        <v>0.6</v>
      </c>
      <c r="D34" s="160">
        <v>3.0</v>
      </c>
      <c r="E34" s="161">
        <v>1.0</v>
      </c>
      <c r="F34" s="161">
        <f>'1RM'!$C$6*C34</f>
        <v>60</v>
      </c>
      <c r="G34" s="141"/>
      <c r="H34" s="142"/>
      <c r="I34" s="141"/>
      <c r="J34" s="142"/>
      <c r="K34" s="141">
        <f t="shared" ref="K34:K37" si="36">D34*E34</f>
        <v>3</v>
      </c>
      <c r="L34" s="42">
        <f t="shared" ref="L34:L37" si="37">F34*K34</f>
        <v>180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162" t="str">
        <f t="shared" ref="W34:W37" si="38">IF(ISNUMBER(SEARCH("Peso muerto",$B34)),IF($C34&gt;=0.5,IF($C34&lt;0.6,$D34*$E34," ")," ")," ")</f>
        <v> </v>
      </c>
      <c r="X34" s="162">
        <f t="shared" ref="X34:X37" si="39">IF(ISNUMBER(SEARCH("Peso muerto",$B34)),IF($C34&gt;=0.6,IF($C34&lt;0.7,$D34*$E34," ")," ")," ")</f>
        <v>3</v>
      </c>
      <c r="Y34" s="162" t="str">
        <f t="shared" ref="Y34:Y37" si="40">IF(ISNUMBER(SEARCH("Peso muerto",$B34)),IF($C34&gt;=0.7,IF($C34&lt;0.8,$D34*$E34," ")," ")," ")</f>
        <v> </v>
      </c>
      <c r="Z34" s="162" t="str">
        <f t="shared" ref="Z34:Z37" si="41">IF(ISNUMBER(SEARCH("Peso muerto",$B34)),IF($C34&gt;=0.8,IF($C34&lt;0.9,$D34*$E34," ")," ")," ")</f>
        <v> </v>
      </c>
      <c r="AA34" s="162" t="str">
        <f t="shared" ref="AA34:AA37" si="42">IF(ISNUMBER(SEARCH("Peso muerto",$B34)),IF($C34&gt;=0.9,$D34*$E34," ")," ")</f>
        <v> </v>
      </c>
    </row>
    <row r="35" ht="12.75" customHeight="1">
      <c r="A35" s="157"/>
      <c r="B35" s="163" t="s">
        <v>68</v>
      </c>
      <c r="C35" s="159">
        <v>0.7</v>
      </c>
      <c r="D35" s="160">
        <v>3.0</v>
      </c>
      <c r="E35" s="161">
        <v>1.0</v>
      </c>
      <c r="F35" s="161">
        <f>'1RM'!$C$6*C35</f>
        <v>70</v>
      </c>
      <c r="G35" s="141"/>
      <c r="H35" s="142"/>
      <c r="I35" s="141"/>
      <c r="J35" s="142"/>
      <c r="K35" s="141">
        <f t="shared" si="36"/>
        <v>3</v>
      </c>
      <c r="L35" s="42">
        <f t="shared" si="37"/>
        <v>210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162" t="str">
        <f t="shared" si="38"/>
        <v> </v>
      </c>
      <c r="X35" s="162" t="str">
        <f t="shared" si="39"/>
        <v> </v>
      </c>
      <c r="Y35" s="162">
        <f t="shared" si="40"/>
        <v>3</v>
      </c>
      <c r="Z35" s="162" t="str">
        <f t="shared" si="41"/>
        <v> </v>
      </c>
      <c r="AA35" s="162" t="str">
        <f t="shared" si="42"/>
        <v> </v>
      </c>
    </row>
    <row r="36" ht="12.75" customHeight="1">
      <c r="A36" s="157"/>
      <c r="B36" s="163" t="s">
        <v>68</v>
      </c>
      <c r="C36" s="159">
        <v>0.8</v>
      </c>
      <c r="D36" s="160">
        <v>3.0</v>
      </c>
      <c r="E36" s="161">
        <v>2.0</v>
      </c>
      <c r="F36" s="161">
        <f>'1RM'!$C$6*C36</f>
        <v>80</v>
      </c>
      <c r="G36" s="141"/>
      <c r="H36" s="142"/>
      <c r="I36" s="141"/>
      <c r="J36" s="142"/>
      <c r="K36" s="141">
        <f t="shared" si="36"/>
        <v>6</v>
      </c>
      <c r="L36" s="42">
        <f t="shared" si="37"/>
        <v>480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162" t="str">
        <f t="shared" si="38"/>
        <v> </v>
      </c>
      <c r="X36" s="162" t="str">
        <f t="shared" si="39"/>
        <v> </v>
      </c>
      <c r="Y36" s="162" t="str">
        <f t="shared" si="40"/>
        <v> </v>
      </c>
      <c r="Z36" s="162">
        <f t="shared" si="41"/>
        <v>6</v>
      </c>
      <c r="AA36" s="162" t="str">
        <f t="shared" si="42"/>
        <v> </v>
      </c>
    </row>
    <row r="37" ht="12.75" customHeight="1">
      <c r="A37" s="157"/>
      <c r="B37" s="163" t="s">
        <v>68</v>
      </c>
      <c r="C37" s="159">
        <v>0.85</v>
      </c>
      <c r="D37" s="160">
        <v>3.0</v>
      </c>
      <c r="E37" s="161">
        <v>3.0</v>
      </c>
      <c r="F37" s="161">
        <f>'1RM'!$C$6*C37</f>
        <v>85</v>
      </c>
      <c r="G37" s="141"/>
      <c r="H37" s="142"/>
      <c r="I37" s="141"/>
      <c r="J37" s="142"/>
      <c r="K37" s="141">
        <f t="shared" si="36"/>
        <v>9</v>
      </c>
      <c r="L37" s="42">
        <f t="shared" si="37"/>
        <v>765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162" t="str">
        <f t="shared" si="38"/>
        <v> </v>
      </c>
      <c r="X37" s="162" t="str">
        <f t="shared" si="39"/>
        <v> </v>
      </c>
      <c r="Y37" s="162" t="str">
        <f t="shared" si="40"/>
        <v> </v>
      </c>
      <c r="Z37" s="162">
        <f t="shared" si="41"/>
        <v>9</v>
      </c>
      <c r="AA37" s="162" t="str">
        <f t="shared" si="42"/>
        <v> </v>
      </c>
    </row>
    <row r="38" ht="12.75" customHeight="1">
      <c r="A38" s="152">
        <v>4.0</v>
      </c>
      <c r="B38" s="153" t="s">
        <v>60</v>
      </c>
      <c r="C38" s="154"/>
      <c r="D38" s="156">
        <v>10.0</v>
      </c>
      <c r="E38" s="156">
        <v>5.0</v>
      </c>
      <c r="F38" s="156"/>
      <c r="G38" s="141"/>
      <c r="H38" s="142"/>
      <c r="I38" s="141"/>
      <c r="J38" s="142"/>
      <c r="K38" s="141"/>
      <c r="L38" s="42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2.75" customHeight="1">
      <c r="A39" s="152">
        <v>5.0</v>
      </c>
      <c r="B39" s="153" t="s">
        <v>69</v>
      </c>
      <c r="C39" s="154"/>
      <c r="D39" s="156">
        <v>10.0</v>
      </c>
      <c r="E39" s="156">
        <v>5.0</v>
      </c>
      <c r="F39" s="156"/>
      <c r="G39" s="141"/>
      <c r="H39" s="142"/>
      <c r="I39" s="141"/>
      <c r="J39" s="142"/>
      <c r="K39" s="141"/>
      <c r="L39" s="4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2.75" customHeight="1">
      <c r="A40" s="152">
        <v>6.0</v>
      </c>
      <c r="B40" s="153" t="s">
        <v>61</v>
      </c>
      <c r="C40" s="154"/>
      <c r="D40" s="155">
        <v>5.0</v>
      </c>
      <c r="E40" s="156">
        <v>5.0</v>
      </c>
      <c r="F40" s="156"/>
      <c r="G40" s="141"/>
      <c r="H40" s="142"/>
      <c r="I40" s="141"/>
      <c r="J40" s="142"/>
      <c r="K40" s="141"/>
      <c r="L40" s="42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2.75" customHeight="1">
      <c r="A41" s="33"/>
      <c r="B41" s="134"/>
      <c r="C41" s="133"/>
      <c r="D41" s="42"/>
      <c r="E41" s="42"/>
      <c r="F41" s="42"/>
      <c r="G41" s="141"/>
      <c r="H41" s="142"/>
      <c r="I41" s="141"/>
      <c r="J41" s="142"/>
      <c r="K41" s="141"/>
      <c r="L41" s="42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2.75" customHeight="1">
      <c r="A42" s="33" t="s">
        <v>62</v>
      </c>
      <c r="B42" s="134"/>
      <c r="C42" s="135" t="s">
        <v>20</v>
      </c>
      <c r="D42" s="45" t="s">
        <v>51</v>
      </c>
      <c r="E42" s="45" t="s">
        <v>52</v>
      </c>
      <c r="F42" s="45" t="s">
        <v>53</v>
      </c>
      <c r="G42" s="141"/>
      <c r="H42" s="142"/>
      <c r="I42" s="141"/>
      <c r="J42" s="142"/>
      <c r="K42" s="141"/>
      <c r="L42" s="42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2.75" customHeight="1">
      <c r="A43" s="136">
        <v>1.0</v>
      </c>
      <c r="B43" s="137" t="s">
        <v>5</v>
      </c>
      <c r="C43" s="138">
        <v>0.55</v>
      </c>
      <c r="D43" s="139">
        <v>5.0</v>
      </c>
      <c r="E43" s="140">
        <v>1.0</v>
      </c>
      <c r="F43" s="140">
        <f>'1RM'!$C$5*C43</f>
        <v>55</v>
      </c>
      <c r="G43" s="141"/>
      <c r="H43" s="142"/>
      <c r="I43" s="141">
        <f t="shared" ref="I43:I46" si="43">D43*E43</f>
        <v>5</v>
      </c>
      <c r="J43" s="142">
        <f t="shared" ref="J43:J46" si="44">F43*I43</f>
        <v>275</v>
      </c>
      <c r="K43" s="141"/>
      <c r="L43" s="42"/>
      <c r="M43" s="5"/>
      <c r="N43" s="5"/>
      <c r="O43" s="5"/>
      <c r="P43" s="5"/>
      <c r="Q43" s="5"/>
      <c r="R43" s="143">
        <f t="shared" ref="R43:R46" si="45">IF(ISNUMBER(SEARCH("Press de banca",$B43)),IF($C43&gt;=0.5,IF($C43&lt;0.6,$D43*$E43," ")," ")," ")</f>
        <v>5</v>
      </c>
      <c r="S43" s="143" t="str">
        <f t="shared" ref="S43:S46" si="46">IF(ISNUMBER(SEARCH("Press de banca",$B43)),IF($C43&gt;=0.6,IF($C43&lt;0.7,$D43*$E43," ")," ")," ")</f>
        <v> </v>
      </c>
      <c r="T43" s="143" t="str">
        <f t="shared" ref="T43:T46" si="47">IF(ISNUMBER(SEARCH("Press de banca",$B43)),IF($C43&gt;=0.7,IF($C43&lt;0.8,$D43*$E43," ")," ")," ")</f>
        <v> </v>
      </c>
      <c r="U43" s="143" t="str">
        <f t="shared" ref="U43:U46" si="48">IF(ISNUMBER(SEARCH("Press de banca",$B43)),IF($C43&gt;=0.8,IF($C43&lt;0.9,$D43*$E43," ")," ")," ")</f>
        <v> </v>
      </c>
      <c r="V43" s="143" t="str">
        <f t="shared" ref="V43:V46" si="49">IF(ISNUMBER(SEARCH("Press de banca",$B43)),IF($C43&gt;=0.9,$D43*$E43," ")," ")</f>
        <v> </v>
      </c>
      <c r="W43" s="5"/>
      <c r="X43" s="5"/>
      <c r="Y43" s="5"/>
      <c r="Z43" s="5"/>
      <c r="AA43" s="5"/>
    </row>
    <row r="44" ht="12.75" customHeight="1">
      <c r="A44" s="136"/>
      <c r="B44" s="144" t="s">
        <v>5</v>
      </c>
      <c r="C44" s="138">
        <v>0.65</v>
      </c>
      <c r="D44" s="139">
        <v>4.0</v>
      </c>
      <c r="E44" s="140">
        <v>1.0</v>
      </c>
      <c r="F44" s="140">
        <f>'1RM'!$C$5*C44</f>
        <v>65</v>
      </c>
      <c r="G44" s="141"/>
      <c r="H44" s="142"/>
      <c r="I44" s="141">
        <f t="shared" si="43"/>
        <v>4</v>
      </c>
      <c r="J44" s="142">
        <f t="shared" si="44"/>
        <v>260</v>
      </c>
      <c r="K44" s="141"/>
      <c r="L44" s="42"/>
      <c r="M44" s="5"/>
      <c r="N44" s="5"/>
      <c r="O44" s="5"/>
      <c r="P44" s="5"/>
      <c r="Q44" s="5"/>
      <c r="R44" s="143" t="str">
        <f t="shared" si="45"/>
        <v> </v>
      </c>
      <c r="S44" s="143">
        <f t="shared" si="46"/>
        <v>4</v>
      </c>
      <c r="T44" s="143" t="str">
        <f t="shared" si="47"/>
        <v> </v>
      </c>
      <c r="U44" s="143" t="str">
        <f t="shared" si="48"/>
        <v> </v>
      </c>
      <c r="V44" s="143" t="str">
        <f t="shared" si="49"/>
        <v> </v>
      </c>
      <c r="W44" s="5"/>
      <c r="X44" s="5"/>
      <c r="Y44" s="5"/>
      <c r="Z44" s="5"/>
      <c r="AA44" s="5"/>
    </row>
    <row r="45" ht="12.75" customHeight="1">
      <c r="A45" s="136"/>
      <c r="B45" s="144" t="s">
        <v>5</v>
      </c>
      <c r="C45" s="138">
        <v>0.75</v>
      </c>
      <c r="D45" s="139">
        <v>3.0</v>
      </c>
      <c r="E45" s="140">
        <v>1.0</v>
      </c>
      <c r="F45" s="140">
        <f>'1RM'!$C$5*C45</f>
        <v>75</v>
      </c>
      <c r="G45" s="141"/>
      <c r="H45" s="142"/>
      <c r="I45" s="141">
        <f t="shared" si="43"/>
        <v>3</v>
      </c>
      <c r="J45" s="142">
        <f t="shared" si="44"/>
        <v>225</v>
      </c>
      <c r="K45" s="141"/>
      <c r="L45" s="42"/>
      <c r="M45" s="5"/>
      <c r="N45" s="5"/>
      <c r="O45" s="5"/>
      <c r="P45" s="5"/>
      <c r="Q45" s="5"/>
      <c r="R45" s="143" t="str">
        <f t="shared" si="45"/>
        <v> </v>
      </c>
      <c r="S45" s="143" t="str">
        <f t="shared" si="46"/>
        <v> </v>
      </c>
      <c r="T45" s="143">
        <f t="shared" si="47"/>
        <v>3</v>
      </c>
      <c r="U45" s="143" t="str">
        <f t="shared" si="48"/>
        <v> </v>
      </c>
      <c r="V45" s="143" t="str">
        <f t="shared" si="49"/>
        <v> </v>
      </c>
      <c r="W45" s="5"/>
      <c r="X45" s="5"/>
      <c r="Y45" s="5"/>
      <c r="Z45" s="5"/>
      <c r="AA45" s="5"/>
    </row>
    <row r="46" ht="12.75" customHeight="1">
      <c r="A46" s="136"/>
      <c r="B46" s="144" t="s">
        <v>5</v>
      </c>
      <c r="C46" s="138">
        <v>0.85</v>
      </c>
      <c r="D46" s="139">
        <v>2.0</v>
      </c>
      <c r="E46" s="140">
        <v>4.0</v>
      </c>
      <c r="F46" s="140">
        <f>'1RM'!$C$5*C46</f>
        <v>85</v>
      </c>
      <c r="G46" s="141"/>
      <c r="H46" s="142"/>
      <c r="I46" s="141">
        <f t="shared" si="43"/>
        <v>8</v>
      </c>
      <c r="J46" s="142">
        <f t="shared" si="44"/>
        <v>680</v>
      </c>
      <c r="K46" s="141"/>
      <c r="L46" s="42"/>
      <c r="M46" s="5"/>
      <c r="N46" s="5"/>
      <c r="O46" s="5"/>
      <c r="P46" s="5"/>
      <c r="Q46" s="5"/>
      <c r="R46" s="143" t="str">
        <f t="shared" si="45"/>
        <v> </v>
      </c>
      <c r="S46" s="143" t="str">
        <f t="shared" si="46"/>
        <v> </v>
      </c>
      <c r="T46" s="143" t="str">
        <f t="shared" si="47"/>
        <v> </v>
      </c>
      <c r="U46" s="143">
        <f t="shared" si="48"/>
        <v>8</v>
      </c>
      <c r="V46" s="143" t="str">
        <f t="shared" si="49"/>
        <v> </v>
      </c>
      <c r="W46" s="5"/>
      <c r="X46" s="5"/>
      <c r="Y46" s="5"/>
      <c r="Z46" s="5"/>
      <c r="AA46" s="5"/>
    </row>
    <row r="47" ht="12.75" customHeight="1">
      <c r="A47" s="145">
        <v>2.0</v>
      </c>
      <c r="B47" s="146" t="s">
        <v>4</v>
      </c>
      <c r="C47" s="147">
        <v>0.5</v>
      </c>
      <c r="D47" s="148">
        <v>5.0</v>
      </c>
      <c r="E47" s="149">
        <v>1.0</v>
      </c>
      <c r="F47" s="149">
        <f>'1RM'!$C$4*C47</f>
        <v>50</v>
      </c>
      <c r="G47" s="141">
        <f t="shared" ref="G47:G50" si="50">D47*E47</f>
        <v>5</v>
      </c>
      <c r="H47" s="142">
        <f t="shared" ref="H47:H50" si="51">F47*G47</f>
        <v>250</v>
      </c>
      <c r="I47" s="141"/>
      <c r="J47" s="142"/>
      <c r="K47" s="141"/>
      <c r="L47" s="42"/>
      <c r="M47" s="150">
        <f t="shared" ref="M47:M50" si="52">IF(ISNUMBER(SEARCH("Sentadilla",$B47)),IF($C47&gt;=0.5,IF($C47&lt;0.6,$D47*$E47," ")," ")," ")</f>
        <v>5</v>
      </c>
      <c r="N47" s="150" t="str">
        <f t="shared" ref="N47:N50" si="53">IF(ISNUMBER(SEARCH("Sentadilla",$B47)),IF($C47&gt;=0.6,IF($C47&lt;0.7,$D47*$E47," ")," ")," ")</f>
        <v> </v>
      </c>
      <c r="O47" s="150" t="str">
        <f t="shared" ref="O47:O50" si="54">IF(ISNUMBER(SEARCH("Sentadilla",$B47)),IF($C47&gt;=0.7,IF($C47&lt;0.8,$D47*$E47," ")," ")," ")</f>
        <v> </v>
      </c>
      <c r="P47" s="150" t="str">
        <f t="shared" ref="P47:P50" si="55">IF(ISNUMBER(SEARCH("Sentadilla",$B47)),IF($C47&gt;=0.8,IF($C47&lt;0.9,$D47*$E47," ")," ")," ")</f>
        <v> </v>
      </c>
      <c r="Q47" s="150" t="str">
        <f t="shared" ref="Q47:Q50" si="56">IF(ISNUMBER(SEARCH("Sentadilla",$B47)),IF($C47&gt;=0.9,$D47*$E47," ")," ")</f>
        <v> </v>
      </c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2.75" customHeight="1">
      <c r="A48" s="145"/>
      <c r="B48" s="151" t="s">
        <v>4</v>
      </c>
      <c r="C48" s="147">
        <v>0.6</v>
      </c>
      <c r="D48" s="148">
        <v>4.0</v>
      </c>
      <c r="E48" s="149">
        <v>1.0</v>
      </c>
      <c r="F48" s="149">
        <f>'1RM'!$C$4*C48</f>
        <v>60</v>
      </c>
      <c r="G48" s="141">
        <f t="shared" si="50"/>
        <v>4</v>
      </c>
      <c r="H48" s="142">
        <f t="shared" si="51"/>
        <v>240</v>
      </c>
      <c r="I48" s="141"/>
      <c r="J48" s="142"/>
      <c r="K48" s="141"/>
      <c r="L48" s="42"/>
      <c r="M48" s="150" t="str">
        <f t="shared" si="52"/>
        <v> </v>
      </c>
      <c r="N48" s="150">
        <f t="shared" si="53"/>
        <v>4</v>
      </c>
      <c r="O48" s="150" t="str">
        <f t="shared" si="54"/>
        <v> </v>
      </c>
      <c r="P48" s="150" t="str">
        <f t="shared" si="55"/>
        <v> </v>
      </c>
      <c r="Q48" s="150" t="str">
        <f t="shared" si="56"/>
        <v> </v>
      </c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2.75" customHeight="1">
      <c r="A49" s="145"/>
      <c r="B49" s="151" t="s">
        <v>4</v>
      </c>
      <c r="C49" s="147">
        <v>0.7</v>
      </c>
      <c r="D49" s="148">
        <v>3.0</v>
      </c>
      <c r="E49" s="149">
        <v>1.0</v>
      </c>
      <c r="F49" s="149">
        <f>'1RM'!$C$4*C49</f>
        <v>70</v>
      </c>
      <c r="G49" s="141">
        <f t="shared" si="50"/>
        <v>3</v>
      </c>
      <c r="H49" s="142">
        <f t="shared" si="51"/>
        <v>210</v>
      </c>
      <c r="I49" s="141"/>
      <c r="J49" s="142"/>
      <c r="K49" s="141"/>
      <c r="L49" s="42"/>
      <c r="M49" s="150" t="str">
        <f t="shared" si="52"/>
        <v> </v>
      </c>
      <c r="N49" s="150" t="str">
        <f t="shared" si="53"/>
        <v> </v>
      </c>
      <c r="O49" s="150">
        <f t="shared" si="54"/>
        <v>3</v>
      </c>
      <c r="P49" s="150" t="str">
        <f t="shared" si="55"/>
        <v> </v>
      </c>
      <c r="Q49" s="150" t="str">
        <f t="shared" si="56"/>
        <v> </v>
      </c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2.75" customHeight="1">
      <c r="A50" s="145"/>
      <c r="B50" s="151" t="s">
        <v>4</v>
      </c>
      <c r="C50" s="147">
        <v>0.8</v>
      </c>
      <c r="D50" s="148">
        <v>5.0</v>
      </c>
      <c r="E50" s="149">
        <v>4.0</v>
      </c>
      <c r="F50" s="149">
        <f>'1RM'!$C$4*C50</f>
        <v>80</v>
      </c>
      <c r="G50" s="141">
        <f t="shared" si="50"/>
        <v>20</v>
      </c>
      <c r="H50" s="142">
        <f t="shared" si="51"/>
        <v>1600</v>
      </c>
      <c r="I50" s="141"/>
      <c r="J50" s="142"/>
      <c r="K50" s="141"/>
      <c r="L50" s="42"/>
      <c r="M50" s="150" t="str">
        <f t="shared" si="52"/>
        <v> </v>
      </c>
      <c r="N50" s="150" t="str">
        <f t="shared" si="53"/>
        <v> </v>
      </c>
      <c r="O50" s="150" t="str">
        <f t="shared" si="54"/>
        <v> </v>
      </c>
      <c r="P50" s="150">
        <f t="shared" si="55"/>
        <v>20</v>
      </c>
      <c r="Q50" s="150" t="str">
        <f t="shared" si="56"/>
        <v> </v>
      </c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2.75" customHeight="1">
      <c r="A51" s="136">
        <v>3.0</v>
      </c>
      <c r="B51" s="137" t="s">
        <v>5</v>
      </c>
      <c r="C51" s="138">
        <v>0.5</v>
      </c>
      <c r="D51" s="139">
        <v>4.0</v>
      </c>
      <c r="E51" s="140">
        <v>1.0</v>
      </c>
      <c r="F51" s="140">
        <f>'1RM'!$C$5*C51</f>
        <v>50</v>
      </c>
      <c r="G51" s="141"/>
      <c r="H51" s="142"/>
      <c r="I51" s="141">
        <f t="shared" ref="I51:I53" si="57">D51*E51</f>
        <v>4</v>
      </c>
      <c r="J51" s="142">
        <f t="shared" ref="J51:J53" si="58">F51*I51</f>
        <v>200</v>
      </c>
      <c r="K51" s="141"/>
      <c r="L51" s="42"/>
      <c r="M51" s="5"/>
      <c r="N51" s="5"/>
      <c r="O51" s="5"/>
      <c r="P51" s="5"/>
      <c r="Q51" s="5"/>
      <c r="R51" s="143">
        <f t="shared" ref="R51:R53" si="59">IF(ISNUMBER(SEARCH("Press de banca",$B51)),IF($C51&gt;=0.5,IF($C51&lt;0.6,$D51*$E51," ")," ")," ")</f>
        <v>4</v>
      </c>
      <c r="S51" s="143" t="str">
        <f t="shared" ref="S51:S53" si="60">IF(ISNUMBER(SEARCH("Press de banca",$B51)),IF($C51&gt;=0.6,IF($C51&lt;0.7,$D51*$E51," ")," ")," ")</f>
        <v> </v>
      </c>
      <c r="T51" s="143" t="str">
        <f t="shared" ref="T51:T53" si="61">IF(ISNUMBER(SEARCH("Press de banca",$B51)),IF($C51&gt;=0.7,IF($C51&lt;0.8,$D51*$E51," ")," ")," ")</f>
        <v> </v>
      </c>
      <c r="U51" s="143" t="str">
        <f t="shared" ref="U51:U53" si="62">IF(ISNUMBER(SEARCH("Press de banca",$B51)),IF($C51&gt;=0.8,IF($C51&lt;0.9,$D51*$E51," ")," ")," ")</f>
        <v> </v>
      </c>
      <c r="V51" s="143" t="str">
        <f t="shared" ref="V51:V53" si="63">IF(ISNUMBER(SEARCH("Press de banca",$B51)),IF($C51&gt;=0.9,$D51*$E51," ")," ")</f>
        <v> </v>
      </c>
      <c r="W51" s="5"/>
      <c r="X51" s="5"/>
      <c r="Y51" s="5"/>
      <c r="Z51" s="5"/>
      <c r="AA51" s="5"/>
    </row>
    <row r="52" ht="12.75" customHeight="1">
      <c r="A52" s="136"/>
      <c r="B52" s="144" t="s">
        <v>5</v>
      </c>
      <c r="C52" s="138">
        <v>0.6</v>
      </c>
      <c r="D52" s="139">
        <v>4.0</v>
      </c>
      <c r="E52" s="140">
        <v>1.0</v>
      </c>
      <c r="F52" s="140">
        <f>'1RM'!$C$5*C52</f>
        <v>60</v>
      </c>
      <c r="G52" s="141"/>
      <c r="H52" s="142"/>
      <c r="I52" s="141">
        <f t="shared" si="57"/>
        <v>4</v>
      </c>
      <c r="J52" s="142">
        <f t="shared" si="58"/>
        <v>240</v>
      </c>
      <c r="K52" s="141"/>
      <c r="L52" s="42"/>
      <c r="M52" s="5"/>
      <c r="N52" s="5"/>
      <c r="O52" s="5"/>
      <c r="P52" s="5"/>
      <c r="Q52" s="5"/>
      <c r="R52" s="143" t="str">
        <f t="shared" si="59"/>
        <v> </v>
      </c>
      <c r="S52" s="143">
        <f t="shared" si="60"/>
        <v>4</v>
      </c>
      <c r="T52" s="143" t="str">
        <f t="shared" si="61"/>
        <v> </v>
      </c>
      <c r="U52" s="143" t="str">
        <f t="shared" si="62"/>
        <v> </v>
      </c>
      <c r="V52" s="143" t="str">
        <f t="shared" si="63"/>
        <v> </v>
      </c>
      <c r="W52" s="5"/>
      <c r="X52" s="5"/>
      <c r="Y52" s="5"/>
      <c r="Z52" s="5"/>
      <c r="AA52" s="5"/>
    </row>
    <row r="53" ht="12.75" customHeight="1">
      <c r="A53" s="136"/>
      <c r="B53" s="144" t="s">
        <v>5</v>
      </c>
      <c r="C53" s="138">
        <v>0.7</v>
      </c>
      <c r="D53" s="139">
        <v>8.0</v>
      </c>
      <c r="E53" s="140">
        <v>4.0</v>
      </c>
      <c r="F53" s="140">
        <f>'1RM'!$C$5*C53</f>
        <v>70</v>
      </c>
      <c r="G53" s="141"/>
      <c r="H53" s="142"/>
      <c r="I53" s="141">
        <f t="shared" si="57"/>
        <v>32</v>
      </c>
      <c r="J53" s="142">
        <f t="shared" si="58"/>
        <v>2240</v>
      </c>
      <c r="K53" s="141"/>
      <c r="L53" s="42"/>
      <c r="M53" s="5"/>
      <c r="N53" s="5"/>
      <c r="O53" s="5"/>
      <c r="P53" s="5"/>
      <c r="Q53" s="5"/>
      <c r="R53" s="143" t="str">
        <f t="shared" si="59"/>
        <v> </v>
      </c>
      <c r="S53" s="143" t="str">
        <f t="shared" si="60"/>
        <v> </v>
      </c>
      <c r="T53" s="143">
        <f t="shared" si="61"/>
        <v>32</v>
      </c>
      <c r="U53" s="143" t="str">
        <f t="shared" si="62"/>
        <v> </v>
      </c>
      <c r="V53" s="143" t="str">
        <f t="shared" si="63"/>
        <v> </v>
      </c>
      <c r="W53" s="5"/>
      <c r="X53" s="5"/>
      <c r="Y53" s="5"/>
      <c r="Z53" s="5"/>
      <c r="AA53" s="5"/>
    </row>
    <row r="54" ht="12.75" customHeight="1">
      <c r="A54" s="152">
        <v>4.0</v>
      </c>
      <c r="B54" s="153" t="s">
        <v>55</v>
      </c>
      <c r="C54" s="154"/>
      <c r="D54" s="156">
        <v>10.0</v>
      </c>
      <c r="E54" s="156">
        <v>5.0</v>
      </c>
      <c r="F54" s="156"/>
      <c r="G54" s="141"/>
      <c r="H54" s="142"/>
      <c r="I54" s="141"/>
      <c r="J54" s="142"/>
      <c r="K54" s="141"/>
      <c r="L54" s="42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2.75" customHeight="1">
      <c r="A55" s="164">
        <v>5.0</v>
      </c>
      <c r="B55" s="165" t="s">
        <v>56</v>
      </c>
      <c r="C55" s="166"/>
      <c r="D55" s="167">
        <v>10.0</v>
      </c>
      <c r="E55" s="168">
        <v>3.0</v>
      </c>
      <c r="F55" s="168"/>
      <c r="G55" s="141"/>
      <c r="H55" s="142"/>
      <c r="I55" s="141"/>
      <c r="J55" s="142"/>
      <c r="K55" s="141"/>
      <c r="L55" s="42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2.75" customHeight="1">
      <c r="A56" s="33"/>
      <c r="B56" s="134"/>
      <c r="C56" s="135"/>
      <c r="D56" s="45"/>
      <c r="E56" s="45"/>
      <c r="F56" s="45"/>
      <c r="G56" s="141"/>
      <c r="H56" s="142"/>
      <c r="I56" s="141"/>
      <c r="J56" s="142"/>
      <c r="K56" s="141"/>
      <c r="L56" s="42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2.75" customHeight="1">
      <c r="A57" s="33" t="s">
        <v>66</v>
      </c>
      <c r="B57" s="134"/>
      <c r="C57" s="135" t="s">
        <v>20</v>
      </c>
      <c r="D57" s="45" t="s">
        <v>51</v>
      </c>
      <c r="E57" s="45" t="s">
        <v>52</v>
      </c>
      <c r="F57" s="45" t="s">
        <v>53</v>
      </c>
      <c r="G57" s="141"/>
      <c r="H57" s="142"/>
      <c r="I57" s="141"/>
      <c r="J57" s="142"/>
      <c r="K57" s="141"/>
      <c r="L57" s="4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2.75" customHeight="1">
      <c r="A58" s="157">
        <v>1.0</v>
      </c>
      <c r="B58" s="158" t="s">
        <v>87</v>
      </c>
      <c r="C58" s="159">
        <v>0.6</v>
      </c>
      <c r="D58" s="160">
        <v>3.0</v>
      </c>
      <c r="E58" s="161">
        <v>1.0</v>
      </c>
      <c r="F58" s="161">
        <f>'1RM'!$C$6*C58</f>
        <v>60</v>
      </c>
      <c r="G58" s="141"/>
      <c r="H58" s="142"/>
      <c r="I58" s="141"/>
      <c r="J58" s="142"/>
      <c r="K58" s="141">
        <f t="shared" ref="K58:K61" si="64">D58*E58</f>
        <v>3</v>
      </c>
      <c r="L58" s="42">
        <f t="shared" ref="L58:L61" si="65">F58*K58</f>
        <v>180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162" t="str">
        <f t="shared" ref="W58:W61" si="66">IF(ISNUMBER(SEARCH("Peso muerto",$B58)),IF($C58&gt;=0.5,IF($C58&lt;0.6,$D58*$E58," ")," ")," ")</f>
        <v> </v>
      </c>
      <c r="X58" s="162">
        <f t="shared" ref="X58:X61" si="67">IF(ISNUMBER(SEARCH("Peso muerto",$B58)),IF($C58&gt;=0.6,IF($C58&lt;0.7,$D58*$E58," ")," ")," ")</f>
        <v>3</v>
      </c>
      <c r="Y58" s="162" t="str">
        <f t="shared" ref="Y58:Y61" si="68">IF(ISNUMBER(SEARCH("Peso muerto",$B58)),IF($C58&gt;=0.7,IF($C58&lt;0.8,$D58*$E58," ")," ")," ")</f>
        <v> </v>
      </c>
      <c r="Z58" s="162" t="str">
        <f t="shared" ref="Z58:Z61" si="69">IF(ISNUMBER(SEARCH("Peso muerto",$B58)),IF($C58&gt;=0.8,IF($C58&lt;0.9,$D58*$E58," ")," ")," ")</f>
        <v> </v>
      </c>
      <c r="AA58" s="162" t="str">
        <f t="shared" ref="AA58:AA61" si="70">IF(ISNUMBER(SEARCH("Peso muerto",$B58)),IF($C58&gt;=0.9,$D58*$E58," ")," ")</f>
        <v> </v>
      </c>
    </row>
    <row r="59" ht="12.75" customHeight="1">
      <c r="A59" s="157"/>
      <c r="B59" s="163" t="s">
        <v>87</v>
      </c>
      <c r="C59" s="159">
        <v>0.7</v>
      </c>
      <c r="D59" s="160">
        <v>3.0</v>
      </c>
      <c r="E59" s="161">
        <v>1.0</v>
      </c>
      <c r="F59" s="161">
        <f>'1RM'!$C$6*C59</f>
        <v>70</v>
      </c>
      <c r="G59" s="141"/>
      <c r="H59" s="142"/>
      <c r="I59" s="141"/>
      <c r="J59" s="142"/>
      <c r="K59" s="141">
        <f t="shared" si="64"/>
        <v>3</v>
      </c>
      <c r="L59" s="42">
        <f t="shared" si="65"/>
        <v>210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162" t="str">
        <f t="shared" si="66"/>
        <v> </v>
      </c>
      <c r="X59" s="162" t="str">
        <f t="shared" si="67"/>
        <v> </v>
      </c>
      <c r="Y59" s="162">
        <f t="shared" si="68"/>
        <v>3</v>
      </c>
      <c r="Z59" s="162" t="str">
        <f t="shared" si="69"/>
        <v> </v>
      </c>
      <c r="AA59" s="162" t="str">
        <f t="shared" si="70"/>
        <v> </v>
      </c>
    </row>
    <row r="60" ht="12.75" customHeight="1">
      <c r="A60" s="157"/>
      <c r="B60" s="163" t="s">
        <v>87</v>
      </c>
      <c r="C60" s="159">
        <v>0.8</v>
      </c>
      <c r="D60" s="160">
        <v>3.0</v>
      </c>
      <c r="E60" s="161">
        <v>2.0</v>
      </c>
      <c r="F60" s="161">
        <f>'1RM'!$C$6*C60</f>
        <v>80</v>
      </c>
      <c r="G60" s="141"/>
      <c r="H60" s="142"/>
      <c r="I60" s="141"/>
      <c r="J60" s="142"/>
      <c r="K60" s="141">
        <f t="shared" si="64"/>
        <v>6</v>
      </c>
      <c r="L60" s="42">
        <f t="shared" si="65"/>
        <v>480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162" t="str">
        <f t="shared" si="66"/>
        <v> </v>
      </c>
      <c r="X60" s="162" t="str">
        <f t="shared" si="67"/>
        <v> </v>
      </c>
      <c r="Y60" s="162" t="str">
        <f t="shared" si="68"/>
        <v> </v>
      </c>
      <c r="Z60" s="162">
        <f t="shared" si="69"/>
        <v>6</v>
      </c>
      <c r="AA60" s="162" t="str">
        <f t="shared" si="70"/>
        <v> </v>
      </c>
    </row>
    <row r="61" ht="12.75" customHeight="1">
      <c r="A61" s="157"/>
      <c r="B61" s="163" t="s">
        <v>87</v>
      </c>
      <c r="C61" s="159">
        <v>0.85</v>
      </c>
      <c r="D61" s="160">
        <v>3.0</v>
      </c>
      <c r="E61" s="161">
        <v>4.0</v>
      </c>
      <c r="F61" s="161">
        <f>'1RM'!$C$6*C61</f>
        <v>85</v>
      </c>
      <c r="G61" s="141"/>
      <c r="H61" s="142"/>
      <c r="I61" s="141"/>
      <c r="J61" s="142"/>
      <c r="K61" s="141">
        <f t="shared" si="64"/>
        <v>12</v>
      </c>
      <c r="L61" s="42">
        <f t="shared" si="65"/>
        <v>1020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162" t="str">
        <f t="shared" si="66"/>
        <v> </v>
      </c>
      <c r="X61" s="162" t="str">
        <f t="shared" si="67"/>
        <v> </v>
      </c>
      <c r="Y61" s="162" t="str">
        <f t="shared" si="68"/>
        <v> </v>
      </c>
      <c r="Z61" s="162">
        <f t="shared" si="69"/>
        <v>12</v>
      </c>
      <c r="AA61" s="162" t="str">
        <f t="shared" si="70"/>
        <v> </v>
      </c>
    </row>
    <row r="62" ht="12.75" customHeight="1">
      <c r="A62" s="152">
        <v>2.0</v>
      </c>
      <c r="B62" s="153" t="s">
        <v>88</v>
      </c>
      <c r="C62" s="154"/>
      <c r="D62" s="155">
        <v>10.0</v>
      </c>
      <c r="E62" s="156">
        <v>5.0</v>
      </c>
      <c r="F62" s="156"/>
      <c r="G62" s="141"/>
      <c r="H62" s="142"/>
      <c r="I62" s="141"/>
      <c r="J62" s="142"/>
      <c r="K62" s="141"/>
      <c r="L62" s="42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2.75" customHeight="1">
      <c r="A63" s="152">
        <v>3.0</v>
      </c>
      <c r="B63" s="153" t="s">
        <v>74</v>
      </c>
      <c r="C63" s="154"/>
      <c r="D63" s="155">
        <v>10.0</v>
      </c>
      <c r="E63" s="156">
        <v>5.0</v>
      </c>
      <c r="F63" s="156"/>
      <c r="G63" s="141"/>
      <c r="H63" s="142"/>
      <c r="I63" s="141"/>
      <c r="J63" s="142"/>
      <c r="K63" s="141"/>
      <c r="L63" s="42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2.75" customHeight="1">
      <c r="A64" s="152">
        <v>4.0</v>
      </c>
      <c r="B64" s="153" t="s">
        <v>60</v>
      </c>
      <c r="C64" s="154"/>
      <c r="D64" s="155">
        <v>10.0</v>
      </c>
      <c r="E64" s="156">
        <v>5.0</v>
      </c>
      <c r="F64" s="156"/>
      <c r="G64" s="141"/>
      <c r="H64" s="142"/>
      <c r="I64" s="141"/>
      <c r="J64" s="142"/>
      <c r="K64" s="141"/>
      <c r="L64" s="42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2.75" customHeight="1">
      <c r="A65" s="152">
        <v>5.0</v>
      </c>
      <c r="B65" s="153" t="s">
        <v>65</v>
      </c>
      <c r="C65" s="154"/>
      <c r="D65" s="155">
        <v>8.0</v>
      </c>
      <c r="E65" s="156">
        <v>4.0</v>
      </c>
      <c r="F65" s="156"/>
      <c r="G65" s="141"/>
      <c r="H65" s="142"/>
      <c r="I65" s="141"/>
      <c r="J65" s="142"/>
      <c r="K65" s="141"/>
      <c r="L65" s="42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2.75" customHeight="1">
      <c r="A66" s="169"/>
      <c r="B66" s="170"/>
      <c r="C66" s="171"/>
      <c r="D66" s="172"/>
      <c r="E66" s="172"/>
      <c r="F66" s="172"/>
      <c r="G66" s="173">
        <f t="shared" ref="G66:AA66" si="71">SUM(G7:G65)</f>
        <v>81</v>
      </c>
      <c r="H66" s="174">
        <f t="shared" si="71"/>
        <v>5580</v>
      </c>
      <c r="I66" s="173">
        <f t="shared" si="71"/>
        <v>127</v>
      </c>
      <c r="J66" s="174">
        <f t="shared" si="71"/>
        <v>8940</v>
      </c>
      <c r="K66" s="173">
        <f t="shared" si="71"/>
        <v>59</v>
      </c>
      <c r="L66" s="172">
        <f t="shared" si="71"/>
        <v>4415</v>
      </c>
      <c r="M66" s="169">
        <f t="shared" si="71"/>
        <v>10</v>
      </c>
      <c r="N66" s="169">
        <f t="shared" si="71"/>
        <v>9</v>
      </c>
      <c r="O66" s="169">
        <f t="shared" si="71"/>
        <v>42</v>
      </c>
      <c r="P66" s="169">
        <f t="shared" si="71"/>
        <v>20</v>
      </c>
      <c r="Q66" s="169">
        <f t="shared" si="71"/>
        <v>0</v>
      </c>
      <c r="R66" s="34">
        <f t="shared" si="71"/>
        <v>17</v>
      </c>
      <c r="S66" s="34">
        <f t="shared" si="71"/>
        <v>18</v>
      </c>
      <c r="T66" s="34">
        <f t="shared" si="71"/>
        <v>52</v>
      </c>
      <c r="U66" s="34">
        <f t="shared" si="71"/>
        <v>40</v>
      </c>
      <c r="V66" s="34">
        <f t="shared" si="71"/>
        <v>0</v>
      </c>
      <c r="W66" s="175">
        <f t="shared" si="71"/>
        <v>3</v>
      </c>
      <c r="X66" s="175">
        <f t="shared" si="71"/>
        <v>9</v>
      </c>
      <c r="Y66" s="175">
        <f t="shared" si="71"/>
        <v>14</v>
      </c>
      <c r="Z66" s="175">
        <f t="shared" si="71"/>
        <v>33</v>
      </c>
      <c r="AA66" s="175">
        <f t="shared" si="71"/>
        <v>0</v>
      </c>
    </row>
    <row r="67" ht="12.75" customHeight="1">
      <c r="A67" s="33" t="s">
        <v>22</v>
      </c>
      <c r="B67" s="33"/>
      <c r="C67" s="133"/>
      <c r="D67" s="42"/>
      <c r="E67" s="42"/>
      <c r="F67" s="42"/>
      <c r="G67" s="141"/>
      <c r="H67" s="142"/>
      <c r="I67" s="141"/>
      <c r="J67" s="142"/>
      <c r="K67" s="141"/>
      <c r="L67" s="42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2.75" customHeight="1">
      <c r="A68" s="33" t="s">
        <v>50</v>
      </c>
      <c r="B68" s="134"/>
      <c r="C68" s="135" t="s">
        <v>20</v>
      </c>
      <c r="D68" s="45" t="s">
        <v>51</v>
      </c>
      <c r="E68" s="45" t="s">
        <v>52</v>
      </c>
      <c r="F68" s="45" t="s">
        <v>53</v>
      </c>
      <c r="G68" s="141"/>
      <c r="H68" s="142"/>
      <c r="I68" s="141"/>
      <c r="J68" s="142"/>
      <c r="K68" s="141"/>
      <c r="L68" s="42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2.75" customHeight="1">
      <c r="A69" s="136">
        <v>1.0</v>
      </c>
      <c r="B69" s="137" t="s">
        <v>5</v>
      </c>
      <c r="C69" s="138">
        <v>0.5</v>
      </c>
      <c r="D69" s="139">
        <v>5.0</v>
      </c>
      <c r="E69" s="140">
        <v>1.0</v>
      </c>
      <c r="F69" s="140">
        <f>'1RM'!$C$5*C69</f>
        <v>50</v>
      </c>
      <c r="G69" s="141"/>
      <c r="H69" s="142"/>
      <c r="I69" s="141">
        <f t="shared" ref="I69:I72" si="72">D69*E69</f>
        <v>5</v>
      </c>
      <c r="J69" s="142">
        <f t="shared" ref="J69:J72" si="73">F69*I69</f>
        <v>250</v>
      </c>
      <c r="K69" s="141"/>
      <c r="L69" s="42"/>
      <c r="M69" s="5"/>
      <c r="N69" s="5"/>
      <c r="O69" s="5"/>
      <c r="P69" s="5"/>
      <c r="Q69" s="5"/>
      <c r="R69" s="143">
        <f t="shared" ref="R69:R72" si="74">IF(ISNUMBER(SEARCH("Press de banca",$B69)),IF($C69&gt;=0.5,IF($C69&lt;0.6,$D69*$E69," ")," ")," ")</f>
        <v>5</v>
      </c>
      <c r="S69" s="143" t="str">
        <f t="shared" ref="S69:S72" si="75">IF(ISNUMBER(SEARCH("Press de banca",$B69)),IF($C69&gt;=0.6,IF($C69&lt;0.7,$D69*$E69," ")," ")," ")</f>
        <v> </v>
      </c>
      <c r="T69" s="143" t="str">
        <f t="shared" ref="T69:T72" si="76">IF(ISNUMBER(SEARCH("Press de banca",$B69)),IF($C69&gt;=0.7,IF($C69&lt;0.8,$D69*$E69," ")," ")," ")</f>
        <v> </v>
      </c>
      <c r="U69" s="143" t="str">
        <f t="shared" ref="U69:U72" si="77">IF(ISNUMBER(SEARCH("Press de banca",$B69)),IF($C69&gt;=0.8,IF($C69&lt;0.9,$D69*$E69," ")," ")," ")</f>
        <v> </v>
      </c>
      <c r="V69" s="143" t="str">
        <f t="shared" ref="V69:V72" si="78">IF(ISNUMBER(SEARCH("Press de banca",$B69)),IF($C69&gt;=0.9,$D69*$E69," ")," ")</f>
        <v> </v>
      </c>
      <c r="W69" s="5"/>
      <c r="X69" s="5"/>
      <c r="Y69" s="5"/>
      <c r="Z69" s="5"/>
      <c r="AA69" s="5"/>
    </row>
    <row r="70" ht="12.75" customHeight="1">
      <c r="A70" s="136"/>
      <c r="B70" s="144" t="s">
        <v>5</v>
      </c>
      <c r="C70" s="138">
        <v>0.6</v>
      </c>
      <c r="D70" s="139">
        <v>4.0</v>
      </c>
      <c r="E70" s="140">
        <v>1.0</v>
      </c>
      <c r="F70" s="140">
        <f>'1RM'!$C$5*C70</f>
        <v>60</v>
      </c>
      <c r="G70" s="141"/>
      <c r="H70" s="142"/>
      <c r="I70" s="141">
        <f t="shared" si="72"/>
        <v>4</v>
      </c>
      <c r="J70" s="142">
        <f t="shared" si="73"/>
        <v>240</v>
      </c>
      <c r="K70" s="141"/>
      <c r="L70" s="42"/>
      <c r="M70" s="5"/>
      <c r="N70" s="5"/>
      <c r="O70" s="5"/>
      <c r="P70" s="5"/>
      <c r="Q70" s="5"/>
      <c r="R70" s="143" t="str">
        <f t="shared" si="74"/>
        <v> </v>
      </c>
      <c r="S70" s="143">
        <f t="shared" si="75"/>
        <v>4</v>
      </c>
      <c r="T70" s="143" t="str">
        <f t="shared" si="76"/>
        <v> </v>
      </c>
      <c r="U70" s="143" t="str">
        <f t="shared" si="77"/>
        <v> </v>
      </c>
      <c r="V70" s="143" t="str">
        <f t="shared" si="78"/>
        <v> </v>
      </c>
      <c r="W70" s="5"/>
      <c r="X70" s="5"/>
      <c r="Y70" s="5"/>
      <c r="Z70" s="5"/>
      <c r="AA70" s="5"/>
    </row>
    <row r="71" ht="12.75" customHeight="1">
      <c r="A71" s="136"/>
      <c r="B71" s="144" t="s">
        <v>5</v>
      </c>
      <c r="C71" s="138">
        <v>0.7</v>
      </c>
      <c r="D71" s="139">
        <v>3.0</v>
      </c>
      <c r="E71" s="140">
        <v>1.0</v>
      </c>
      <c r="F71" s="140">
        <f>'1RM'!$C$5*C71</f>
        <v>70</v>
      </c>
      <c r="G71" s="141"/>
      <c r="H71" s="142"/>
      <c r="I71" s="141">
        <f t="shared" si="72"/>
        <v>3</v>
      </c>
      <c r="J71" s="142">
        <f t="shared" si="73"/>
        <v>210</v>
      </c>
      <c r="K71" s="141"/>
      <c r="L71" s="42"/>
      <c r="M71" s="5"/>
      <c r="N71" s="5"/>
      <c r="O71" s="5"/>
      <c r="P71" s="5"/>
      <c r="Q71" s="5"/>
      <c r="R71" s="143" t="str">
        <f t="shared" si="74"/>
        <v> </v>
      </c>
      <c r="S71" s="143" t="str">
        <f t="shared" si="75"/>
        <v> </v>
      </c>
      <c r="T71" s="143">
        <f t="shared" si="76"/>
        <v>3</v>
      </c>
      <c r="U71" s="143" t="str">
        <f t="shared" si="77"/>
        <v> </v>
      </c>
      <c r="V71" s="143" t="str">
        <f t="shared" si="78"/>
        <v> </v>
      </c>
      <c r="W71" s="5"/>
      <c r="X71" s="5"/>
      <c r="Y71" s="5"/>
      <c r="Z71" s="5"/>
      <c r="AA71" s="5"/>
    </row>
    <row r="72" ht="12.75" customHeight="1">
      <c r="A72" s="136"/>
      <c r="B72" s="144" t="s">
        <v>5</v>
      </c>
      <c r="C72" s="138">
        <v>0.8</v>
      </c>
      <c r="D72" s="139">
        <v>5.0</v>
      </c>
      <c r="E72" s="140">
        <v>4.0</v>
      </c>
      <c r="F72" s="140">
        <f>'1RM'!$C$5*C72</f>
        <v>80</v>
      </c>
      <c r="G72" s="141"/>
      <c r="H72" s="142"/>
      <c r="I72" s="141">
        <f t="shared" si="72"/>
        <v>20</v>
      </c>
      <c r="J72" s="142">
        <f t="shared" si="73"/>
        <v>1600</v>
      </c>
      <c r="K72" s="141"/>
      <c r="L72" s="42"/>
      <c r="M72" s="5"/>
      <c r="N72" s="5"/>
      <c r="O72" s="5"/>
      <c r="P72" s="5"/>
      <c r="Q72" s="5"/>
      <c r="R72" s="143" t="str">
        <f t="shared" si="74"/>
        <v> </v>
      </c>
      <c r="S72" s="143" t="str">
        <f t="shared" si="75"/>
        <v> </v>
      </c>
      <c r="T72" s="143" t="str">
        <f t="shared" si="76"/>
        <v> </v>
      </c>
      <c r="U72" s="143">
        <f t="shared" si="77"/>
        <v>20</v>
      </c>
      <c r="V72" s="143" t="str">
        <f t="shared" si="78"/>
        <v> </v>
      </c>
      <c r="W72" s="5"/>
      <c r="X72" s="5"/>
      <c r="Y72" s="5"/>
      <c r="Z72" s="5"/>
      <c r="AA72" s="5"/>
    </row>
    <row r="73" ht="12.75" customHeight="1">
      <c r="A73" s="145">
        <v>2.0</v>
      </c>
      <c r="B73" s="146" t="s">
        <v>4</v>
      </c>
      <c r="C73" s="147">
        <v>0.5</v>
      </c>
      <c r="D73" s="148">
        <v>5.0</v>
      </c>
      <c r="E73" s="149">
        <v>1.0</v>
      </c>
      <c r="F73" s="149">
        <f>'1RM'!$C$4*C73</f>
        <v>50</v>
      </c>
      <c r="G73" s="141">
        <f t="shared" ref="G73:G76" si="79">D73*E73</f>
        <v>5</v>
      </c>
      <c r="H73" s="142">
        <f t="shared" ref="H73:H76" si="80">F73*G73</f>
        <v>250</v>
      </c>
      <c r="I73" s="141"/>
      <c r="J73" s="142"/>
      <c r="K73" s="141"/>
      <c r="L73" s="42"/>
      <c r="M73" s="150">
        <f t="shared" ref="M73:M76" si="81">IF(ISNUMBER(SEARCH("Sentadilla",$B73)),IF($C73&gt;=0.5,IF($C73&lt;0.6,$D73*$E73," ")," ")," ")</f>
        <v>5</v>
      </c>
      <c r="N73" s="150" t="str">
        <f t="shared" ref="N73:N76" si="82">IF(ISNUMBER(SEARCH("Sentadilla",$B73)),IF($C73&gt;=0.6,IF($C73&lt;0.7,$D73*$E73," ")," ")," ")</f>
        <v> </v>
      </c>
      <c r="O73" s="150" t="str">
        <f t="shared" ref="O73:O76" si="83">IF(ISNUMBER(SEARCH("Sentadilla",$B73)),IF($C73&gt;=0.7,IF($C73&lt;0.8,$D73*$E73," ")," ")," ")</f>
        <v> </v>
      </c>
      <c r="P73" s="150" t="str">
        <f t="shared" ref="P73:P76" si="84">IF(ISNUMBER(SEARCH("Sentadilla",$B73)),IF($C73&gt;=0.8,IF($C73&lt;0.9,$D73*$E73," ")," ")," ")</f>
        <v> </v>
      </c>
      <c r="Q73" s="150" t="str">
        <f t="shared" ref="Q73:Q76" si="85">IF(ISNUMBER(SEARCH("Sentadilla",$B73)),IF($C73&gt;=0.9,$D73*$E73," ")," ")</f>
        <v> </v>
      </c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2.75" customHeight="1">
      <c r="A74" s="145"/>
      <c r="B74" s="151" t="s">
        <v>4</v>
      </c>
      <c r="C74" s="147">
        <v>0.6</v>
      </c>
      <c r="D74" s="148">
        <v>4.0</v>
      </c>
      <c r="E74" s="149">
        <v>1.0</v>
      </c>
      <c r="F74" s="149">
        <f>'1RM'!$C$4*C74</f>
        <v>60</v>
      </c>
      <c r="G74" s="141">
        <f t="shared" si="79"/>
        <v>4</v>
      </c>
      <c r="H74" s="142">
        <f t="shared" si="80"/>
        <v>240</v>
      </c>
      <c r="I74" s="141"/>
      <c r="J74" s="142"/>
      <c r="K74" s="141"/>
      <c r="L74" s="42"/>
      <c r="M74" s="150" t="str">
        <f t="shared" si="81"/>
        <v> </v>
      </c>
      <c r="N74" s="150">
        <f t="shared" si="82"/>
        <v>4</v>
      </c>
      <c r="O74" s="150" t="str">
        <f t="shared" si="83"/>
        <v> </v>
      </c>
      <c r="P74" s="150" t="str">
        <f t="shared" si="84"/>
        <v> </v>
      </c>
      <c r="Q74" s="150" t="str">
        <f t="shared" si="85"/>
        <v> </v>
      </c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2.75" customHeight="1">
      <c r="A75" s="145"/>
      <c r="B75" s="151" t="s">
        <v>4</v>
      </c>
      <c r="C75" s="147">
        <v>0.7</v>
      </c>
      <c r="D75" s="148">
        <v>3.0</v>
      </c>
      <c r="E75" s="149">
        <v>1.0</v>
      </c>
      <c r="F75" s="149">
        <f>'1RM'!$C$4*C75</f>
        <v>70</v>
      </c>
      <c r="G75" s="141">
        <f t="shared" si="79"/>
        <v>3</v>
      </c>
      <c r="H75" s="142">
        <f t="shared" si="80"/>
        <v>210</v>
      </c>
      <c r="I75" s="141"/>
      <c r="J75" s="142"/>
      <c r="K75" s="141"/>
      <c r="L75" s="42"/>
      <c r="M75" s="150" t="str">
        <f t="shared" si="81"/>
        <v> </v>
      </c>
      <c r="N75" s="150" t="str">
        <f t="shared" si="82"/>
        <v> </v>
      </c>
      <c r="O75" s="150">
        <f t="shared" si="83"/>
        <v>3</v>
      </c>
      <c r="P75" s="150" t="str">
        <f t="shared" si="84"/>
        <v> </v>
      </c>
      <c r="Q75" s="150" t="str">
        <f t="shared" si="85"/>
        <v> </v>
      </c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2.75" customHeight="1">
      <c r="A76" s="145"/>
      <c r="B76" s="151" t="s">
        <v>4</v>
      </c>
      <c r="C76" s="147">
        <v>0.8</v>
      </c>
      <c r="D76" s="148">
        <v>5.0</v>
      </c>
      <c r="E76" s="149">
        <v>4.0</v>
      </c>
      <c r="F76" s="149">
        <f>'1RM'!$C$4*C76</f>
        <v>80</v>
      </c>
      <c r="G76" s="141">
        <f t="shared" si="79"/>
        <v>20</v>
      </c>
      <c r="H76" s="142">
        <f t="shared" si="80"/>
        <v>1600</v>
      </c>
      <c r="I76" s="141"/>
      <c r="J76" s="142"/>
      <c r="K76" s="141"/>
      <c r="L76" s="42"/>
      <c r="M76" s="150" t="str">
        <f t="shared" si="81"/>
        <v> </v>
      </c>
      <c r="N76" s="150" t="str">
        <f t="shared" si="82"/>
        <v> </v>
      </c>
      <c r="O76" s="150" t="str">
        <f t="shared" si="83"/>
        <v> </v>
      </c>
      <c r="P76" s="150">
        <f t="shared" si="84"/>
        <v>20</v>
      </c>
      <c r="Q76" s="150" t="str">
        <f t="shared" si="85"/>
        <v> </v>
      </c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2.75" customHeight="1">
      <c r="A77" s="136">
        <v>3.0</v>
      </c>
      <c r="B77" s="137" t="s">
        <v>89</v>
      </c>
      <c r="C77" s="138">
        <v>0.5</v>
      </c>
      <c r="D77" s="139">
        <v>3.0</v>
      </c>
      <c r="E77" s="140">
        <v>1.0</v>
      </c>
      <c r="F77" s="140">
        <f>'1RM'!$C$5*C77</f>
        <v>50</v>
      </c>
      <c r="G77" s="141"/>
      <c r="H77" s="142"/>
      <c r="I77" s="141">
        <f t="shared" ref="I77:I80" si="86">D77*E77</f>
        <v>3</v>
      </c>
      <c r="J77" s="142">
        <f t="shared" ref="J77:J80" si="87">F77*I77</f>
        <v>150</v>
      </c>
      <c r="K77" s="141"/>
      <c r="L77" s="42"/>
      <c r="M77" s="5"/>
      <c r="N77" s="5"/>
      <c r="O77" s="5"/>
      <c r="P77" s="5"/>
      <c r="Q77" s="5"/>
      <c r="R77" s="143">
        <f t="shared" ref="R77:R80" si="88">IF(ISNUMBER(SEARCH("Press de banca",$B77)),IF($C77&gt;=0.5,IF($C77&lt;0.6,$D77*$E77," ")," ")," ")</f>
        <v>3</v>
      </c>
      <c r="S77" s="143" t="str">
        <f t="shared" ref="S77:S80" si="89">IF(ISNUMBER(SEARCH("Press de banca",$B77)),IF($C77&gt;=0.6,IF($C77&lt;0.7,$D77*$E77," ")," ")," ")</f>
        <v> </v>
      </c>
      <c r="T77" s="143" t="str">
        <f t="shared" ref="T77:T80" si="90">IF(ISNUMBER(SEARCH("Press de banca",$B77)),IF($C77&gt;=0.7,IF($C77&lt;0.8,$D77*$E77," ")," ")," ")</f>
        <v> </v>
      </c>
      <c r="U77" s="143" t="str">
        <f t="shared" ref="U77:U80" si="91">IF(ISNUMBER(SEARCH("Press de banca",$B77)),IF($C77&gt;=0.8,IF($C77&lt;0.9,$D77*$E77," ")," ")," ")</f>
        <v> </v>
      </c>
      <c r="V77" s="143" t="str">
        <f t="shared" ref="V77:V80" si="92">IF(ISNUMBER(SEARCH("Press de banca",$B77)),IF($C77&gt;=0.9,$D77*$E77," ")," ")</f>
        <v> </v>
      </c>
      <c r="W77" s="5"/>
      <c r="X77" s="5"/>
      <c r="Y77" s="5"/>
      <c r="Z77" s="5"/>
      <c r="AA77" s="5"/>
    </row>
    <row r="78" ht="12.75" customHeight="1">
      <c r="A78" s="136"/>
      <c r="B78" s="144" t="s">
        <v>89</v>
      </c>
      <c r="C78" s="138">
        <v>0.6</v>
      </c>
      <c r="D78" s="139">
        <v>3.0</v>
      </c>
      <c r="E78" s="140">
        <v>1.0</v>
      </c>
      <c r="F78" s="140">
        <f>'1RM'!$C$5*C78</f>
        <v>60</v>
      </c>
      <c r="G78" s="141"/>
      <c r="H78" s="142"/>
      <c r="I78" s="141">
        <f t="shared" si="86"/>
        <v>3</v>
      </c>
      <c r="J78" s="142">
        <f t="shared" si="87"/>
        <v>180</v>
      </c>
      <c r="K78" s="141"/>
      <c r="L78" s="42"/>
      <c r="M78" s="5"/>
      <c r="N78" s="5"/>
      <c r="O78" s="5"/>
      <c r="P78" s="5"/>
      <c r="Q78" s="5"/>
      <c r="R78" s="143" t="str">
        <f t="shared" si="88"/>
        <v> </v>
      </c>
      <c r="S78" s="143">
        <f t="shared" si="89"/>
        <v>3</v>
      </c>
      <c r="T78" s="143" t="str">
        <f t="shared" si="90"/>
        <v> </v>
      </c>
      <c r="U78" s="143" t="str">
        <f t="shared" si="91"/>
        <v> </v>
      </c>
      <c r="V78" s="143" t="str">
        <f t="shared" si="92"/>
        <v> </v>
      </c>
      <c r="W78" s="5"/>
      <c r="X78" s="5"/>
      <c r="Y78" s="5"/>
      <c r="Z78" s="5"/>
      <c r="AA78" s="5"/>
    </row>
    <row r="79" ht="12.75" customHeight="1">
      <c r="A79" s="136"/>
      <c r="B79" s="144" t="s">
        <v>89</v>
      </c>
      <c r="C79" s="138">
        <v>0.7</v>
      </c>
      <c r="D79" s="139">
        <v>3.0</v>
      </c>
      <c r="E79" s="140">
        <v>1.0</v>
      </c>
      <c r="F79" s="140">
        <f>'1RM'!$C$5*C79</f>
        <v>70</v>
      </c>
      <c r="G79" s="141"/>
      <c r="H79" s="142"/>
      <c r="I79" s="141">
        <f t="shared" si="86"/>
        <v>3</v>
      </c>
      <c r="J79" s="142">
        <f t="shared" si="87"/>
        <v>210</v>
      </c>
      <c r="K79" s="141"/>
      <c r="L79" s="42"/>
      <c r="M79" s="5"/>
      <c r="N79" s="5"/>
      <c r="O79" s="5"/>
      <c r="P79" s="5"/>
      <c r="Q79" s="5"/>
      <c r="R79" s="143" t="str">
        <f t="shared" si="88"/>
        <v> </v>
      </c>
      <c r="S79" s="143" t="str">
        <f t="shared" si="89"/>
        <v> </v>
      </c>
      <c r="T79" s="143">
        <f t="shared" si="90"/>
        <v>3</v>
      </c>
      <c r="U79" s="143" t="str">
        <f t="shared" si="91"/>
        <v> </v>
      </c>
      <c r="V79" s="143" t="str">
        <f t="shared" si="92"/>
        <v> </v>
      </c>
      <c r="W79" s="5"/>
      <c r="X79" s="5"/>
      <c r="Y79" s="5"/>
      <c r="Z79" s="5"/>
      <c r="AA79" s="5"/>
    </row>
    <row r="80" ht="12.75" customHeight="1">
      <c r="A80" s="136"/>
      <c r="B80" s="144" t="s">
        <v>89</v>
      </c>
      <c r="C80" s="138">
        <v>0.75</v>
      </c>
      <c r="D80" s="139">
        <v>2.0</v>
      </c>
      <c r="E80" s="140">
        <v>4.0</v>
      </c>
      <c r="F80" s="140">
        <f>'1RM'!$C$5*C80</f>
        <v>75</v>
      </c>
      <c r="G80" s="141"/>
      <c r="H80" s="142"/>
      <c r="I80" s="141">
        <f t="shared" si="86"/>
        <v>8</v>
      </c>
      <c r="J80" s="142">
        <f t="shared" si="87"/>
        <v>600</v>
      </c>
      <c r="K80" s="141"/>
      <c r="L80" s="42"/>
      <c r="M80" s="5"/>
      <c r="N80" s="5"/>
      <c r="O80" s="5"/>
      <c r="P80" s="5"/>
      <c r="Q80" s="5"/>
      <c r="R80" s="143" t="str">
        <f t="shared" si="88"/>
        <v> </v>
      </c>
      <c r="S80" s="143" t="str">
        <f t="shared" si="89"/>
        <v> </v>
      </c>
      <c r="T80" s="143">
        <f t="shared" si="90"/>
        <v>8</v>
      </c>
      <c r="U80" s="143" t="str">
        <f t="shared" si="91"/>
        <v> </v>
      </c>
      <c r="V80" s="143" t="str">
        <f t="shared" si="92"/>
        <v> </v>
      </c>
      <c r="W80" s="5"/>
      <c r="X80" s="5"/>
      <c r="Y80" s="5"/>
      <c r="Z80" s="5"/>
      <c r="AA80" s="5"/>
    </row>
    <row r="81" ht="12.75" customHeight="1">
      <c r="A81" s="152">
        <v>4.0</v>
      </c>
      <c r="B81" s="153" t="s">
        <v>55</v>
      </c>
      <c r="C81" s="154"/>
      <c r="D81" s="156">
        <v>10.0</v>
      </c>
      <c r="E81" s="156">
        <v>5.0</v>
      </c>
      <c r="F81" s="156"/>
      <c r="G81" s="141"/>
      <c r="H81" s="142"/>
      <c r="I81" s="141"/>
      <c r="J81" s="142"/>
      <c r="K81" s="141"/>
      <c r="L81" s="42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2.75" customHeight="1">
      <c r="A82" s="164">
        <v>5.0</v>
      </c>
      <c r="B82" s="165" t="s">
        <v>61</v>
      </c>
      <c r="C82" s="166"/>
      <c r="D82" s="167">
        <v>5.0</v>
      </c>
      <c r="E82" s="168">
        <v>5.0</v>
      </c>
      <c r="F82" s="168"/>
      <c r="G82" s="141"/>
      <c r="H82" s="142"/>
      <c r="I82" s="141"/>
      <c r="J82" s="142"/>
      <c r="K82" s="141"/>
      <c r="L82" s="42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2.75" customHeight="1">
      <c r="A83" s="33"/>
      <c r="B83" s="134"/>
      <c r="C83" s="133"/>
      <c r="D83" s="42"/>
      <c r="E83" s="42"/>
      <c r="F83" s="42"/>
      <c r="G83" s="141"/>
      <c r="H83" s="142"/>
      <c r="I83" s="141"/>
      <c r="J83" s="142"/>
      <c r="K83" s="141"/>
      <c r="L83" s="42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2.75" customHeight="1">
      <c r="A84" s="33" t="s">
        <v>57</v>
      </c>
      <c r="B84" s="134"/>
      <c r="C84" s="135" t="s">
        <v>20</v>
      </c>
      <c r="D84" s="45" t="s">
        <v>51</v>
      </c>
      <c r="E84" s="45" t="s">
        <v>52</v>
      </c>
      <c r="F84" s="45" t="s">
        <v>53</v>
      </c>
      <c r="G84" s="141"/>
      <c r="H84" s="142"/>
      <c r="I84" s="141"/>
      <c r="J84" s="142"/>
      <c r="K84" s="141"/>
      <c r="L84" s="42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2.75" customHeight="1">
      <c r="A85" s="157">
        <v>1.0</v>
      </c>
      <c r="B85" s="158" t="s">
        <v>90</v>
      </c>
      <c r="C85" s="159">
        <v>0.5</v>
      </c>
      <c r="D85" s="160">
        <v>3.0</v>
      </c>
      <c r="E85" s="161">
        <v>1.0</v>
      </c>
      <c r="F85" s="161">
        <f>'1RM'!$C$6*C85</f>
        <v>50</v>
      </c>
      <c r="G85" s="141"/>
      <c r="H85" s="142"/>
      <c r="I85" s="141"/>
      <c r="J85" s="142"/>
      <c r="K85" s="141">
        <f t="shared" ref="K85:K87" si="93">D85*E85</f>
        <v>3</v>
      </c>
      <c r="L85" s="42">
        <f t="shared" ref="L85:L87" si="94">F85*K85</f>
        <v>150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162">
        <f t="shared" ref="W85:W87" si="95">IF(ISNUMBER(SEARCH("Peso muerto",$B85)),IF($C85&gt;=0.5,IF($C85&lt;0.6,$D85*$E85," ")," ")," ")</f>
        <v>3</v>
      </c>
      <c r="X85" s="162" t="str">
        <f t="shared" ref="X85:X87" si="96">IF(ISNUMBER(SEARCH("Peso muerto",$B85)),IF($C85&gt;=0.6,IF($C85&lt;0.7,$D85*$E85," ")," ")," ")</f>
        <v> </v>
      </c>
      <c r="Y85" s="162" t="str">
        <f t="shared" ref="Y85:Y87" si="97">IF(ISNUMBER(SEARCH("Peso muerto",$B85)),IF($C85&gt;=0.7,IF($C85&lt;0.8,$D85*$E85," ")," ")," ")</f>
        <v> </v>
      </c>
      <c r="Z85" s="162" t="str">
        <f t="shared" ref="Z85:Z87" si="98">IF(ISNUMBER(SEARCH("Peso muerto",$B85)),IF($C85&gt;=0.8,IF($C85&lt;0.9,$D85*$E85," ")," ")," ")</f>
        <v> </v>
      </c>
      <c r="AA85" s="162" t="str">
        <f t="shared" ref="AA85:AA87" si="99">IF(ISNUMBER(SEARCH("Peso muerto",$B85)),IF($C85&gt;=0.9,$D85*$E85," ")," ")</f>
        <v> </v>
      </c>
    </row>
    <row r="86" ht="12.75" customHeight="1">
      <c r="A86" s="157"/>
      <c r="B86" s="163" t="s">
        <v>90</v>
      </c>
      <c r="C86" s="159">
        <v>0.6</v>
      </c>
      <c r="D86" s="160">
        <v>3.0</v>
      </c>
      <c r="E86" s="161">
        <v>1.0</v>
      </c>
      <c r="F86" s="161">
        <f>'1RM'!$C$6*C86</f>
        <v>60</v>
      </c>
      <c r="G86" s="141"/>
      <c r="H86" s="142"/>
      <c r="I86" s="141"/>
      <c r="J86" s="142"/>
      <c r="K86" s="141">
        <f t="shared" si="93"/>
        <v>3</v>
      </c>
      <c r="L86" s="42">
        <f t="shared" si="94"/>
        <v>180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162" t="str">
        <f t="shared" si="95"/>
        <v> </v>
      </c>
      <c r="X86" s="162">
        <f t="shared" si="96"/>
        <v>3</v>
      </c>
      <c r="Y86" s="162" t="str">
        <f t="shared" si="97"/>
        <v> </v>
      </c>
      <c r="Z86" s="162" t="str">
        <f t="shared" si="98"/>
        <v> </v>
      </c>
      <c r="AA86" s="162" t="str">
        <f t="shared" si="99"/>
        <v> </v>
      </c>
    </row>
    <row r="87" ht="12.75" customHeight="1">
      <c r="A87" s="157"/>
      <c r="B87" s="163" t="s">
        <v>90</v>
      </c>
      <c r="C87" s="159">
        <v>0.7</v>
      </c>
      <c r="D87" s="160">
        <v>2.0</v>
      </c>
      <c r="E87" s="161">
        <v>4.0</v>
      </c>
      <c r="F87" s="161">
        <f>'1RM'!$C$6*C87</f>
        <v>70</v>
      </c>
      <c r="G87" s="141"/>
      <c r="H87" s="142"/>
      <c r="I87" s="141"/>
      <c r="J87" s="142"/>
      <c r="K87" s="141">
        <f t="shared" si="93"/>
        <v>8</v>
      </c>
      <c r="L87" s="42">
        <f t="shared" si="94"/>
        <v>560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162" t="str">
        <f t="shared" si="95"/>
        <v> </v>
      </c>
      <c r="X87" s="162" t="str">
        <f t="shared" si="96"/>
        <v> </v>
      </c>
      <c r="Y87" s="162">
        <f t="shared" si="97"/>
        <v>8</v>
      </c>
      <c r="Z87" s="162" t="str">
        <f t="shared" si="98"/>
        <v> </v>
      </c>
      <c r="AA87" s="162" t="str">
        <f t="shared" si="99"/>
        <v> </v>
      </c>
    </row>
    <row r="88" ht="12.75" customHeight="1">
      <c r="A88" s="136">
        <v>2.0</v>
      </c>
      <c r="B88" s="137" t="s">
        <v>85</v>
      </c>
      <c r="C88" s="138">
        <v>0.55</v>
      </c>
      <c r="D88" s="139">
        <v>5.0</v>
      </c>
      <c r="E88" s="140">
        <v>1.0</v>
      </c>
      <c r="F88" s="140">
        <f>'1RM'!$C$5*C88</f>
        <v>55</v>
      </c>
      <c r="G88" s="141"/>
      <c r="H88" s="142"/>
      <c r="I88" s="141">
        <f t="shared" ref="I88:I92" si="100">D88*E88</f>
        <v>5</v>
      </c>
      <c r="J88" s="142">
        <f t="shared" ref="J88:J92" si="101">F88*I88</f>
        <v>275</v>
      </c>
      <c r="K88" s="141"/>
      <c r="L88" s="42"/>
      <c r="M88" s="5"/>
      <c r="N88" s="5"/>
      <c r="O88" s="5"/>
      <c r="P88" s="5"/>
      <c r="Q88" s="5"/>
      <c r="R88" s="143">
        <f t="shared" ref="R88:R92" si="102">IF(ISNUMBER(SEARCH("Press de banca",$B88)),IF($C88&gt;=0.5,IF($C88&lt;0.6,$D88*$E88," ")," ")," ")</f>
        <v>5</v>
      </c>
      <c r="S88" s="143" t="str">
        <f t="shared" ref="S88:S92" si="103">IF(ISNUMBER(SEARCH("Press de banca",$B88)),IF($C88&gt;=0.6,IF($C88&lt;0.7,$D88*$E88," ")," ")," ")</f>
        <v> </v>
      </c>
      <c r="T88" s="143" t="str">
        <f t="shared" ref="T88:T92" si="104">IF(ISNUMBER(SEARCH("Press de banca",$B88)),IF($C88&gt;=0.7,IF($C88&lt;0.8,$D88*$E88," ")," ")," ")</f>
        <v> </v>
      </c>
      <c r="U88" s="143" t="str">
        <f t="shared" ref="U88:U92" si="105">IF(ISNUMBER(SEARCH("Press de banca",$B88)),IF($C88&gt;=0.8,IF($C88&lt;0.9,$D88*$E88," ")," ")," ")</f>
        <v> </v>
      </c>
      <c r="V88" s="143" t="str">
        <f t="shared" ref="V88:V92" si="106">IF(ISNUMBER(SEARCH("Press de banca",$B88)),IF($C88&gt;=0.9,$D88*$E88," ")," ")</f>
        <v> </v>
      </c>
      <c r="W88" s="5"/>
      <c r="X88" s="5"/>
      <c r="Y88" s="5"/>
      <c r="Z88" s="5"/>
      <c r="AA88" s="5"/>
    </row>
    <row r="89" ht="12.75" customHeight="1">
      <c r="A89" s="136"/>
      <c r="B89" s="144" t="s">
        <v>85</v>
      </c>
      <c r="C89" s="138">
        <v>0.65</v>
      </c>
      <c r="D89" s="139">
        <v>4.0</v>
      </c>
      <c r="E89" s="140">
        <v>1.0</v>
      </c>
      <c r="F89" s="140">
        <f>'1RM'!$C$5*C89</f>
        <v>65</v>
      </c>
      <c r="G89" s="141"/>
      <c r="H89" s="142"/>
      <c r="I89" s="141">
        <f t="shared" si="100"/>
        <v>4</v>
      </c>
      <c r="J89" s="142">
        <f t="shared" si="101"/>
        <v>260</v>
      </c>
      <c r="K89" s="141"/>
      <c r="L89" s="42"/>
      <c r="M89" s="5"/>
      <c r="N89" s="5"/>
      <c r="O89" s="5"/>
      <c r="P89" s="5"/>
      <c r="Q89" s="5"/>
      <c r="R89" s="143" t="str">
        <f t="shared" si="102"/>
        <v> </v>
      </c>
      <c r="S89" s="143">
        <f t="shared" si="103"/>
        <v>4</v>
      </c>
      <c r="T89" s="143" t="str">
        <f t="shared" si="104"/>
        <v> </v>
      </c>
      <c r="U89" s="143" t="str">
        <f t="shared" si="105"/>
        <v> </v>
      </c>
      <c r="V89" s="143" t="str">
        <f t="shared" si="106"/>
        <v> </v>
      </c>
      <c r="W89" s="5"/>
      <c r="X89" s="5"/>
      <c r="Y89" s="5"/>
      <c r="Z89" s="5"/>
      <c r="AA89" s="5"/>
    </row>
    <row r="90" ht="12.75" customHeight="1">
      <c r="A90" s="136"/>
      <c r="B90" s="144" t="s">
        <v>85</v>
      </c>
      <c r="C90" s="138">
        <v>0.75</v>
      </c>
      <c r="D90" s="139">
        <v>4.0</v>
      </c>
      <c r="E90" s="140">
        <v>2.0</v>
      </c>
      <c r="F90" s="140">
        <f>'1RM'!$C$5*C90</f>
        <v>75</v>
      </c>
      <c r="G90" s="141"/>
      <c r="H90" s="142"/>
      <c r="I90" s="141">
        <f t="shared" si="100"/>
        <v>8</v>
      </c>
      <c r="J90" s="142">
        <f t="shared" si="101"/>
        <v>600</v>
      </c>
      <c r="K90" s="141"/>
      <c r="L90" s="42"/>
      <c r="M90" s="5"/>
      <c r="N90" s="5"/>
      <c r="O90" s="5"/>
      <c r="P90" s="5"/>
      <c r="Q90" s="5"/>
      <c r="R90" s="143" t="str">
        <f t="shared" si="102"/>
        <v> </v>
      </c>
      <c r="S90" s="143" t="str">
        <f t="shared" si="103"/>
        <v> </v>
      </c>
      <c r="T90" s="143">
        <f t="shared" si="104"/>
        <v>8</v>
      </c>
      <c r="U90" s="143" t="str">
        <f t="shared" si="105"/>
        <v> </v>
      </c>
      <c r="V90" s="143" t="str">
        <f t="shared" si="106"/>
        <v> </v>
      </c>
      <c r="W90" s="5"/>
      <c r="X90" s="5"/>
      <c r="Y90" s="5"/>
      <c r="Z90" s="5"/>
      <c r="AA90" s="5"/>
    </row>
    <row r="91" ht="12.75" customHeight="1">
      <c r="A91" s="136"/>
      <c r="B91" s="144" t="s">
        <v>85</v>
      </c>
      <c r="C91" s="138">
        <v>0.85</v>
      </c>
      <c r="D91" s="139">
        <v>3.0</v>
      </c>
      <c r="E91" s="140">
        <v>2.0</v>
      </c>
      <c r="F91" s="140">
        <f>'1RM'!$C$5*C91</f>
        <v>85</v>
      </c>
      <c r="G91" s="141"/>
      <c r="H91" s="142"/>
      <c r="I91" s="141">
        <f t="shared" si="100"/>
        <v>6</v>
      </c>
      <c r="J91" s="142">
        <f t="shared" si="101"/>
        <v>510</v>
      </c>
      <c r="K91" s="141"/>
      <c r="L91" s="42"/>
      <c r="M91" s="5"/>
      <c r="N91" s="5"/>
      <c r="O91" s="5"/>
      <c r="P91" s="5"/>
      <c r="Q91" s="5"/>
      <c r="R91" s="143" t="str">
        <f t="shared" si="102"/>
        <v> </v>
      </c>
      <c r="S91" s="143" t="str">
        <f t="shared" si="103"/>
        <v> </v>
      </c>
      <c r="T91" s="143" t="str">
        <f t="shared" si="104"/>
        <v> </v>
      </c>
      <c r="U91" s="143">
        <f t="shared" si="105"/>
        <v>6</v>
      </c>
      <c r="V91" s="143" t="str">
        <f t="shared" si="106"/>
        <v> </v>
      </c>
      <c r="W91" s="5"/>
      <c r="X91" s="5"/>
      <c r="Y91" s="5"/>
      <c r="Z91" s="5"/>
      <c r="AA91" s="5"/>
    </row>
    <row r="92" ht="12.75" customHeight="1">
      <c r="A92" s="136"/>
      <c r="B92" s="144" t="s">
        <v>85</v>
      </c>
      <c r="C92" s="138">
        <v>0.9</v>
      </c>
      <c r="D92" s="139">
        <v>2.0</v>
      </c>
      <c r="E92" s="140">
        <v>3.0</v>
      </c>
      <c r="F92" s="140">
        <f>'1RM'!$C$5*C92</f>
        <v>90</v>
      </c>
      <c r="G92" s="141"/>
      <c r="H92" s="142"/>
      <c r="I92" s="141">
        <f t="shared" si="100"/>
        <v>6</v>
      </c>
      <c r="J92" s="142">
        <f t="shared" si="101"/>
        <v>540</v>
      </c>
      <c r="K92" s="141"/>
      <c r="L92" s="42"/>
      <c r="M92" s="5"/>
      <c r="N92" s="5"/>
      <c r="O92" s="5"/>
      <c r="P92" s="5"/>
      <c r="Q92" s="5"/>
      <c r="R92" s="143" t="str">
        <f t="shared" si="102"/>
        <v> </v>
      </c>
      <c r="S92" s="143" t="str">
        <f t="shared" si="103"/>
        <v> </v>
      </c>
      <c r="T92" s="143" t="str">
        <f t="shared" si="104"/>
        <v> </v>
      </c>
      <c r="U92" s="143" t="str">
        <f t="shared" si="105"/>
        <v> </v>
      </c>
      <c r="V92" s="143">
        <f t="shared" si="106"/>
        <v>6</v>
      </c>
      <c r="W92" s="5"/>
      <c r="X92" s="5"/>
      <c r="Y92" s="5"/>
      <c r="Z92" s="5"/>
      <c r="AA92" s="5"/>
    </row>
    <row r="93" ht="12.75" customHeight="1">
      <c r="A93" s="157">
        <v>3.0</v>
      </c>
      <c r="B93" s="158" t="s">
        <v>77</v>
      </c>
      <c r="C93" s="159">
        <v>0.5</v>
      </c>
      <c r="D93" s="160">
        <v>3.0</v>
      </c>
      <c r="E93" s="161">
        <v>1.0</v>
      </c>
      <c r="F93" s="161">
        <f>'1RM'!$C$6*C93</f>
        <v>50</v>
      </c>
      <c r="G93" s="141"/>
      <c r="H93" s="142"/>
      <c r="I93" s="141"/>
      <c r="J93" s="142"/>
      <c r="K93" s="141">
        <f t="shared" ref="K93:K96" si="107">D93*E93</f>
        <v>3</v>
      </c>
      <c r="L93" s="42">
        <f t="shared" ref="L93:L96" si="108">F93*K93</f>
        <v>150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162">
        <f t="shared" ref="W93:W96" si="109">IF(ISNUMBER(SEARCH("Peso muerto",$B93)),IF($C93&gt;=0.5,IF($C93&lt;0.6,$D93*$E93," ")," ")," ")</f>
        <v>3</v>
      </c>
      <c r="X93" s="162" t="str">
        <f t="shared" ref="X93:X96" si="110">IF(ISNUMBER(SEARCH("Peso muerto",$B93)),IF($C93&gt;=0.6,IF($C93&lt;0.7,$D93*$E93," ")," ")," ")</f>
        <v> </v>
      </c>
      <c r="Y93" s="162" t="str">
        <f t="shared" ref="Y93:Y96" si="111">IF(ISNUMBER(SEARCH("Peso muerto",$B93)),IF($C93&gt;=0.7,IF($C93&lt;0.8,$D93*$E93," ")," ")," ")</f>
        <v> </v>
      </c>
      <c r="Z93" s="162" t="str">
        <f t="shared" ref="Z93:Z96" si="112">IF(ISNUMBER(SEARCH("Peso muerto",$B93)),IF($C93&gt;=0.8,IF($C93&lt;0.9,$D93*$E93," ")," ")," ")</f>
        <v> </v>
      </c>
      <c r="AA93" s="162" t="str">
        <f t="shared" ref="AA93:AA96" si="113">IF(ISNUMBER(SEARCH("Peso muerto",$B93)),IF($C93&gt;=0.9,$D93*$E93," ")," ")</f>
        <v> </v>
      </c>
    </row>
    <row r="94" ht="12.75" customHeight="1">
      <c r="A94" s="157"/>
      <c r="B94" s="163" t="s">
        <v>77</v>
      </c>
      <c r="C94" s="159">
        <v>0.6</v>
      </c>
      <c r="D94" s="160">
        <v>3.0</v>
      </c>
      <c r="E94" s="161">
        <v>1.0</v>
      </c>
      <c r="F94" s="161">
        <f>'1RM'!$C$6*C94</f>
        <v>60</v>
      </c>
      <c r="G94" s="141"/>
      <c r="H94" s="142"/>
      <c r="I94" s="141"/>
      <c r="J94" s="142"/>
      <c r="K94" s="141">
        <f t="shared" si="107"/>
        <v>3</v>
      </c>
      <c r="L94" s="42">
        <f t="shared" si="108"/>
        <v>180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162" t="str">
        <f t="shared" si="109"/>
        <v> </v>
      </c>
      <c r="X94" s="162">
        <f t="shared" si="110"/>
        <v>3</v>
      </c>
      <c r="Y94" s="162" t="str">
        <f t="shared" si="111"/>
        <v> </v>
      </c>
      <c r="Z94" s="162" t="str">
        <f t="shared" si="112"/>
        <v> </v>
      </c>
      <c r="AA94" s="162" t="str">
        <f t="shared" si="113"/>
        <v> </v>
      </c>
    </row>
    <row r="95" ht="12.75" customHeight="1">
      <c r="A95" s="157"/>
      <c r="B95" s="163" t="s">
        <v>77</v>
      </c>
      <c r="C95" s="159">
        <v>0.7</v>
      </c>
      <c r="D95" s="160">
        <v>3.0</v>
      </c>
      <c r="E95" s="161">
        <v>1.0</v>
      </c>
      <c r="F95" s="161">
        <f>'1RM'!$C$6*C95</f>
        <v>70</v>
      </c>
      <c r="G95" s="141"/>
      <c r="H95" s="142"/>
      <c r="I95" s="141"/>
      <c r="J95" s="142"/>
      <c r="K95" s="141">
        <f t="shared" si="107"/>
        <v>3</v>
      </c>
      <c r="L95" s="42">
        <f t="shared" si="108"/>
        <v>210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162" t="str">
        <f t="shared" si="109"/>
        <v> </v>
      </c>
      <c r="X95" s="162" t="str">
        <f t="shared" si="110"/>
        <v> </v>
      </c>
      <c r="Y95" s="162">
        <f t="shared" si="111"/>
        <v>3</v>
      </c>
      <c r="Z95" s="162" t="str">
        <f t="shared" si="112"/>
        <v> </v>
      </c>
      <c r="AA95" s="162" t="str">
        <f t="shared" si="113"/>
        <v> </v>
      </c>
    </row>
    <row r="96" ht="12.75" customHeight="1">
      <c r="A96" s="157"/>
      <c r="B96" s="163" t="s">
        <v>77</v>
      </c>
      <c r="C96" s="159">
        <v>0.75</v>
      </c>
      <c r="D96" s="160">
        <v>2.0</v>
      </c>
      <c r="E96" s="161">
        <v>4.0</v>
      </c>
      <c r="F96" s="161">
        <f>'1RM'!$C$6*C96</f>
        <v>75</v>
      </c>
      <c r="G96" s="141"/>
      <c r="H96" s="142"/>
      <c r="I96" s="141"/>
      <c r="J96" s="142"/>
      <c r="K96" s="141">
        <f t="shared" si="107"/>
        <v>8</v>
      </c>
      <c r="L96" s="42">
        <f t="shared" si="108"/>
        <v>600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162" t="str">
        <f t="shared" si="109"/>
        <v> </v>
      </c>
      <c r="X96" s="162" t="str">
        <f t="shared" si="110"/>
        <v> </v>
      </c>
      <c r="Y96" s="162">
        <f t="shared" si="111"/>
        <v>8</v>
      </c>
      <c r="Z96" s="162" t="str">
        <f t="shared" si="112"/>
        <v> </v>
      </c>
      <c r="AA96" s="162" t="str">
        <f t="shared" si="113"/>
        <v> </v>
      </c>
    </row>
    <row r="97" ht="12.75" customHeight="1">
      <c r="A97" s="152">
        <v>4.0</v>
      </c>
      <c r="B97" s="153" t="s">
        <v>83</v>
      </c>
      <c r="C97" s="154"/>
      <c r="D97" s="156">
        <v>12.0</v>
      </c>
      <c r="E97" s="156">
        <v>5.0</v>
      </c>
      <c r="F97" s="156"/>
      <c r="G97" s="141"/>
      <c r="H97" s="142"/>
      <c r="I97" s="141"/>
      <c r="J97" s="142"/>
      <c r="K97" s="141"/>
      <c r="L97" s="42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152">
        <v>5.0</v>
      </c>
      <c r="B98" s="153" t="s">
        <v>56</v>
      </c>
      <c r="C98" s="154"/>
      <c r="D98" s="155">
        <v>10.0</v>
      </c>
      <c r="E98" s="156">
        <v>4.0</v>
      </c>
      <c r="F98" s="156"/>
      <c r="G98" s="141"/>
      <c r="H98" s="142"/>
      <c r="I98" s="141"/>
      <c r="J98" s="142"/>
      <c r="K98" s="141"/>
      <c r="L98" s="42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33"/>
      <c r="B99" s="134"/>
      <c r="C99" s="133"/>
      <c r="D99" s="42"/>
      <c r="E99" s="42"/>
      <c r="F99" s="42"/>
      <c r="G99" s="141"/>
      <c r="H99" s="142"/>
      <c r="I99" s="141"/>
      <c r="J99" s="142"/>
      <c r="K99" s="141"/>
      <c r="L99" s="42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33" t="s">
        <v>62</v>
      </c>
      <c r="B100" s="134"/>
      <c r="C100" s="135" t="s">
        <v>20</v>
      </c>
      <c r="D100" s="45" t="s">
        <v>51</v>
      </c>
      <c r="E100" s="45" t="s">
        <v>52</v>
      </c>
      <c r="F100" s="45" t="s">
        <v>53</v>
      </c>
      <c r="G100" s="141"/>
      <c r="H100" s="142"/>
      <c r="I100" s="141"/>
      <c r="J100" s="142"/>
      <c r="K100" s="141"/>
      <c r="L100" s="42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145">
        <v>1.0</v>
      </c>
      <c r="B101" s="146" t="s">
        <v>4</v>
      </c>
      <c r="C101" s="147">
        <v>0.55</v>
      </c>
      <c r="D101" s="148">
        <v>5.0</v>
      </c>
      <c r="E101" s="149">
        <v>1.0</v>
      </c>
      <c r="F101" s="149">
        <f>'1RM'!$C$4*C101</f>
        <v>55</v>
      </c>
      <c r="G101" s="141">
        <f t="shared" ref="G101:G104" si="114">D101*E101</f>
        <v>5</v>
      </c>
      <c r="H101" s="142">
        <f t="shared" ref="H101:H104" si="115">F101*G101</f>
        <v>275</v>
      </c>
      <c r="I101" s="141"/>
      <c r="J101" s="142"/>
      <c r="K101" s="141"/>
      <c r="L101" s="42"/>
      <c r="M101" s="150">
        <f t="shared" ref="M101:M104" si="116">IF(ISNUMBER(SEARCH("Sentadilla",$B101)),IF($C101&gt;=0.5,IF($C101&lt;0.6,$D101*$E101," ")," ")," ")</f>
        <v>5</v>
      </c>
      <c r="N101" s="150" t="str">
        <f t="shared" ref="N101:N104" si="117">IF(ISNUMBER(SEARCH("Sentadilla",$B101)),IF($C101&gt;=0.6,IF($C101&lt;0.7,$D101*$E101," ")," ")," ")</f>
        <v> </v>
      </c>
      <c r="O101" s="150" t="str">
        <f t="shared" ref="O101:O104" si="118">IF(ISNUMBER(SEARCH("Sentadilla",$B101)),IF($C101&gt;=0.7,IF($C101&lt;0.8,$D101*$E101," ")," ")," ")</f>
        <v> </v>
      </c>
      <c r="P101" s="150" t="str">
        <f t="shared" ref="P101:P104" si="119">IF(ISNUMBER(SEARCH("Sentadilla",$B101)),IF($C101&gt;=0.8,IF($C101&lt;0.9,$D101*$E101," ")," ")," ")</f>
        <v> </v>
      </c>
      <c r="Q101" s="150" t="str">
        <f t="shared" ref="Q101:Q104" si="120">IF(ISNUMBER(SEARCH("Sentadilla",$B101)),IF($C101&gt;=0.9,$D101*$E101," ")," ")</f>
        <v> 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145"/>
      <c r="B102" s="151" t="s">
        <v>4</v>
      </c>
      <c r="C102" s="147">
        <v>0.65</v>
      </c>
      <c r="D102" s="148">
        <v>4.0</v>
      </c>
      <c r="E102" s="149">
        <v>1.0</v>
      </c>
      <c r="F102" s="149">
        <f>'1RM'!$C$4*C102</f>
        <v>65</v>
      </c>
      <c r="G102" s="141">
        <f t="shared" si="114"/>
        <v>4</v>
      </c>
      <c r="H102" s="142">
        <f t="shared" si="115"/>
        <v>260</v>
      </c>
      <c r="I102" s="141"/>
      <c r="J102" s="142"/>
      <c r="K102" s="141"/>
      <c r="L102" s="42"/>
      <c r="M102" s="150" t="str">
        <f t="shared" si="116"/>
        <v> </v>
      </c>
      <c r="N102" s="150">
        <f t="shared" si="117"/>
        <v>4</v>
      </c>
      <c r="O102" s="150" t="str">
        <f t="shared" si="118"/>
        <v> </v>
      </c>
      <c r="P102" s="150" t="str">
        <f t="shared" si="119"/>
        <v> </v>
      </c>
      <c r="Q102" s="150" t="str">
        <f t="shared" si="120"/>
        <v> </v>
      </c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145"/>
      <c r="B103" s="151" t="s">
        <v>4</v>
      </c>
      <c r="C103" s="147">
        <v>0.75</v>
      </c>
      <c r="D103" s="148">
        <v>3.0</v>
      </c>
      <c r="E103" s="149">
        <v>1.0</v>
      </c>
      <c r="F103" s="149">
        <f>'1RM'!$C$4*C103</f>
        <v>75</v>
      </c>
      <c r="G103" s="141">
        <f t="shared" si="114"/>
        <v>3</v>
      </c>
      <c r="H103" s="142">
        <f t="shared" si="115"/>
        <v>225</v>
      </c>
      <c r="I103" s="141"/>
      <c r="J103" s="142"/>
      <c r="K103" s="141"/>
      <c r="L103" s="42"/>
      <c r="M103" s="150" t="str">
        <f t="shared" si="116"/>
        <v> </v>
      </c>
      <c r="N103" s="150" t="str">
        <f t="shared" si="117"/>
        <v> </v>
      </c>
      <c r="O103" s="150">
        <f t="shared" si="118"/>
        <v>3</v>
      </c>
      <c r="P103" s="150" t="str">
        <f t="shared" si="119"/>
        <v> </v>
      </c>
      <c r="Q103" s="150" t="str">
        <f t="shared" si="120"/>
        <v> </v>
      </c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145"/>
      <c r="B104" s="151" t="s">
        <v>4</v>
      </c>
      <c r="C104" s="147">
        <v>0.85</v>
      </c>
      <c r="D104" s="148">
        <v>2.0</v>
      </c>
      <c r="E104" s="149">
        <v>4.0</v>
      </c>
      <c r="F104" s="149">
        <f>'1RM'!$C$4*C104</f>
        <v>85</v>
      </c>
      <c r="G104" s="141">
        <f t="shared" si="114"/>
        <v>8</v>
      </c>
      <c r="H104" s="142">
        <f t="shared" si="115"/>
        <v>680</v>
      </c>
      <c r="I104" s="141"/>
      <c r="J104" s="142"/>
      <c r="K104" s="141"/>
      <c r="L104" s="42"/>
      <c r="M104" s="150" t="str">
        <f t="shared" si="116"/>
        <v> </v>
      </c>
      <c r="N104" s="150" t="str">
        <f t="shared" si="117"/>
        <v> </v>
      </c>
      <c r="O104" s="150" t="str">
        <f t="shared" si="118"/>
        <v> </v>
      </c>
      <c r="P104" s="150">
        <f t="shared" si="119"/>
        <v>8</v>
      </c>
      <c r="Q104" s="150" t="str">
        <f t="shared" si="120"/>
        <v> </v>
      </c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136">
        <v>2.0</v>
      </c>
      <c r="B105" s="137" t="s">
        <v>5</v>
      </c>
      <c r="C105" s="138">
        <v>0.5</v>
      </c>
      <c r="D105" s="139">
        <v>5.0</v>
      </c>
      <c r="E105" s="140">
        <v>1.0</v>
      </c>
      <c r="F105" s="140">
        <f>'1RM'!$C$5*C105</f>
        <v>50</v>
      </c>
      <c r="G105" s="141"/>
      <c r="H105" s="142"/>
      <c r="I105" s="141">
        <f t="shared" ref="I105:I108" si="121">D105*E105</f>
        <v>5</v>
      </c>
      <c r="J105" s="142">
        <f t="shared" ref="J105:J108" si="122">F105*I105</f>
        <v>250</v>
      </c>
      <c r="K105" s="141"/>
      <c r="L105" s="42"/>
      <c r="M105" s="5"/>
      <c r="N105" s="5"/>
      <c r="O105" s="5"/>
      <c r="P105" s="5"/>
      <c r="Q105" s="5"/>
      <c r="R105" s="143">
        <f t="shared" ref="R105:R108" si="123">IF(ISNUMBER(SEARCH("Press de banca",$B105)),IF($C105&gt;=0.5,IF($C105&lt;0.6,$D105*$E105," ")," ")," ")</f>
        <v>5</v>
      </c>
      <c r="S105" s="143" t="str">
        <f t="shared" ref="S105:S108" si="124">IF(ISNUMBER(SEARCH("Press de banca",$B105)),IF($C105&gt;=0.6,IF($C105&lt;0.7,$D105*$E105," ")," ")," ")</f>
        <v> </v>
      </c>
      <c r="T105" s="143" t="str">
        <f t="shared" ref="T105:T108" si="125">IF(ISNUMBER(SEARCH("Press de banca",$B105)),IF($C105&gt;=0.7,IF($C105&lt;0.8,$D105*$E105," ")," ")," ")</f>
        <v> </v>
      </c>
      <c r="U105" s="143" t="str">
        <f t="shared" ref="U105:U108" si="126">IF(ISNUMBER(SEARCH("Press de banca",$B105)),IF($C105&gt;=0.8,IF($C105&lt;0.9,$D105*$E105," ")," ")," ")</f>
        <v> </v>
      </c>
      <c r="V105" s="143" t="str">
        <f t="shared" ref="V105:V108" si="127">IF(ISNUMBER(SEARCH("Press de banca",$B105)),IF($C105&gt;=0.9,$D105*$E105," ")," ")</f>
        <v> </v>
      </c>
      <c r="W105" s="5"/>
      <c r="X105" s="5"/>
      <c r="Y105" s="5"/>
      <c r="Z105" s="5"/>
      <c r="AA105" s="5"/>
    </row>
    <row r="106" ht="12.75" customHeight="1">
      <c r="A106" s="136"/>
      <c r="B106" s="144" t="s">
        <v>5</v>
      </c>
      <c r="C106" s="138">
        <v>0.6</v>
      </c>
      <c r="D106" s="139">
        <v>4.0</v>
      </c>
      <c r="E106" s="140">
        <v>1.0</v>
      </c>
      <c r="F106" s="140">
        <f>'1RM'!$C$5*C106</f>
        <v>60</v>
      </c>
      <c r="G106" s="141"/>
      <c r="H106" s="142"/>
      <c r="I106" s="141">
        <f t="shared" si="121"/>
        <v>4</v>
      </c>
      <c r="J106" s="142">
        <f t="shared" si="122"/>
        <v>240</v>
      </c>
      <c r="K106" s="141"/>
      <c r="L106" s="42"/>
      <c r="M106" s="5"/>
      <c r="N106" s="5"/>
      <c r="O106" s="5"/>
      <c r="P106" s="5"/>
      <c r="Q106" s="5"/>
      <c r="R106" s="143" t="str">
        <f t="shared" si="123"/>
        <v> </v>
      </c>
      <c r="S106" s="143">
        <f t="shared" si="124"/>
        <v>4</v>
      </c>
      <c r="T106" s="143" t="str">
        <f t="shared" si="125"/>
        <v> </v>
      </c>
      <c r="U106" s="143" t="str">
        <f t="shared" si="126"/>
        <v> </v>
      </c>
      <c r="V106" s="143" t="str">
        <f t="shared" si="127"/>
        <v> </v>
      </c>
      <c r="W106" s="5"/>
      <c r="X106" s="5"/>
      <c r="Y106" s="5"/>
      <c r="Z106" s="5"/>
      <c r="AA106" s="5"/>
    </row>
    <row r="107" ht="12.75" customHeight="1">
      <c r="A107" s="136"/>
      <c r="B107" s="144" t="s">
        <v>5</v>
      </c>
      <c r="C107" s="138">
        <v>0.7</v>
      </c>
      <c r="D107" s="139">
        <v>3.0</v>
      </c>
      <c r="E107" s="140">
        <v>1.0</v>
      </c>
      <c r="F107" s="140">
        <f>'1RM'!$C$5*C107</f>
        <v>70</v>
      </c>
      <c r="G107" s="141"/>
      <c r="H107" s="142"/>
      <c r="I107" s="141">
        <f t="shared" si="121"/>
        <v>3</v>
      </c>
      <c r="J107" s="142">
        <f t="shared" si="122"/>
        <v>210</v>
      </c>
      <c r="K107" s="141"/>
      <c r="L107" s="42"/>
      <c r="M107" s="5"/>
      <c r="N107" s="5"/>
      <c r="O107" s="5"/>
      <c r="P107" s="5"/>
      <c r="Q107" s="5"/>
      <c r="R107" s="143" t="str">
        <f t="shared" si="123"/>
        <v> </v>
      </c>
      <c r="S107" s="143" t="str">
        <f t="shared" si="124"/>
        <v> </v>
      </c>
      <c r="T107" s="143">
        <f t="shared" si="125"/>
        <v>3</v>
      </c>
      <c r="U107" s="143" t="str">
        <f t="shared" si="126"/>
        <v> </v>
      </c>
      <c r="V107" s="143" t="str">
        <f t="shared" si="127"/>
        <v> </v>
      </c>
      <c r="W107" s="5"/>
      <c r="X107" s="5"/>
      <c r="Y107" s="5"/>
      <c r="Z107" s="5"/>
      <c r="AA107" s="5"/>
    </row>
    <row r="108" ht="12.75" customHeight="1">
      <c r="A108" s="136"/>
      <c r="B108" s="144" t="s">
        <v>5</v>
      </c>
      <c r="C108" s="138">
        <v>0.8</v>
      </c>
      <c r="D108" s="139">
        <v>5.0</v>
      </c>
      <c r="E108" s="140">
        <v>5.0</v>
      </c>
      <c r="F108" s="140">
        <f>'1RM'!$C$5*C108</f>
        <v>80</v>
      </c>
      <c r="G108" s="141"/>
      <c r="H108" s="142"/>
      <c r="I108" s="141">
        <f t="shared" si="121"/>
        <v>25</v>
      </c>
      <c r="J108" s="142">
        <f t="shared" si="122"/>
        <v>2000</v>
      </c>
      <c r="K108" s="141"/>
      <c r="L108" s="42"/>
      <c r="M108" s="5"/>
      <c r="N108" s="5"/>
      <c r="O108" s="5"/>
      <c r="P108" s="5"/>
      <c r="Q108" s="5"/>
      <c r="R108" s="143" t="str">
        <f t="shared" si="123"/>
        <v> </v>
      </c>
      <c r="S108" s="143" t="str">
        <f t="shared" si="124"/>
        <v> </v>
      </c>
      <c r="T108" s="143" t="str">
        <f t="shared" si="125"/>
        <v> </v>
      </c>
      <c r="U108" s="143">
        <f t="shared" si="126"/>
        <v>25</v>
      </c>
      <c r="V108" s="143" t="str">
        <f t="shared" si="127"/>
        <v> </v>
      </c>
      <c r="W108" s="5"/>
      <c r="X108" s="5"/>
      <c r="Y108" s="5"/>
      <c r="Z108" s="5"/>
      <c r="AA108" s="5"/>
    </row>
    <row r="109" ht="12.75" customHeight="1">
      <c r="A109" s="145">
        <v>3.0</v>
      </c>
      <c r="B109" s="146" t="s">
        <v>4</v>
      </c>
      <c r="C109" s="147">
        <v>0.5</v>
      </c>
      <c r="D109" s="148">
        <v>3.0</v>
      </c>
      <c r="E109" s="149">
        <v>1.0</v>
      </c>
      <c r="F109" s="149">
        <f>'1RM'!$C$4*C109</f>
        <v>50</v>
      </c>
      <c r="G109" s="141">
        <f t="shared" ref="G109:G112" si="128">D109*E109</f>
        <v>3</v>
      </c>
      <c r="H109" s="142">
        <f t="shared" ref="H109:H112" si="129">F109*G109</f>
        <v>150</v>
      </c>
      <c r="I109" s="141"/>
      <c r="J109" s="142"/>
      <c r="K109" s="141"/>
      <c r="L109" s="42"/>
      <c r="M109" s="150">
        <f t="shared" ref="M109:M112" si="130">IF(ISNUMBER(SEARCH("Sentadilla",$B109)),IF($C109&gt;=0.5,IF($C109&lt;0.6,$D109*$E109," ")," ")," ")</f>
        <v>3</v>
      </c>
      <c r="N109" s="150" t="str">
        <f t="shared" ref="N109:N112" si="131">IF(ISNUMBER(SEARCH("Sentadilla",$B109)),IF($C109&gt;=0.6,IF($C109&lt;0.7,$D109*$E109," ")," ")," ")</f>
        <v> </v>
      </c>
      <c r="O109" s="150" t="str">
        <f t="shared" ref="O109:O112" si="132">IF(ISNUMBER(SEARCH("Sentadilla",$B109)),IF($C109&gt;=0.7,IF($C109&lt;0.8,$D109*$E109," ")," ")," ")</f>
        <v> </v>
      </c>
      <c r="P109" s="150" t="str">
        <f t="shared" ref="P109:P112" si="133">IF(ISNUMBER(SEARCH("Sentadilla",$B109)),IF($C109&gt;=0.8,IF($C109&lt;0.9,$D109*$E109," ")," ")," ")</f>
        <v> </v>
      </c>
      <c r="Q109" s="150" t="str">
        <f t="shared" ref="Q109:Q112" si="134">IF(ISNUMBER(SEARCH("Sentadilla",$B109)),IF($C109&gt;=0.9,$D109*$E109," ")," ")</f>
        <v> </v>
      </c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145"/>
      <c r="B110" s="151" t="s">
        <v>4</v>
      </c>
      <c r="C110" s="147">
        <v>0.6</v>
      </c>
      <c r="D110" s="148">
        <v>3.0</v>
      </c>
      <c r="E110" s="149">
        <v>1.0</v>
      </c>
      <c r="F110" s="149">
        <f>'1RM'!$C$4*C110</f>
        <v>60</v>
      </c>
      <c r="G110" s="141">
        <f t="shared" si="128"/>
        <v>3</v>
      </c>
      <c r="H110" s="142">
        <f t="shared" si="129"/>
        <v>180</v>
      </c>
      <c r="I110" s="141"/>
      <c r="J110" s="142"/>
      <c r="K110" s="141"/>
      <c r="L110" s="42"/>
      <c r="M110" s="150" t="str">
        <f t="shared" si="130"/>
        <v> </v>
      </c>
      <c r="N110" s="150">
        <f t="shared" si="131"/>
        <v>3</v>
      </c>
      <c r="O110" s="150" t="str">
        <f t="shared" si="132"/>
        <v> </v>
      </c>
      <c r="P110" s="150" t="str">
        <f t="shared" si="133"/>
        <v> </v>
      </c>
      <c r="Q110" s="150" t="str">
        <f t="shared" si="134"/>
        <v> </v>
      </c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145"/>
      <c r="B111" s="151" t="s">
        <v>4</v>
      </c>
      <c r="C111" s="147">
        <v>0.7</v>
      </c>
      <c r="D111" s="148">
        <v>3.0</v>
      </c>
      <c r="E111" s="149">
        <v>1.0</v>
      </c>
      <c r="F111" s="149">
        <f>'1RM'!$C$4*C111</f>
        <v>70</v>
      </c>
      <c r="G111" s="141">
        <f t="shared" si="128"/>
        <v>3</v>
      </c>
      <c r="H111" s="142">
        <f t="shared" si="129"/>
        <v>210</v>
      </c>
      <c r="I111" s="141"/>
      <c r="J111" s="142"/>
      <c r="K111" s="141"/>
      <c r="L111" s="42"/>
      <c r="M111" s="150" t="str">
        <f t="shared" si="130"/>
        <v> </v>
      </c>
      <c r="N111" s="150" t="str">
        <f t="shared" si="131"/>
        <v> </v>
      </c>
      <c r="O111" s="150">
        <f t="shared" si="132"/>
        <v>3</v>
      </c>
      <c r="P111" s="150" t="str">
        <f t="shared" si="133"/>
        <v> </v>
      </c>
      <c r="Q111" s="150" t="str">
        <f t="shared" si="134"/>
        <v> </v>
      </c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145"/>
      <c r="B112" s="151" t="s">
        <v>4</v>
      </c>
      <c r="C112" s="147">
        <v>0.8</v>
      </c>
      <c r="D112" s="148">
        <v>5.0</v>
      </c>
      <c r="E112" s="149">
        <v>3.0</v>
      </c>
      <c r="F112" s="149">
        <f>'1RM'!$C$4*C112</f>
        <v>80</v>
      </c>
      <c r="G112" s="141">
        <f t="shared" si="128"/>
        <v>15</v>
      </c>
      <c r="H112" s="142">
        <f t="shared" si="129"/>
        <v>1200</v>
      </c>
      <c r="I112" s="141"/>
      <c r="J112" s="142"/>
      <c r="K112" s="141"/>
      <c r="L112" s="42"/>
      <c r="M112" s="150" t="str">
        <f t="shared" si="130"/>
        <v> </v>
      </c>
      <c r="N112" s="150" t="str">
        <f t="shared" si="131"/>
        <v> </v>
      </c>
      <c r="O112" s="150" t="str">
        <f t="shared" si="132"/>
        <v> </v>
      </c>
      <c r="P112" s="150">
        <f t="shared" si="133"/>
        <v>15</v>
      </c>
      <c r="Q112" s="150" t="str">
        <f t="shared" si="134"/>
        <v> </v>
      </c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152">
        <v>4.0</v>
      </c>
      <c r="B113" s="153" t="s">
        <v>55</v>
      </c>
      <c r="C113" s="154"/>
      <c r="D113" s="155">
        <v>10.0</v>
      </c>
      <c r="E113" s="156">
        <v>5.0</v>
      </c>
      <c r="F113" s="156"/>
      <c r="G113" s="141"/>
      <c r="H113" s="142"/>
      <c r="I113" s="141"/>
      <c r="J113" s="142"/>
      <c r="K113" s="141"/>
      <c r="L113" s="42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164">
        <v>5.0</v>
      </c>
      <c r="B114" s="165" t="s">
        <v>65</v>
      </c>
      <c r="C114" s="166"/>
      <c r="D114" s="167">
        <v>8.0</v>
      </c>
      <c r="E114" s="168">
        <v>4.0</v>
      </c>
      <c r="F114" s="168"/>
      <c r="G114" s="141"/>
      <c r="H114" s="142"/>
      <c r="I114" s="141"/>
      <c r="J114" s="142"/>
      <c r="K114" s="141"/>
      <c r="L114" s="42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33"/>
      <c r="B115" s="134"/>
      <c r="C115" s="135"/>
      <c r="D115" s="45"/>
      <c r="E115" s="45"/>
      <c r="F115" s="45"/>
      <c r="G115" s="141"/>
      <c r="H115" s="142"/>
      <c r="I115" s="141"/>
      <c r="J115" s="142"/>
      <c r="K115" s="141"/>
      <c r="L115" s="42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33" t="s">
        <v>66</v>
      </c>
      <c r="B116" s="134"/>
      <c r="C116" s="135" t="s">
        <v>20</v>
      </c>
      <c r="D116" s="45" t="s">
        <v>51</v>
      </c>
      <c r="E116" s="45" t="s">
        <v>52</v>
      </c>
      <c r="F116" s="45" t="s">
        <v>53</v>
      </c>
      <c r="G116" s="141"/>
      <c r="H116" s="142"/>
      <c r="I116" s="141"/>
      <c r="J116" s="142"/>
      <c r="K116" s="141"/>
      <c r="L116" s="42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157">
        <v>1.0</v>
      </c>
      <c r="B117" s="158" t="s">
        <v>59</v>
      </c>
      <c r="C117" s="159">
        <v>0.5</v>
      </c>
      <c r="D117" s="160">
        <v>3.0</v>
      </c>
      <c r="E117" s="161">
        <v>1.0</v>
      </c>
      <c r="F117" s="161">
        <f>'1RM'!$C$6*C117</f>
        <v>50</v>
      </c>
      <c r="G117" s="141"/>
      <c r="H117" s="142"/>
      <c r="I117" s="141"/>
      <c r="J117" s="142"/>
      <c r="K117" s="141">
        <f t="shared" ref="K117:K120" si="135">D117*E117</f>
        <v>3</v>
      </c>
      <c r="L117" s="42">
        <f t="shared" ref="L117:L120" si="136">F117*K117</f>
        <v>150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162">
        <f t="shared" ref="W117:W120" si="137">IF(ISNUMBER(SEARCH("Peso muerto",$B117)),IF($C117&gt;=0.5,IF($C117&lt;0.6,$D117*$E117," ")," ")," ")</f>
        <v>3</v>
      </c>
      <c r="X117" s="162" t="str">
        <f t="shared" ref="X117:X120" si="138">IF(ISNUMBER(SEARCH("Peso muerto",$B117)),IF($C117&gt;=0.6,IF($C117&lt;0.7,$D117*$E117," ")," ")," ")</f>
        <v> </v>
      </c>
      <c r="Y117" s="162" t="str">
        <f t="shared" ref="Y117:Y120" si="139">IF(ISNUMBER(SEARCH("Peso muerto",$B117)),IF($C117&gt;=0.7,IF($C117&lt;0.8,$D117*$E117," ")," ")," ")</f>
        <v> </v>
      </c>
      <c r="Z117" s="162" t="str">
        <f t="shared" ref="Z117:Z120" si="140">IF(ISNUMBER(SEARCH("Peso muerto",$B117)),IF($C117&gt;=0.8,IF($C117&lt;0.9,$D117*$E117," ")," ")," ")</f>
        <v> </v>
      </c>
      <c r="AA117" s="162" t="str">
        <f t="shared" ref="AA117:AA120" si="141">IF(ISNUMBER(SEARCH("Peso muerto",$B117)),IF($C117&gt;=0.9,$D117*$E117," ")," ")</f>
        <v> </v>
      </c>
    </row>
    <row r="118" ht="12.75" customHeight="1">
      <c r="A118" s="157"/>
      <c r="B118" s="163" t="s">
        <v>59</v>
      </c>
      <c r="C118" s="159">
        <v>0.6</v>
      </c>
      <c r="D118" s="160">
        <v>3.0</v>
      </c>
      <c r="E118" s="161">
        <v>1.0</v>
      </c>
      <c r="F118" s="161">
        <f>'1RM'!$C$6*C118</f>
        <v>60</v>
      </c>
      <c r="G118" s="141"/>
      <c r="H118" s="142"/>
      <c r="I118" s="141"/>
      <c r="J118" s="142"/>
      <c r="K118" s="141">
        <f t="shared" si="135"/>
        <v>3</v>
      </c>
      <c r="L118" s="42">
        <f t="shared" si="136"/>
        <v>180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162" t="str">
        <f t="shared" si="137"/>
        <v> </v>
      </c>
      <c r="X118" s="162">
        <f t="shared" si="138"/>
        <v>3</v>
      </c>
      <c r="Y118" s="162" t="str">
        <f t="shared" si="139"/>
        <v> </v>
      </c>
      <c r="Z118" s="162" t="str">
        <f t="shared" si="140"/>
        <v> </v>
      </c>
      <c r="AA118" s="162" t="str">
        <f t="shared" si="141"/>
        <v> </v>
      </c>
    </row>
    <row r="119" ht="12.75" customHeight="1">
      <c r="A119" s="157"/>
      <c r="B119" s="163" t="s">
        <v>59</v>
      </c>
      <c r="C119" s="159">
        <v>0.7</v>
      </c>
      <c r="D119" s="160">
        <v>3.0</v>
      </c>
      <c r="E119" s="161">
        <v>1.0</v>
      </c>
      <c r="F119" s="161">
        <f>'1RM'!$C$6*C119</f>
        <v>70</v>
      </c>
      <c r="G119" s="141"/>
      <c r="H119" s="142"/>
      <c r="I119" s="141"/>
      <c r="J119" s="142"/>
      <c r="K119" s="141">
        <f t="shared" si="135"/>
        <v>3</v>
      </c>
      <c r="L119" s="42">
        <f t="shared" si="136"/>
        <v>210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162" t="str">
        <f t="shared" si="137"/>
        <v> </v>
      </c>
      <c r="X119" s="162" t="str">
        <f t="shared" si="138"/>
        <v> </v>
      </c>
      <c r="Y119" s="162">
        <f t="shared" si="139"/>
        <v>3</v>
      </c>
      <c r="Z119" s="162" t="str">
        <f t="shared" si="140"/>
        <v> </v>
      </c>
      <c r="AA119" s="162" t="str">
        <f t="shared" si="141"/>
        <v> </v>
      </c>
    </row>
    <row r="120" ht="12.75" customHeight="1">
      <c r="A120" s="157"/>
      <c r="B120" s="163" t="s">
        <v>59</v>
      </c>
      <c r="C120" s="159">
        <v>0.75</v>
      </c>
      <c r="D120" s="160">
        <v>2.0</v>
      </c>
      <c r="E120" s="161">
        <v>4.0</v>
      </c>
      <c r="F120" s="161">
        <f>'1RM'!$C$6*C120</f>
        <v>75</v>
      </c>
      <c r="G120" s="141"/>
      <c r="H120" s="142"/>
      <c r="I120" s="141"/>
      <c r="J120" s="142"/>
      <c r="K120" s="141">
        <f t="shared" si="135"/>
        <v>8</v>
      </c>
      <c r="L120" s="42">
        <f t="shared" si="136"/>
        <v>600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162" t="str">
        <f t="shared" si="137"/>
        <v> </v>
      </c>
      <c r="X120" s="162" t="str">
        <f t="shared" si="138"/>
        <v> </v>
      </c>
      <c r="Y120" s="162">
        <f t="shared" si="139"/>
        <v>8</v>
      </c>
      <c r="Z120" s="162" t="str">
        <f t="shared" si="140"/>
        <v> </v>
      </c>
      <c r="AA120" s="162" t="str">
        <f t="shared" si="141"/>
        <v> </v>
      </c>
    </row>
    <row r="121" ht="12.75" customHeight="1">
      <c r="A121" s="152">
        <v>2.0</v>
      </c>
      <c r="B121" s="153" t="s">
        <v>88</v>
      </c>
      <c r="C121" s="154"/>
      <c r="D121" s="156">
        <v>10.0</v>
      </c>
      <c r="E121" s="156">
        <v>5.0</v>
      </c>
      <c r="F121" s="154"/>
      <c r="G121" s="141"/>
      <c r="H121" s="142"/>
      <c r="I121" s="141"/>
      <c r="J121" s="142"/>
      <c r="K121" s="141"/>
      <c r="L121" s="42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152">
        <v>3.0</v>
      </c>
      <c r="B122" s="153" t="s">
        <v>69</v>
      </c>
      <c r="C122" s="154"/>
      <c r="D122" s="155">
        <v>10.0</v>
      </c>
      <c r="E122" s="156">
        <v>5.0</v>
      </c>
      <c r="F122" s="156"/>
      <c r="G122" s="141"/>
      <c r="H122" s="142"/>
      <c r="I122" s="141"/>
      <c r="J122" s="142"/>
      <c r="K122" s="141"/>
      <c r="L122" s="42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152">
        <v>4.0</v>
      </c>
      <c r="B123" s="153" t="s">
        <v>60</v>
      </c>
      <c r="C123" s="154"/>
      <c r="D123" s="155">
        <v>10.0</v>
      </c>
      <c r="E123" s="156">
        <v>5.0</v>
      </c>
      <c r="F123" s="156"/>
      <c r="G123" s="141"/>
      <c r="H123" s="142"/>
      <c r="I123" s="141"/>
      <c r="J123" s="142"/>
      <c r="K123" s="141"/>
      <c r="L123" s="42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169"/>
      <c r="B124" s="170"/>
      <c r="C124" s="171"/>
      <c r="D124" s="172"/>
      <c r="E124" s="172"/>
      <c r="F124" s="172"/>
      <c r="G124" s="173">
        <f t="shared" ref="G124:AA124" si="142">SUM(G69:G123)</f>
        <v>76</v>
      </c>
      <c r="H124" s="174">
        <f t="shared" si="142"/>
        <v>5480</v>
      </c>
      <c r="I124" s="173">
        <f t="shared" si="142"/>
        <v>115</v>
      </c>
      <c r="J124" s="174">
        <f t="shared" si="142"/>
        <v>8325</v>
      </c>
      <c r="K124" s="173">
        <f t="shared" si="142"/>
        <v>48</v>
      </c>
      <c r="L124" s="172">
        <f t="shared" si="142"/>
        <v>3170</v>
      </c>
      <c r="M124" s="5">
        <f t="shared" si="142"/>
        <v>13</v>
      </c>
      <c r="N124" s="5">
        <f t="shared" si="142"/>
        <v>11</v>
      </c>
      <c r="O124" s="5">
        <f t="shared" si="142"/>
        <v>9</v>
      </c>
      <c r="P124" s="5">
        <f t="shared" si="142"/>
        <v>43</v>
      </c>
      <c r="Q124" s="5">
        <f t="shared" si="142"/>
        <v>0</v>
      </c>
      <c r="R124" s="34">
        <f t="shared" si="142"/>
        <v>18</v>
      </c>
      <c r="S124" s="34">
        <f t="shared" si="142"/>
        <v>15</v>
      </c>
      <c r="T124" s="34">
        <f t="shared" si="142"/>
        <v>25</v>
      </c>
      <c r="U124" s="34">
        <f t="shared" si="142"/>
        <v>51</v>
      </c>
      <c r="V124" s="34">
        <f t="shared" si="142"/>
        <v>6</v>
      </c>
      <c r="W124" s="175">
        <f t="shared" si="142"/>
        <v>9</v>
      </c>
      <c r="X124" s="175">
        <f t="shared" si="142"/>
        <v>9</v>
      </c>
      <c r="Y124" s="175">
        <f t="shared" si="142"/>
        <v>30</v>
      </c>
      <c r="Z124" s="175">
        <f t="shared" si="142"/>
        <v>0</v>
      </c>
      <c r="AA124" s="175">
        <f t="shared" si="142"/>
        <v>0</v>
      </c>
    </row>
    <row r="125" ht="12.75" customHeight="1">
      <c r="A125" s="33" t="s">
        <v>23</v>
      </c>
      <c r="B125" s="33"/>
      <c r="C125" s="133"/>
      <c r="D125" s="42"/>
      <c r="E125" s="42"/>
      <c r="F125" s="42"/>
      <c r="G125" s="141"/>
      <c r="H125" s="142"/>
      <c r="I125" s="141"/>
      <c r="J125" s="142"/>
      <c r="K125" s="141"/>
      <c r="L125" s="42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33" t="s">
        <v>50</v>
      </c>
      <c r="B126" s="134"/>
      <c r="C126" s="135" t="s">
        <v>20</v>
      </c>
      <c r="D126" s="45" t="s">
        <v>51</v>
      </c>
      <c r="E126" s="45" t="s">
        <v>52</v>
      </c>
      <c r="F126" s="45" t="s">
        <v>53</v>
      </c>
      <c r="G126" s="141"/>
      <c r="H126" s="142"/>
      <c r="I126" s="141"/>
      <c r="J126" s="142"/>
      <c r="K126" s="141"/>
      <c r="L126" s="42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136">
        <v>1.0</v>
      </c>
      <c r="B127" s="137" t="s">
        <v>5</v>
      </c>
      <c r="C127" s="138">
        <v>0.55</v>
      </c>
      <c r="D127" s="139">
        <v>5.0</v>
      </c>
      <c r="E127" s="140">
        <v>1.0</v>
      </c>
      <c r="F127" s="140">
        <f>'1RM'!$C$5*C127</f>
        <v>55</v>
      </c>
      <c r="G127" s="141"/>
      <c r="H127" s="142"/>
      <c r="I127" s="141">
        <f t="shared" ref="I127:I130" si="143">D127*E127</f>
        <v>5</v>
      </c>
      <c r="J127" s="142">
        <f t="shared" ref="J127:J130" si="144">F127*I127</f>
        <v>275</v>
      </c>
      <c r="K127" s="141"/>
      <c r="L127" s="42"/>
      <c r="M127" s="5"/>
      <c r="N127" s="5"/>
      <c r="O127" s="5"/>
      <c r="P127" s="5"/>
      <c r="Q127" s="5"/>
      <c r="R127" s="143">
        <f t="shared" ref="R127:R130" si="145">IF(ISNUMBER(SEARCH("Press de banca",$B127)),IF($C127&gt;=0.5,IF($C127&lt;0.6,$D127*$E127," ")," ")," ")</f>
        <v>5</v>
      </c>
      <c r="S127" s="143" t="str">
        <f t="shared" ref="S127:S130" si="146">IF(ISNUMBER(SEARCH("Press de banca",$B127)),IF($C127&gt;=0.6,IF($C127&lt;0.7,$D127*$E127," ")," ")," ")</f>
        <v> </v>
      </c>
      <c r="T127" s="143" t="str">
        <f t="shared" ref="T127:T130" si="147">IF(ISNUMBER(SEARCH("Press de banca",$B127)),IF($C127&gt;=0.7,IF($C127&lt;0.8,$D127*$E127," ")," ")," ")</f>
        <v> </v>
      </c>
      <c r="U127" s="143" t="str">
        <f t="shared" ref="U127:U130" si="148">IF(ISNUMBER(SEARCH("Press de banca",$B127)),IF($C127&gt;=0.8,IF($C127&lt;0.9,$D127*$E127," ")," ")," ")</f>
        <v> </v>
      </c>
      <c r="V127" s="143" t="str">
        <f t="shared" ref="V127:V130" si="149">IF(ISNUMBER(SEARCH("Press de banca",$B127)),IF($C127&gt;=0.9,$D127*$E127," ")," ")</f>
        <v> </v>
      </c>
      <c r="W127" s="5"/>
      <c r="X127" s="5"/>
      <c r="Y127" s="5"/>
      <c r="Z127" s="5"/>
      <c r="AA127" s="5"/>
    </row>
    <row r="128" ht="12.75" customHeight="1">
      <c r="A128" s="136"/>
      <c r="B128" s="144" t="s">
        <v>5</v>
      </c>
      <c r="C128" s="138">
        <v>0.65</v>
      </c>
      <c r="D128" s="139">
        <v>4.0</v>
      </c>
      <c r="E128" s="140">
        <v>1.0</v>
      </c>
      <c r="F128" s="140">
        <f>'1RM'!$C$5*C128</f>
        <v>65</v>
      </c>
      <c r="G128" s="141"/>
      <c r="H128" s="142"/>
      <c r="I128" s="141">
        <f t="shared" si="143"/>
        <v>4</v>
      </c>
      <c r="J128" s="142">
        <f t="shared" si="144"/>
        <v>260</v>
      </c>
      <c r="K128" s="141"/>
      <c r="L128" s="42"/>
      <c r="M128" s="5"/>
      <c r="N128" s="5"/>
      <c r="O128" s="5"/>
      <c r="P128" s="5"/>
      <c r="Q128" s="5"/>
      <c r="R128" s="143" t="str">
        <f t="shared" si="145"/>
        <v> </v>
      </c>
      <c r="S128" s="143">
        <f t="shared" si="146"/>
        <v>4</v>
      </c>
      <c r="T128" s="143" t="str">
        <f t="shared" si="147"/>
        <v> </v>
      </c>
      <c r="U128" s="143" t="str">
        <f t="shared" si="148"/>
        <v> </v>
      </c>
      <c r="V128" s="143" t="str">
        <f t="shared" si="149"/>
        <v> </v>
      </c>
      <c r="W128" s="5"/>
      <c r="X128" s="5"/>
      <c r="Y128" s="5"/>
      <c r="Z128" s="5"/>
      <c r="AA128" s="5"/>
    </row>
    <row r="129" ht="12.75" customHeight="1">
      <c r="A129" s="136"/>
      <c r="B129" s="144" t="s">
        <v>5</v>
      </c>
      <c r="C129" s="138">
        <v>0.75</v>
      </c>
      <c r="D129" s="139">
        <v>3.0</v>
      </c>
      <c r="E129" s="140">
        <v>1.0</v>
      </c>
      <c r="F129" s="140">
        <f>'1RM'!$C$5*C129</f>
        <v>75</v>
      </c>
      <c r="G129" s="141"/>
      <c r="H129" s="142"/>
      <c r="I129" s="141">
        <f t="shared" si="143"/>
        <v>3</v>
      </c>
      <c r="J129" s="142">
        <f t="shared" si="144"/>
        <v>225</v>
      </c>
      <c r="K129" s="141"/>
      <c r="L129" s="42"/>
      <c r="M129" s="5"/>
      <c r="N129" s="5"/>
      <c r="O129" s="5"/>
      <c r="P129" s="5"/>
      <c r="Q129" s="5"/>
      <c r="R129" s="143" t="str">
        <f t="shared" si="145"/>
        <v> </v>
      </c>
      <c r="S129" s="143" t="str">
        <f t="shared" si="146"/>
        <v> </v>
      </c>
      <c r="T129" s="143">
        <f t="shared" si="147"/>
        <v>3</v>
      </c>
      <c r="U129" s="143" t="str">
        <f t="shared" si="148"/>
        <v> </v>
      </c>
      <c r="V129" s="143" t="str">
        <f t="shared" si="149"/>
        <v> </v>
      </c>
      <c r="W129" s="5"/>
      <c r="X129" s="5"/>
      <c r="Y129" s="5"/>
      <c r="Z129" s="5"/>
      <c r="AA129" s="5"/>
    </row>
    <row r="130" ht="12.75" customHeight="1">
      <c r="A130" s="136"/>
      <c r="B130" s="144" t="s">
        <v>5</v>
      </c>
      <c r="C130" s="138">
        <v>0.85</v>
      </c>
      <c r="D130" s="139">
        <v>2.0</v>
      </c>
      <c r="E130" s="140">
        <v>4.0</v>
      </c>
      <c r="F130" s="140">
        <f>'1RM'!$C$5*C130</f>
        <v>85</v>
      </c>
      <c r="G130" s="141"/>
      <c r="H130" s="142"/>
      <c r="I130" s="141">
        <f t="shared" si="143"/>
        <v>8</v>
      </c>
      <c r="J130" s="142">
        <f t="shared" si="144"/>
        <v>680</v>
      </c>
      <c r="K130" s="141"/>
      <c r="L130" s="42"/>
      <c r="M130" s="5"/>
      <c r="N130" s="5"/>
      <c r="O130" s="5"/>
      <c r="P130" s="5"/>
      <c r="Q130" s="5"/>
      <c r="R130" s="143" t="str">
        <f t="shared" si="145"/>
        <v> </v>
      </c>
      <c r="S130" s="143" t="str">
        <f t="shared" si="146"/>
        <v> </v>
      </c>
      <c r="T130" s="143" t="str">
        <f t="shared" si="147"/>
        <v> </v>
      </c>
      <c r="U130" s="143">
        <f t="shared" si="148"/>
        <v>8</v>
      </c>
      <c r="V130" s="143" t="str">
        <f t="shared" si="149"/>
        <v> </v>
      </c>
      <c r="W130" s="5"/>
      <c r="X130" s="5"/>
      <c r="Y130" s="5"/>
      <c r="Z130" s="5"/>
      <c r="AA130" s="5"/>
    </row>
    <row r="131" ht="12.75" customHeight="1">
      <c r="A131" s="145">
        <v>2.0</v>
      </c>
      <c r="B131" s="146" t="s">
        <v>4</v>
      </c>
      <c r="C131" s="147">
        <v>0.5</v>
      </c>
      <c r="D131" s="148">
        <v>5.0</v>
      </c>
      <c r="E131" s="149">
        <v>1.0</v>
      </c>
      <c r="F131" s="149">
        <f>'1RM'!$C$4*C131</f>
        <v>50</v>
      </c>
      <c r="G131" s="141">
        <f t="shared" ref="G131:G138" si="150">D131*E131</f>
        <v>5</v>
      </c>
      <c r="H131" s="142">
        <f t="shared" ref="H131:H138" si="151">F131*G131</f>
        <v>250</v>
      </c>
      <c r="I131" s="141"/>
      <c r="J131" s="142"/>
      <c r="K131" s="141"/>
      <c r="L131" s="42"/>
      <c r="M131" s="150">
        <f t="shared" ref="M131:M138" si="152">IF(ISNUMBER(SEARCH("Sentadilla",$B131)),IF($C131&gt;=0.5,IF($C131&lt;0.6,$D131*$E131," ")," ")," ")</f>
        <v>5</v>
      </c>
      <c r="N131" s="150" t="str">
        <f t="shared" ref="N131:N138" si="153">IF(ISNUMBER(SEARCH("Sentadilla",$B131)),IF($C131&gt;=0.6,IF($C131&lt;0.7,$D131*$E131," ")," ")," ")</f>
        <v> </v>
      </c>
      <c r="O131" s="150" t="str">
        <f t="shared" ref="O131:O138" si="154">IF(ISNUMBER(SEARCH("Sentadilla",$B131)),IF($C131&gt;=0.7,IF($C131&lt;0.8,$D131*$E131," ")," ")," ")</f>
        <v> </v>
      </c>
      <c r="P131" s="150" t="str">
        <f t="shared" ref="P131:P138" si="155">IF(ISNUMBER(SEARCH("Sentadilla",$B131)),IF($C131&gt;=0.8,IF($C131&lt;0.9,$D131*$E131," ")," ")," ")</f>
        <v> </v>
      </c>
      <c r="Q131" s="150" t="str">
        <f t="shared" ref="Q131:Q138" si="156">IF(ISNUMBER(SEARCH("Sentadilla",$B131)),IF($C131&gt;=0.9,$D131*$E131," ")," ")</f>
        <v> </v>
      </c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145"/>
      <c r="B132" s="151" t="s">
        <v>4</v>
      </c>
      <c r="C132" s="147">
        <v>0.6</v>
      </c>
      <c r="D132" s="148">
        <v>5.0</v>
      </c>
      <c r="E132" s="149">
        <v>1.0</v>
      </c>
      <c r="F132" s="149">
        <f>'1RM'!$C$4*C132</f>
        <v>60</v>
      </c>
      <c r="G132" s="141">
        <f t="shared" si="150"/>
        <v>5</v>
      </c>
      <c r="H132" s="142">
        <f t="shared" si="151"/>
        <v>300</v>
      </c>
      <c r="I132" s="141"/>
      <c r="J132" s="142"/>
      <c r="K132" s="141"/>
      <c r="L132" s="42"/>
      <c r="M132" s="150" t="str">
        <f t="shared" si="152"/>
        <v> </v>
      </c>
      <c r="N132" s="150">
        <f t="shared" si="153"/>
        <v>5</v>
      </c>
      <c r="O132" s="150" t="str">
        <f t="shared" si="154"/>
        <v> </v>
      </c>
      <c r="P132" s="150" t="str">
        <f t="shared" si="155"/>
        <v> </v>
      </c>
      <c r="Q132" s="150" t="str">
        <f t="shared" si="156"/>
        <v> </v>
      </c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145"/>
      <c r="B133" s="151" t="s">
        <v>4</v>
      </c>
      <c r="C133" s="147">
        <v>0.7</v>
      </c>
      <c r="D133" s="148">
        <v>5.0</v>
      </c>
      <c r="E133" s="149">
        <v>1.0</v>
      </c>
      <c r="F133" s="149">
        <f>'1RM'!$C$4*C133</f>
        <v>70</v>
      </c>
      <c r="G133" s="141">
        <f t="shared" si="150"/>
        <v>5</v>
      </c>
      <c r="H133" s="142">
        <f t="shared" si="151"/>
        <v>350</v>
      </c>
      <c r="I133" s="141"/>
      <c r="J133" s="142"/>
      <c r="K133" s="141"/>
      <c r="L133" s="42"/>
      <c r="M133" s="150" t="str">
        <f t="shared" si="152"/>
        <v> </v>
      </c>
      <c r="N133" s="150" t="str">
        <f t="shared" si="153"/>
        <v> </v>
      </c>
      <c r="O133" s="150">
        <f t="shared" si="154"/>
        <v>5</v>
      </c>
      <c r="P133" s="150" t="str">
        <f t="shared" si="155"/>
        <v> </v>
      </c>
      <c r="Q133" s="150" t="str">
        <f t="shared" si="156"/>
        <v> </v>
      </c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145"/>
      <c r="B134" s="151" t="s">
        <v>4</v>
      </c>
      <c r="C134" s="147">
        <v>0.7</v>
      </c>
      <c r="D134" s="148">
        <v>8.0</v>
      </c>
      <c r="E134" s="149">
        <v>1.0</v>
      </c>
      <c r="F134" s="149">
        <f>'1RM'!$C$4*C134</f>
        <v>70</v>
      </c>
      <c r="G134" s="141">
        <f t="shared" si="150"/>
        <v>8</v>
      </c>
      <c r="H134" s="142">
        <f t="shared" si="151"/>
        <v>560</v>
      </c>
      <c r="I134" s="141"/>
      <c r="J134" s="142"/>
      <c r="K134" s="141"/>
      <c r="L134" s="42"/>
      <c r="M134" s="150" t="str">
        <f t="shared" si="152"/>
        <v> </v>
      </c>
      <c r="N134" s="150" t="str">
        <f t="shared" si="153"/>
        <v> </v>
      </c>
      <c r="O134" s="150">
        <f t="shared" si="154"/>
        <v>8</v>
      </c>
      <c r="P134" s="150" t="str">
        <f t="shared" si="155"/>
        <v> </v>
      </c>
      <c r="Q134" s="150" t="str">
        <f t="shared" si="156"/>
        <v> </v>
      </c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145"/>
      <c r="B135" s="151" t="s">
        <v>4</v>
      </c>
      <c r="C135" s="147">
        <v>0.7</v>
      </c>
      <c r="D135" s="148">
        <v>5.0</v>
      </c>
      <c r="E135" s="149">
        <v>1.0</v>
      </c>
      <c r="F135" s="149">
        <f>'1RM'!$C$4*C135</f>
        <v>70</v>
      </c>
      <c r="G135" s="141">
        <f t="shared" si="150"/>
        <v>5</v>
      </c>
      <c r="H135" s="142">
        <f t="shared" si="151"/>
        <v>350</v>
      </c>
      <c r="I135" s="141"/>
      <c r="J135" s="142"/>
      <c r="K135" s="141"/>
      <c r="L135" s="42"/>
      <c r="M135" s="150" t="str">
        <f t="shared" si="152"/>
        <v> </v>
      </c>
      <c r="N135" s="150" t="str">
        <f t="shared" si="153"/>
        <v> </v>
      </c>
      <c r="O135" s="150">
        <f t="shared" si="154"/>
        <v>5</v>
      </c>
      <c r="P135" s="150" t="str">
        <f t="shared" si="155"/>
        <v> </v>
      </c>
      <c r="Q135" s="150" t="str">
        <f t="shared" si="156"/>
        <v> </v>
      </c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145"/>
      <c r="B136" s="151" t="s">
        <v>4</v>
      </c>
      <c r="C136" s="147">
        <v>0.7</v>
      </c>
      <c r="D136" s="148">
        <v>8.0</v>
      </c>
      <c r="E136" s="149">
        <v>1.0</v>
      </c>
      <c r="F136" s="149">
        <f>'1RM'!$C$4*C136</f>
        <v>70</v>
      </c>
      <c r="G136" s="141">
        <f t="shared" si="150"/>
        <v>8</v>
      </c>
      <c r="H136" s="142">
        <f t="shared" si="151"/>
        <v>560</v>
      </c>
      <c r="I136" s="141"/>
      <c r="J136" s="142"/>
      <c r="K136" s="141"/>
      <c r="L136" s="42"/>
      <c r="M136" s="150" t="str">
        <f t="shared" si="152"/>
        <v> </v>
      </c>
      <c r="N136" s="150" t="str">
        <f t="shared" si="153"/>
        <v> </v>
      </c>
      <c r="O136" s="150">
        <f t="shared" si="154"/>
        <v>8</v>
      </c>
      <c r="P136" s="150" t="str">
        <f t="shared" si="155"/>
        <v> </v>
      </c>
      <c r="Q136" s="150" t="str">
        <f t="shared" si="156"/>
        <v> </v>
      </c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145"/>
      <c r="B137" s="151" t="s">
        <v>4</v>
      </c>
      <c r="C137" s="147">
        <v>0.7</v>
      </c>
      <c r="D137" s="148">
        <v>5.0</v>
      </c>
      <c r="E137" s="149">
        <v>1.0</v>
      </c>
      <c r="F137" s="149">
        <f>'1RM'!$C$4*C137</f>
        <v>70</v>
      </c>
      <c r="G137" s="141">
        <f t="shared" si="150"/>
        <v>5</v>
      </c>
      <c r="H137" s="142">
        <f t="shared" si="151"/>
        <v>350</v>
      </c>
      <c r="I137" s="141"/>
      <c r="J137" s="142"/>
      <c r="K137" s="141"/>
      <c r="L137" s="42"/>
      <c r="M137" s="150" t="str">
        <f t="shared" si="152"/>
        <v> </v>
      </c>
      <c r="N137" s="150" t="str">
        <f t="shared" si="153"/>
        <v> </v>
      </c>
      <c r="O137" s="150">
        <f t="shared" si="154"/>
        <v>5</v>
      </c>
      <c r="P137" s="150" t="str">
        <f t="shared" si="155"/>
        <v> </v>
      </c>
      <c r="Q137" s="150" t="str">
        <f t="shared" si="156"/>
        <v> </v>
      </c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145"/>
      <c r="B138" s="151" t="s">
        <v>4</v>
      </c>
      <c r="C138" s="147">
        <v>0.7</v>
      </c>
      <c r="D138" s="148">
        <v>8.0</v>
      </c>
      <c r="E138" s="149">
        <v>1.0</v>
      </c>
      <c r="F138" s="149">
        <f>'1RM'!$C$4*C138</f>
        <v>70</v>
      </c>
      <c r="G138" s="141">
        <f t="shared" si="150"/>
        <v>8</v>
      </c>
      <c r="H138" s="142">
        <f t="shared" si="151"/>
        <v>560</v>
      </c>
      <c r="I138" s="141"/>
      <c r="J138" s="142"/>
      <c r="K138" s="141"/>
      <c r="L138" s="42"/>
      <c r="M138" s="150" t="str">
        <f t="shared" si="152"/>
        <v> </v>
      </c>
      <c r="N138" s="150" t="str">
        <f t="shared" si="153"/>
        <v> </v>
      </c>
      <c r="O138" s="150">
        <f t="shared" si="154"/>
        <v>8</v>
      </c>
      <c r="P138" s="150" t="str">
        <f t="shared" si="155"/>
        <v> </v>
      </c>
      <c r="Q138" s="150" t="str">
        <f t="shared" si="156"/>
        <v> </v>
      </c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136">
        <v>3.0</v>
      </c>
      <c r="B139" s="137" t="s">
        <v>5</v>
      </c>
      <c r="C139" s="138">
        <v>0.5</v>
      </c>
      <c r="D139" s="139">
        <v>3.0</v>
      </c>
      <c r="E139" s="140">
        <v>1.0</v>
      </c>
      <c r="F139" s="140">
        <f>'1RM'!$C$5*C139</f>
        <v>50</v>
      </c>
      <c r="G139" s="141"/>
      <c r="H139" s="142"/>
      <c r="I139" s="141">
        <f t="shared" ref="I139:I142" si="157">D139*E139</f>
        <v>3</v>
      </c>
      <c r="J139" s="142">
        <f t="shared" ref="J139:J142" si="158">F139*I139</f>
        <v>150</v>
      </c>
      <c r="K139" s="141"/>
      <c r="L139" s="42"/>
      <c r="M139" s="5"/>
      <c r="N139" s="5"/>
      <c r="O139" s="5"/>
      <c r="P139" s="5"/>
      <c r="Q139" s="5"/>
      <c r="R139" s="143">
        <f t="shared" ref="R139:R142" si="159">IF(ISNUMBER(SEARCH("Press de banca",$B139)),IF($C139&gt;=0.5,IF($C139&lt;0.6,$D139*$E139," ")," ")," ")</f>
        <v>3</v>
      </c>
      <c r="S139" s="143" t="str">
        <f t="shared" ref="S139:S142" si="160">IF(ISNUMBER(SEARCH("Press de banca",$B139)),IF($C139&gt;=0.6,IF($C139&lt;0.7,$D139*$E139," ")," ")," ")</f>
        <v> </v>
      </c>
      <c r="T139" s="143" t="str">
        <f t="shared" ref="T139:T142" si="161">IF(ISNUMBER(SEARCH("Press de banca",$B139)),IF($C139&gt;=0.7,IF($C139&lt;0.8,$D139*$E139," ")," ")," ")</f>
        <v> </v>
      </c>
      <c r="U139" s="143" t="str">
        <f t="shared" ref="U139:U142" si="162">IF(ISNUMBER(SEARCH("Press de banca",$B139)),IF($C139&gt;=0.8,IF($C139&lt;0.9,$D139*$E139," ")," ")," ")</f>
        <v> </v>
      </c>
      <c r="V139" s="143" t="str">
        <f t="shared" ref="V139:V142" si="163">IF(ISNUMBER(SEARCH("Press de banca",$B139)),IF($C139&gt;=0.9,$D139*$E139," ")," ")</f>
        <v> </v>
      </c>
      <c r="W139" s="5"/>
      <c r="X139" s="5"/>
      <c r="Y139" s="5"/>
      <c r="Z139" s="5"/>
      <c r="AA139" s="5"/>
    </row>
    <row r="140" ht="12.75" customHeight="1">
      <c r="A140" s="136"/>
      <c r="B140" s="144" t="s">
        <v>5</v>
      </c>
      <c r="C140" s="138">
        <v>0.6</v>
      </c>
      <c r="D140" s="139">
        <v>3.0</v>
      </c>
      <c r="E140" s="140">
        <v>1.0</v>
      </c>
      <c r="F140" s="140">
        <f>'1RM'!$C$5*C140</f>
        <v>60</v>
      </c>
      <c r="G140" s="141"/>
      <c r="H140" s="142"/>
      <c r="I140" s="141">
        <f t="shared" si="157"/>
        <v>3</v>
      </c>
      <c r="J140" s="142">
        <f t="shared" si="158"/>
        <v>180</v>
      </c>
      <c r="K140" s="141"/>
      <c r="L140" s="42"/>
      <c r="M140" s="5"/>
      <c r="N140" s="5"/>
      <c r="O140" s="5"/>
      <c r="P140" s="5"/>
      <c r="Q140" s="5"/>
      <c r="R140" s="143" t="str">
        <f t="shared" si="159"/>
        <v> </v>
      </c>
      <c r="S140" s="143">
        <f t="shared" si="160"/>
        <v>3</v>
      </c>
      <c r="T140" s="143" t="str">
        <f t="shared" si="161"/>
        <v> </v>
      </c>
      <c r="U140" s="143" t="str">
        <f t="shared" si="162"/>
        <v> </v>
      </c>
      <c r="V140" s="143" t="str">
        <f t="shared" si="163"/>
        <v> </v>
      </c>
      <c r="W140" s="5"/>
      <c r="X140" s="5"/>
      <c r="Y140" s="5"/>
      <c r="Z140" s="5"/>
      <c r="AA140" s="5"/>
    </row>
    <row r="141" ht="12.75" customHeight="1">
      <c r="A141" s="136"/>
      <c r="B141" s="144" t="s">
        <v>5</v>
      </c>
      <c r="C141" s="138">
        <v>0.7</v>
      </c>
      <c r="D141" s="139">
        <v>3.0</v>
      </c>
      <c r="E141" s="140">
        <v>1.0</v>
      </c>
      <c r="F141" s="140">
        <f>'1RM'!$C$5*C141</f>
        <v>70</v>
      </c>
      <c r="G141" s="141"/>
      <c r="H141" s="142"/>
      <c r="I141" s="141">
        <f t="shared" si="157"/>
        <v>3</v>
      </c>
      <c r="J141" s="142">
        <f t="shared" si="158"/>
        <v>210</v>
      </c>
      <c r="K141" s="141"/>
      <c r="L141" s="42"/>
      <c r="M141" s="5"/>
      <c r="N141" s="5"/>
      <c r="O141" s="5"/>
      <c r="P141" s="5"/>
      <c r="Q141" s="5"/>
      <c r="R141" s="143" t="str">
        <f t="shared" si="159"/>
        <v> </v>
      </c>
      <c r="S141" s="143" t="str">
        <f t="shared" si="160"/>
        <v> </v>
      </c>
      <c r="T141" s="143">
        <f t="shared" si="161"/>
        <v>3</v>
      </c>
      <c r="U141" s="143" t="str">
        <f t="shared" si="162"/>
        <v> </v>
      </c>
      <c r="V141" s="143" t="str">
        <f t="shared" si="163"/>
        <v> </v>
      </c>
      <c r="W141" s="5"/>
      <c r="X141" s="5"/>
      <c r="Y141" s="5"/>
      <c r="Z141" s="5"/>
      <c r="AA141" s="5"/>
    </row>
    <row r="142" ht="12.75" customHeight="1">
      <c r="A142" s="136"/>
      <c r="B142" s="144" t="s">
        <v>5</v>
      </c>
      <c r="C142" s="138">
        <v>0.8</v>
      </c>
      <c r="D142" s="139">
        <v>5.0</v>
      </c>
      <c r="E142" s="140">
        <v>4.0</v>
      </c>
      <c r="F142" s="140">
        <f>'1RM'!$C$5*C142</f>
        <v>80</v>
      </c>
      <c r="G142" s="141"/>
      <c r="H142" s="142"/>
      <c r="I142" s="141">
        <f t="shared" si="157"/>
        <v>20</v>
      </c>
      <c r="J142" s="142">
        <f t="shared" si="158"/>
        <v>1600</v>
      </c>
      <c r="K142" s="141"/>
      <c r="L142" s="42"/>
      <c r="M142" s="5"/>
      <c r="N142" s="5"/>
      <c r="O142" s="5"/>
      <c r="P142" s="5"/>
      <c r="Q142" s="5"/>
      <c r="R142" s="143" t="str">
        <f t="shared" si="159"/>
        <v> </v>
      </c>
      <c r="S142" s="143" t="str">
        <f t="shared" si="160"/>
        <v> </v>
      </c>
      <c r="T142" s="143" t="str">
        <f t="shared" si="161"/>
        <v> </v>
      </c>
      <c r="U142" s="143">
        <f t="shared" si="162"/>
        <v>20</v>
      </c>
      <c r="V142" s="143" t="str">
        <f t="shared" si="163"/>
        <v> </v>
      </c>
      <c r="W142" s="5"/>
      <c r="X142" s="5"/>
      <c r="Y142" s="5"/>
      <c r="Z142" s="5"/>
      <c r="AA142" s="5"/>
    </row>
    <row r="143" ht="12.75" customHeight="1">
      <c r="A143" s="152">
        <v>4.0</v>
      </c>
      <c r="B143" s="153" t="s">
        <v>55</v>
      </c>
      <c r="C143" s="154"/>
      <c r="D143" s="155">
        <v>10.0</v>
      </c>
      <c r="E143" s="156">
        <v>4.0</v>
      </c>
      <c r="F143" s="156"/>
      <c r="G143" s="141"/>
      <c r="H143" s="142"/>
      <c r="I143" s="141"/>
      <c r="J143" s="142"/>
      <c r="K143" s="141"/>
      <c r="L143" s="42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164">
        <v>5.0</v>
      </c>
      <c r="B144" s="165" t="s">
        <v>61</v>
      </c>
      <c r="C144" s="166"/>
      <c r="D144" s="167">
        <v>5.0</v>
      </c>
      <c r="E144" s="168">
        <v>5.0</v>
      </c>
      <c r="F144" s="168"/>
      <c r="G144" s="141"/>
      <c r="H144" s="142"/>
      <c r="I144" s="141"/>
      <c r="J144" s="142"/>
      <c r="K144" s="141"/>
      <c r="L144" s="42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33"/>
      <c r="B145" s="134"/>
      <c r="C145" s="133"/>
      <c r="D145" s="42"/>
      <c r="E145" s="42"/>
      <c r="F145" s="42"/>
      <c r="G145" s="141"/>
      <c r="H145" s="142"/>
      <c r="I145" s="141"/>
      <c r="J145" s="142"/>
      <c r="K145" s="141"/>
      <c r="L145" s="42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33" t="s">
        <v>57</v>
      </c>
      <c r="B146" s="134"/>
      <c r="C146" s="135" t="s">
        <v>20</v>
      </c>
      <c r="D146" s="45" t="s">
        <v>51</v>
      </c>
      <c r="E146" s="45" t="s">
        <v>52</v>
      </c>
      <c r="F146" s="45" t="s">
        <v>53</v>
      </c>
      <c r="G146" s="141"/>
      <c r="H146" s="142"/>
      <c r="I146" s="141"/>
      <c r="J146" s="142"/>
      <c r="K146" s="141"/>
      <c r="L146" s="42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157">
        <v>1.0</v>
      </c>
      <c r="B147" s="158" t="s">
        <v>67</v>
      </c>
      <c r="C147" s="159">
        <v>0.5</v>
      </c>
      <c r="D147" s="160">
        <v>3.0</v>
      </c>
      <c r="E147" s="161">
        <v>1.0</v>
      </c>
      <c r="F147" s="161">
        <f>'1RM'!$C$6*C147</f>
        <v>50</v>
      </c>
      <c r="G147" s="141"/>
      <c r="H147" s="142"/>
      <c r="I147" s="141"/>
      <c r="J147" s="142"/>
      <c r="K147" s="141">
        <f t="shared" ref="K147:K149" si="164">D147*E147</f>
        <v>3</v>
      </c>
      <c r="L147" s="42">
        <f t="shared" ref="L147:L149" si="165">F147*K147</f>
        <v>150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162">
        <f t="shared" ref="W147:W149" si="166">IF(ISNUMBER(SEARCH("Peso muerto",$B147)),IF($C147&gt;=0.5,IF($C147&lt;0.6,$D147*$E147," ")," ")," ")</f>
        <v>3</v>
      </c>
      <c r="X147" s="162" t="str">
        <f t="shared" ref="X147:X149" si="167">IF(ISNUMBER(SEARCH("Peso muerto",$B147)),IF($C147&gt;=0.6,IF($C147&lt;0.7,$D147*$E147," ")," ")," ")</f>
        <v> </v>
      </c>
      <c r="Y147" s="162" t="str">
        <f t="shared" ref="Y147:Y149" si="168">IF(ISNUMBER(SEARCH("Peso muerto",$B147)),IF($C147&gt;=0.7,IF($C147&lt;0.8,$D147*$E147," ")," ")," ")</f>
        <v> </v>
      </c>
      <c r="Z147" s="162" t="str">
        <f t="shared" ref="Z147:Z149" si="169">IF(ISNUMBER(SEARCH("Peso muerto",$B147)),IF($C147&gt;=0.8,IF($C147&lt;0.9,$D147*$E147," ")," ")," ")</f>
        <v> </v>
      </c>
      <c r="AA147" s="162" t="str">
        <f t="shared" ref="AA147:AA149" si="170">IF(ISNUMBER(SEARCH("Peso muerto",$B147)),IF($C147&gt;=0.9,$D147*$E147," ")," ")</f>
        <v> </v>
      </c>
    </row>
    <row r="148" ht="12.75" customHeight="1">
      <c r="A148" s="157"/>
      <c r="B148" s="163" t="s">
        <v>67</v>
      </c>
      <c r="C148" s="159">
        <v>0.6</v>
      </c>
      <c r="D148" s="160">
        <v>3.0</v>
      </c>
      <c r="E148" s="161">
        <v>1.0</v>
      </c>
      <c r="F148" s="161">
        <f>'1RM'!$C$6*C148</f>
        <v>60</v>
      </c>
      <c r="G148" s="141"/>
      <c r="H148" s="142"/>
      <c r="I148" s="141"/>
      <c r="J148" s="142"/>
      <c r="K148" s="141">
        <f t="shared" si="164"/>
        <v>3</v>
      </c>
      <c r="L148" s="42">
        <f t="shared" si="165"/>
        <v>180</v>
      </c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162" t="str">
        <f t="shared" si="166"/>
        <v> </v>
      </c>
      <c r="X148" s="162">
        <f t="shared" si="167"/>
        <v>3</v>
      </c>
      <c r="Y148" s="162" t="str">
        <f t="shared" si="168"/>
        <v> </v>
      </c>
      <c r="Z148" s="162" t="str">
        <f t="shared" si="169"/>
        <v> </v>
      </c>
      <c r="AA148" s="162" t="str">
        <f t="shared" si="170"/>
        <v> </v>
      </c>
    </row>
    <row r="149" ht="12.75" customHeight="1">
      <c r="A149" s="157"/>
      <c r="B149" s="163" t="s">
        <v>67</v>
      </c>
      <c r="C149" s="159">
        <v>0.7</v>
      </c>
      <c r="D149" s="160">
        <v>2.0</v>
      </c>
      <c r="E149" s="161">
        <v>4.0</v>
      </c>
      <c r="F149" s="161">
        <f>'1RM'!$C$6*C149</f>
        <v>70</v>
      </c>
      <c r="G149" s="141"/>
      <c r="H149" s="142"/>
      <c r="I149" s="141"/>
      <c r="J149" s="142"/>
      <c r="K149" s="141">
        <f t="shared" si="164"/>
        <v>8</v>
      </c>
      <c r="L149" s="42">
        <f t="shared" si="165"/>
        <v>560</v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162" t="str">
        <f t="shared" si="166"/>
        <v> </v>
      </c>
      <c r="X149" s="162" t="str">
        <f t="shared" si="167"/>
        <v> </v>
      </c>
      <c r="Y149" s="162">
        <f t="shared" si="168"/>
        <v>8</v>
      </c>
      <c r="Z149" s="162" t="str">
        <f t="shared" si="169"/>
        <v> </v>
      </c>
      <c r="AA149" s="162" t="str">
        <f t="shared" si="170"/>
        <v> </v>
      </c>
    </row>
    <row r="150" ht="12.75" customHeight="1">
      <c r="A150" s="136">
        <v>2.0</v>
      </c>
      <c r="B150" s="137" t="s">
        <v>5</v>
      </c>
      <c r="C150" s="138">
        <v>0.5</v>
      </c>
      <c r="D150" s="139">
        <v>6.0</v>
      </c>
      <c r="E150" s="140">
        <v>1.0</v>
      </c>
      <c r="F150" s="140">
        <f>'1RM'!$C$5*C150</f>
        <v>50</v>
      </c>
      <c r="G150" s="141"/>
      <c r="H150" s="142"/>
      <c r="I150" s="141">
        <f t="shared" ref="I150:I154" si="171">D150*E150</f>
        <v>6</v>
      </c>
      <c r="J150" s="142">
        <f t="shared" ref="J150:J154" si="172">F150*I150</f>
        <v>300</v>
      </c>
      <c r="K150" s="141"/>
      <c r="L150" s="42"/>
      <c r="M150" s="5"/>
      <c r="N150" s="5"/>
      <c r="O150" s="5"/>
      <c r="P150" s="5"/>
      <c r="Q150" s="5"/>
      <c r="R150" s="143">
        <f t="shared" ref="R150:R154" si="173">IF(ISNUMBER(SEARCH("Press de banca",$B150)),IF($C150&gt;=0.5,IF($C150&lt;0.6,$D150*$E150," ")," ")," ")</f>
        <v>6</v>
      </c>
      <c r="S150" s="143" t="str">
        <f t="shared" ref="S150:S154" si="174">IF(ISNUMBER(SEARCH("Press de banca",$B150)),IF($C150&gt;=0.6,IF($C150&lt;0.7,$D150*$E150," ")," ")," ")</f>
        <v> </v>
      </c>
      <c r="T150" s="143" t="str">
        <f t="shared" ref="T150:T154" si="175">IF(ISNUMBER(SEARCH("Press de banca",$B150)),IF($C150&gt;=0.7,IF($C150&lt;0.8,$D150*$E150," ")," ")," ")</f>
        <v> </v>
      </c>
      <c r="U150" s="143" t="str">
        <f t="shared" ref="U150:U154" si="176">IF(ISNUMBER(SEARCH("Press de banca",$B150)),IF($C150&gt;=0.8,IF($C150&lt;0.9,$D150*$E150," ")," ")," ")</f>
        <v> </v>
      </c>
      <c r="V150" s="143" t="str">
        <f t="shared" ref="V150:V154" si="177">IF(ISNUMBER(SEARCH("Press de banca",$B150)),IF($C150&gt;=0.9,$D150*$E150," ")," ")</f>
        <v> </v>
      </c>
      <c r="W150" s="5"/>
      <c r="X150" s="5"/>
      <c r="Y150" s="5"/>
      <c r="Z150" s="5"/>
      <c r="AA150" s="5"/>
    </row>
    <row r="151" ht="12.75" customHeight="1">
      <c r="A151" s="136"/>
      <c r="B151" s="144" t="s">
        <v>5</v>
      </c>
      <c r="C151" s="138">
        <v>0.6</v>
      </c>
      <c r="D151" s="139">
        <v>5.0</v>
      </c>
      <c r="E151" s="140">
        <v>1.0</v>
      </c>
      <c r="F151" s="140">
        <f>'1RM'!$C$5*C151</f>
        <v>60</v>
      </c>
      <c r="G151" s="141"/>
      <c r="H151" s="142"/>
      <c r="I151" s="141">
        <f t="shared" si="171"/>
        <v>5</v>
      </c>
      <c r="J151" s="142">
        <f t="shared" si="172"/>
        <v>300</v>
      </c>
      <c r="K151" s="141"/>
      <c r="L151" s="42"/>
      <c r="M151" s="5"/>
      <c r="N151" s="5"/>
      <c r="O151" s="5"/>
      <c r="P151" s="5"/>
      <c r="Q151" s="5"/>
      <c r="R151" s="143" t="str">
        <f t="shared" si="173"/>
        <v> </v>
      </c>
      <c r="S151" s="143">
        <f t="shared" si="174"/>
        <v>5</v>
      </c>
      <c r="T151" s="143" t="str">
        <f t="shared" si="175"/>
        <v> </v>
      </c>
      <c r="U151" s="143" t="str">
        <f t="shared" si="176"/>
        <v> </v>
      </c>
      <c r="V151" s="143" t="str">
        <f t="shared" si="177"/>
        <v> </v>
      </c>
      <c r="W151" s="5"/>
      <c r="X151" s="5"/>
      <c r="Y151" s="5"/>
      <c r="Z151" s="5"/>
      <c r="AA151" s="5"/>
    </row>
    <row r="152" ht="12.75" customHeight="1">
      <c r="A152" s="136"/>
      <c r="B152" s="144" t="s">
        <v>5</v>
      </c>
      <c r="C152" s="138">
        <v>0.7</v>
      </c>
      <c r="D152" s="139">
        <v>4.0</v>
      </c>
      <c r="E152" s="140">
        <v>1.0</v>
      </c>
      <c r="F152" s="140">
        <f>'1RM'!$C$5*C152</f>
        <v>70</v>
      </c>
      <c r="G152" s="141"/>
      <c r="H152" s="142"/>
      <c r="I152" s="141">
        <f t="shared" si="171"/>
        <v>4</v>
      </c>
      <c r="J152" s="142">
        <f t="shared" si="172"/>
        <v>280</v>
      </c>
      <c r="K152" s="141"/>
      <c r="L152" s="42"/>
      <c r="M152" s="5"/>
      <c r="N152" s="5"/>
      <c r="O152" s="5"/>
      <c r="P152" s="5"/>
      <c r="Q152" s="5"/>
      <c r="R152" s="143" t="str">
        <f t="shared" si="173"/>
        <v> </v>
      </c>
      <c r="S152" s="143" t="str">
        <f t="shared" si="174"/>
        <v> </v>
      </c>
      <c r="T152" s="143">
        <f t="shared" si="175"/>
        <v>4</v>
      </c>
      <c r="U152" s="143" t="str">
        <f t="shared" si="176"/>
        <v> </v>
      </c>
      <c r="V152" s="143" t="str">
        <f t="shared" si="177"/>
        <v> </v>
      </c>
      <c r="W152" s="5"/>
      <c r="X152" s="5"/>
      <c r="Y152" s="5"/>
      <c r="Z152" s="5"/>
      <c r="AA152" s="5"/>
    </row>
    <row r="153" ht="12.75" customHeight="1">
      <c r="A153" s="136"/>
      <c r="B153" s="144" t="s">
        <v>5</v>
      </c>
      <c r="C153" s="138">
        <v>0.75</v>
      </c>
      <c r="D153" s="139">
        <v>3.0</v>
      </c>
      <c r="E153" s="140">
        <v>1.0</v>
      </c>
      <c r="F153" s="140">
        <f>'1RM'!$C$5*C153</f>
        <v>75</v>
      </c>
      <c r="G153" s="141"/>
      <c r="H153" s="142"/>
      <c r="I153" s="141">
        <f t="shared" si="171"/>
        <v>3</v>
      </c>
      <c r="J153" s="142">
        <f t="shared" si="172"/>
        <v>225</v>
      </c>
      <c r="K153" s="141"/>
      <c r="L153" s="42"/>
      <c r="M153" s="5"/>
      <c r="N153" s="5"/>
      <c r="O153" s="5"/>
      <c r="P153" s="5"/>
      <c r="Q153" s="5"/>
      <c r="R153" s="143" t="str">
        <f t="shared" si="173"/>
        <v> </v>
      </c>
      <c r="S153" s="143" t="str">
        <f t="shared" si="174"/>
        <v> </v>
      </c>
      <c r="T153" s="143">
        <f t="shared" si="175"/>
        <v>3</v>
      </c>
      <c r="U153" s="143" t="str">
        <f t="shared" si="176"/>
        <v> </v>
      </c>
      <c r="V153" s="143" t="str">
        <f t="shared" si="177"/>
        <v> </v>
      </c>
      <c r="W153" s="5"/>
      <c r="X153" s="5"/>
      <c r="Y153" s="5"/>
      <c r="Z153" s="5"/>
      <c r="AA153" s="5"/>
    </row>
    <row r="154" ht="12.75" customHeight="1">
      <c r="A154" s="136"/>
      <c r="B154" s="144" t="s">
        <v>5</v>
      </c>
      <c r="C154" s="138">
        <v>0.8</v>
      </c>
      <c r="D154" s="139">
        <v>5.0</v>
      </c>
      <c r="E154" s="140">
        <v>2.0</v>
      </c>
      <c r="F154" s="140">
        <f>'1RM'!$C$5*C154</f>
        <v>80</v>
      </c>
      <c r="G154" s="141"/>
      <c r="H154" s="142"/>
      <c r="I154" s="141">
        <f t="shared" si="171"/>
        <v>10</v>
      </c>
      <c r="J154" s="142">
        <f t="shared" si="172"/>
        <v>800</v>
      </c>
      <c r="K154" s="141"/>
      <c r="L154" s="42"/>
      <c r="M154" s="5"/>
      <c r="N154" s="5"/>
      <c r="O154" s="5"/>
      <c r="P154" s="5"/>
      <c r="Q154" s="5"/>
      <c r="R154" s="143" t="str">
        <f t="shared" si="173"/>
        <v> </v>
      </c>
      <c r="S154" s="143" t="str">
        <f t="shared" si="174"/>
        <v> </v>
      </c>
      <c r="T154" s="143" t="str">
        <f t="shared" si="175"/>
        <v> </v>
      </c>
      <c r="U154" s="143">
        <f t="shared" si="176"/>
        <v>10</v>
      </c>
      <c r="V154" s="143" t="str">
        <f t="shared" si="177"/>
        <v> </v>
      </c>
      <c r="W154" s="5"/>
      <c r="X154" s="5"/>
      <c r="Y154" s="5"/>
      <c r="Z154" s="5"/>
      <c r="AA154" s="5"/>
    </row>
    <row r="155" ht="12.75" customHeight="1">
      <c r="A155" s="157">
        <v>3.0</v>
      </c>
      <c r="B155" s="158" t="s">
        <v>68</v>
      </c>
      <c r="C155" s="159">
        <v>0.6</v>
      </c>
      <c r="D155" s="160">
        <v>4.0</v>
      </c>
      <c r="E155" s="161">
        <v>1.0</v>
      </c>
      <c r="F155" s="161">
        <f>'1RM'!$C$6*C155</f>
        <v>60</v>
      </c>
      <c r="G155" s="141"/>
      <c r="H155" s="142"/>
      <c r="I155" s="141"/>
      <c r="J155" s="142"/>
      <c r="K155" s="141">
        <f t="shared" ref="K155:K157" si="178">D155*E155</f>
        <v>4</v>
      </c>
      <c r="L155" s="42">
        <f t="shared" ref="L155:L157" si="179">F155*K155</f>
        <v>240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162" t="str">
        <f t="shared" ref="W155:W157" si="180">IF(ISNUMBER(SEARCH("Peso muerto",$B155)),IF($C155&gt;=0.5,IF($C155&lt;0.6,$D155*$E155," ")," ")," ")</f>
        <v> </v>
      </c>
      <c r="X155" s="162">
        <f t="shared" ref="X155:X157" si="181">IF(ISNUMBER(SEARCH("Peso muerto",$B155)),IF($C155&gt;=0.6,IF($C155&lt;0.7,$D155*$E155," ")," ")," ")</f>
        <v>4</v>
      </c>
      <c r="Y155" s="162" t="str">
        <f t="shared" ref="Y155:Y157" si="182">IF(ISNUMBER(SEARCH("Peso muerto",$B155)),IF($C155&gt;=0.7,IF($C155&lt;0.8,$D155*$E155," ")," ")," ")</f>
        <v> </v>
      </c>
      <c r="Z155" s="162" t="str">
        <f t="shared" ref="Z155:Z157" si="183">IF(ISNUMBER(SEARCH("Peso muerto",$B155)),IF($C155&gt;=0.8,IF($C155&lt;0.9,$D155*$E155," ")," ")," ")</f>
        <v> </v>
      </c>
      <c r="AA155" s="162" t="str">
        <f t="shared" ref="AA155:AA157" si="184">IF(ISNUMBER(SEARCH("Peso muerto",$B155)),IF($C155&gt;=0.9,$D155*$E155," ")," ")</f>
        <v> </v>
      </c>
    </row>
    <row r="156" ht="12.75" customHeight="1">
      <c r="A156" s="157"/>
      <c r="B156" s="163" t="s">
        <v>68</v>
      </c>
      <c r="C156" s="159">
        <v>0.7</v>
      </c>
      <c r="D156" s="160">
        <v>4.0</v>
      </c>
      <c r="E156" s="161">
        <v>1.0</v>
      </c>
      <c r="F156" s="161">
        <f>'1RM'!$C$6*C156</f>
        <v>70</v>
      </c>
      <c r="G156" s="141"/>
      <c r="H156" s="142"/>
      <c r="I156" s="141"/>
      <c r="J156" s="142"/>
      <c r="K156" s="141">
        <f t="shared" si="178"/>
        <v>4</v>
      </c>
      <c r="L156" s="42">
        <f t="shared" si="179"/>
        <v>280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162" t="str">
        <f t="shared" si="180"/>
        <v> </v>
      </c>
      <c r="X156" s="162" t="str">
        <f t="shared" si="181"/>
        <v> </v>
      </c>
      <c r="Y156" s="162">
        <f t="shared" si="182"/>
        <v>4</v>
      </c>
      <c r="Z156" s="162" t="str">
        <f t="shared" si="183"/>
        <v> </v>
      </c>
      <c r="AA156" s="162" t="str">
        <f t="shared" si="184"/>
        <v> </v>
      </c>
    </row>
    <row r="157" ht="12.75" customHeight="1">
      <c r="A157" s="157"/>
      <c r="B157" s="163" t="s">
        <v>68</v>
      </c>
      <c r="C157" s="159">
        <v>0.8</v>
      </c>
      <c r="D157" s="160">
        <v>4.0</v>
      </c>
      <c r="E157" s="161">
        <v>4.0</v>
      </c>
      <c r="F157" s="161">
        <f>'1RM'!$C$6*C157</f>
        <v>80</v>
      </c>
      <c r="G157" s="141"/>
      <c r="H157" s="142"/>
      <c r="I157" s="141"/>
      <c r="J157" s="142"/>
      <c r="K157" s="141">
        <f t="shared" si="178"/>
        <v>16</v>
      </c>
      <c r="L157" s="42">
        <f t="shared" si="179"/>
        <v>1280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162" t="str">
        <f t="shared" si="180"/>
        <v> </v>
      </c>
      <c r="X157" s="162" t="str">
        <f t="shared" si="181"/>
        <v> </v>
      </c>
      <c r="Y157" s="162" t="str">
        <f t="shared" si="182"/>
        <v> </v>
      </c>
      <c r="Z157" s="162">
        <f t="shared" si="183"/>
        <v>16</v>
      </c>
      <c r="AA157" s="162" t="str">
        <f t="shared" si="184"/>
        <v> </v>
      </c>
    </row>
    <row r="158" ht="12.75" customHeight="1">
      <c r="A158" s="152">
        <v>4.0</v>
      </c>
      <c r="B158" s="153" t="s">
        <v>83</v>
      </c>
      <c r="C158" s="154"/>
      <c r="D158" s="156">
        <v>12.0</v>
      </c>
      <c r="E158" s="156">
        <v>5.0</v>
      </c>
      <c r="F158" s="156"/>
      <c r="G158" s="141"/>
      <c r="H158" s="142"/>
      <c r="I158" s="141"/>
      <c r="J158" s="142"/>
      <c r="K158" s="141"/>
      <c r="L158" s="42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152">
        <v>5.0</v>
      </c>
      <c r="B159" s="153" t="s">
        <v>56</v>
      </c>
      <c r="C159" s="154"/>
      <c r="D159" s="155">
        <v>10.0</v>
      </c>
      <c r="E159" s="156">
        <v>3.0</v>
      </c>
      <c r="F159" s="156"/>
      <c r="G159" s="141"/>
      <c r="H159" s="142"/>
      <c r="I159" s="141"/>
      <c r="J159" s="142"/>
      <c r="K159" s="141"/>
      <c r="L159" s="42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33"/>
      <c r="B160" s="134"/>
      <c r="C160" s="133"/>
      <c r="D160" s="42"/>
      <c r="E160" s="42"/>
      <c r="F160" s="42"/>
      <c r="G160" s="141"/>
      <c r="H160" s="142"/>
      <c r="I160" s="141"/>
      <c r="J160" s="142"/>
      <c r="K160" s="141"/>
      <c r="L160" s="42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33" t="s">
        <v>62</v>
      </c>
      <c r="B161" s="134"/>
      <c r="C161" s="135" t="s">
        <v>20</v>
      </c>
      <c r="D161" s="45" t="s">
        <v>51</v>
      </c>
      <c r="E161" s="45" t="s">
        <v>52</v>
      </c>
      <c r="F161" s="45" t="s">
        <v>53</v>
      </c>
      <c r="G161" s="141"/>
      <c r="H161" s="142"/>
      <c r="I161" s="141"/>
      <c r="J161" s="142"/>
      <c r="K161" s="141"/>
      <c r="L161" s="42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145">
        <v>1.0</v>
      </c>
      <c r="B162" s="146" t="s">
        <v>4</v>
      </c>
      <c r="C162" s="147">
        <v>0.5</v>
      </c>
      <c r="D162" s="148">
        <v>5.0</v>
      </c>
      <c r="E162" s="149">
        <v>1.0</v>
      </c>
      <c r="F162" s="149">
        <f>'1RM'!$C$4*C162</f>
        <v>50</v>
      </c>
      <c r="G162" s="141">
        <f t="shared" ref="G162:G165" si="185">D162*E162</f>
        <v>5</v>
      </c>
      <c r="H162" s="142">
        <f t="shared" ref="H162:H165" si="186">F162*G162</f>
        <v>250</v>
      </c>
      <c r="I162" s="141"/>
      <c r="J162" s="142"/>
      <c r="K162" s="141"/>
      <c r="L162" s="42"/>
      <c r="M162" s="150">
        <f t="shared" ref="M162:M165" si="187">IF(ISNUMBER(SEARCH("Sentadilla",$B162)),IF($C162&gt;=0.5,IF($C162&lt;0.6,$D162*$E162," ")," ")," ")</f>
        <v>5</v>
      </c>
      <c r="N162" s="150" t="str">
        <f t="shared" ref="N162:N165" si="188">IF(ISNUMBER(SEARCH("Sentadilla",$B162)),IF($C162&gt;=0.6,IF($C162&lt;0.7,$D162*$E162," ")," ")," ")</f>
        <v> </v>
      </c>
      <c r="O162" s="150" t="str">
        <f t="shared" ref="O162:O165" si="189">IF(ISNUMBER(SEARCH("Sentadilla",$B162)),IF($C162&gt;=0.7,IF($C162&lt;0.8,$D162*$E162," ")," ")," ")</f>
        <v> </v>
      </c>
      <c r="P162" s="150" t="str">
        <f t="shared" ref="P162:P165" si="190">IF(ISNUMBER(SEARCH("Sentadilla",$B162)),IF($C162&gt;=0.8,IF($C162&lt;0.9,$D162*$E162," ")," ")," ")</f>
        <v> </v>
      </c>
      <c r="Q162" s="150" t="str">
        <f t="shared" ref="Q162:Q165" si="191">IF(ISNUMBER(SEARCH("Sentadilla",$B162)),IF($C162&gt;=0.9,$D162*$E162," ")," ")</f>
        <v> </v>
      </c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145"/>
      <c r="B163" s="151" t="s">
        <v>4</v>
      </c>
      <c r="C163" s="147">
        <v>0.6</v>
      </c>
      <c r="D163" s="148">
        <v>4.0</v>
      </c>
      <c r="E163" s="149">
        <v>1.0</v>
      </c>
      <c r="F163" s="149">
        <f>'1RM'!$C$4*C163</f>
        <v>60</v>
      </c>
      <c r="G163" s="141">
        <f t="shared" si="185"/>
        <v>4</v>
      </c>
      <c r="H163" s="142">
        <f t="shared" si="186"/>
        <v>240</v>
      </c>
      <c r="I163" s="141"/>
      <c r="J163" s="142"/>
      <c r="K163" s="141"/>
      <c r="L163" s="42"/>
      <c r="M163" s="150" t="str">
        <f t="shared" si="187"/>
        <v> </v>
      </c>
      <c r="N163" s="150">
        <f t="shared" si="188"/>
        <v>4</v>
      </c>
      <c r="O163" s="150" t="str">
        <f t="shared" si="189"/>
        <v> </v>
      </c>
      <c r="P163" s="150" t="str">
        <f t="shared" si="190"/>
        <v> </v>
      </c>
      <c r="Q163" s="150" t="str">
        <f t="shared" si="191"/>
        <v> </v>
      </c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145"/>
      <c r="B164" s="151" t="s">
        <v>4</v>
      </c>
      <c r="C164" s="147">
        <v>0.7</v>
      </c>
      <c r="D164" s="148">
        <v>3.0</v>
      </c>
      <c r="E164" s="149">
        <v>1.0</v>
      </c>
      <c r="F164" s="149">
        <f>'1RM'!$C$4*C164</f>
        <v>70</v>
      </c>
      <c r="G164" s="141">
        <f t="shared" si="185"/>
        <v>3</v>
      </c>
      <c r="H164" s="142">
        <f t="shared" si="186"/>
        <v>210</v>
      </c>
      <c r="I164" s="141"/>
      <c r="J164" s="142"/>
      <c r="K164" s="141"/>
      <c r="L164" s="42"/>
      <c r="M164" s="150" t="str">
        <f t="shared" si="187"/>
        <v> </v>
      </c>
      <c r="N164" s="150" t="str">
        <f t="shared" si="188"/>
        <v> </v>
      </c>
      <c r="O164" s="150">
        <f t="shared" si="189"/>
        <v>3</v>
      </c>
      <c r="P164" s="150" t="str">
        <f t="shared" si="190"/>
        <v> </v>
      </c>
      <c r="Q164" s="150" t="str">
        <f t="shared" si="191"/>
        <v> </v>
      </c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145"/>
      <c r="B165" s="151" t="s">
        <v>4</v>
      </c>
      <c r="C165" s="147">
        <v>0.8</v>
      </c>
      <c r="D165" s="148">
        <v>5.0</v>
      </c>
      <c r="E165" s="149">
        <v>4.0</v>
      </c>
      <c r="F165" s="149">
        <f>'1RM'!$C$4*C165</f>
        <v>80</v>
      </c>
      <c r="G165" s="141">
        <f t="shared" si="185"/>
        <v>20</v>
      </c>
      <c r="H165" s="142">
        <f t="shared" si="186"/>
        <v>1600</v>
      </c>
      <c r="I165" s="141"/>
      <c r="J165" s="142"/>
      <c r="K165" s="141"/>
      <c r="L165" s="42"/>
      <c r="M165" s="150" t="str">
        <f t="shared" si="187"/>
        <v> </v>
      </c>
      <c r="N165" s="150" t="str">
        <f t="shared" si="188"/>
        <v> </v>
      </c>
      <c r="O165" s="150" t="str">
        <f t="shared" si="189"/>
        <v> </v>
      </c>
      <c r="P165" s="150">
        <f t="shared" si="190"/>
        <v>20</v>
      </c>
      <c r="Q165" s="150" t="str">
        <f t="shared" si="191"/>
        <v> </v>
      </c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2.75" customHeight="1">
      <c r="A166" s="136">
        <v>2.0</v>
      </c>
      <c r="B166" s="137" t="s">
        <v>89</v>
      </c>
      <c r="C166" s="138">
        <v>0.5</v>
      </c>
      <c r="D166" s="139">
        <v>4.0</v>
      </c>
      <c r="E166" s="140">
        <v>1.0</v>
      </c>
      <c r="F166" s="140">
        <f>'1RM'!$C$5*C166</f>
        <v>50</v>
      </c>
      <c r="G166" s="141"/>
      <c r="H166" s="142"/>
      <c r="I166" s="141">
        <f t="shared" ref="I166:I168" si="192">D166*E166</f>
        <v>4</v>
      </c>
      <c r="J166" s="142">
        <f t="shared" ref="J166:J168" si="193">F166*I166</f>
        <v>200</v>
      </c>
      <c r="K166" s="141"/>
      <c r="L166" s="42"/>
      <c r="M166" s="5"/>
      <c r="N166" s="5"/>
      <c r="O166" s="5"/>
      <c r="P166" s="5"/>
      <c r="Q166" s="5"/>
      <c r="R166" s="143">
        <f t="shared" ref="R166:R168" si="194">IF(ISNUMBER(SEARCH("Press de banca",$B166)),IF($C166&gt;=0.5,IF($C166&lt;0.6,$D166*$E166," ")," ")," ")</f>
        <v>4</v>
      </c>
      <c r="S166" s="143" t="str">
        <f t="shared" ref="S166:S168" si="195">IF(ISNUMBER(SEARCH("Press de banca",$B166)),IF($C166&gt;=0.6,IF($C166&lt;0.7,$D166*$E166," ")," ")," ")</f>
        <v> </v>
      </c>
      <c r="T166" s="143" t="str">
        <f t="shared" ref="T166:T168" si="196">IF(ISNUMBER(SEARCH("Press de banca",$B166)),IF($C166&gt;=0.7,IF($C166&lt;0.8,$D166*$E166," ")," ")," ")</f>
        <v> </v>
      </c>
      <c r="U166" s="143" t="str">
        <f t="shared" ref="U166:U168" si="197">IF(ISNUMBER(SEARCH("Press de banca",$B166)),IF($C166&gt;=0.8,IF($C166&lt;0.9,$D166*$E166," ")," ")," ")</f>
        <v> </v>
      </c>
      <c r="V166" s="143" t="str">
        <f t="shared" ref="V166:V168" si="198">IF(ISNUMBER(SEARCH("Press de banca",$B166)),IF($C166&gt;=0.9,$D166*$E166," ")," ")</f>
        <v> </v>
      </c>
      <c r="W166" s="5"/>
      <c r="X166" s="5"/>
      <c r="Y166" s="5"/>
      <c r="Z166" s="5"/>
      <c r="AA166" s="5"/>
    </row>
    <row r="167" ht="12.75" customHeight="1">
      <c r="A167" s="136"/>
      <c r="B167" s="144" t="s">
        <v>89</v>
      </c>
      <c r="C167" s="138">
        <v>0.6</v>
      </c>
      <c r="D167" s="139">
        <v>4.0</v>
      </c>
      <c r="E167" s="140">
        <v>1.0</v>
      </c>
      <c r="F167" s="140">
        <f>'1RM'!$C$5*C167</f>
        <v>60</v>
      </c>
      <c r="G167" s="141"/>
      <c r="H167" s="142"/>
      <c r="I167" s="141">
        <f t="shared" si="192"/>
        <v>4</v>
      </c>
      <c r="J167" s="142">
        <f t="shared" si="193"/>
        <v>240</v>
      </c>
      <c r="K167" s="141"/>
      <c r="L167" s="42"/>
      <c r="M167" s="5"/>
      <c r="N167" s="5"/>
      <c r="O167" s="5"/>
      <c r="P167" s="5"/>
      <c r="Q167" s="5"/>
      <c r="R167" s="143" t="str">
        <f t="shared" si="194"/>
        <v> </v>
      </c>
      <c r="S167" s="143">
        <f t="shared" si="195"/>
        <v>4</v>
      </c>
      <c r="T167" s="143" t="str">
        <f t="shared" si="196"/>
        <v> </v>
      </c>
      <c r="U167" s="143" t="str">
        <f t="shared" si="197"/>
        <v> </v>
      </c>
      <c r="V167" s="143" t="str">
        <f t="shared" si="198"/>
        <v> </v>
      </c>
      <c r="W167" s="5"/>
      <c r="X167" s="5"/>
      <c r="Y167" s="5"/>
      <c r="Z167" s="5"/>
      <c r="AA167" s="5"/>
    </row>
    <row r="168" ht="12.75" customHeight="1">
      <c r="A168" s="136"/>
      <c r="B168" s="144" t="s">
        <v>89</v>
      </c>
      <c r="C168" s="138">
        <v>0.7</v>
      </c>
      <c r="D168" s="139">
        <v>4.0</v>
      </c>
      <c r="E168" s="140">
        <v>5.0</v>
      </c>
      <c r="F168" s="140">
        <f>'1RM'!$C$5*C168</f>
        <v>70</v>
      </c>
      <c r="G168" s="141"/>
      <c r="H168" s="142"/>
      <c r="I168" s="141">
        <f t="shared" si="192"/>
        <v>20</v>
      </c>
      <c r="J168" s="142">
        <f t="shared" si="193"/>
        <v>1400</v>
      </c>
      <c r="K168" s="141"/>
      <c r="L168" s="42"/>
      <c r="M168" s="5"/>
      <c r="N168" s="5"/>
      <c r="O168" s="5"/>
      <c r="P168" s="5"/>
      <c r="Q168" s="5"/>
      <c r="R168" s="143" t="str">
        <f t="shared" si="194"/>
        <v> </v>
      </c>
      <c r="S168" s="143" t="str">
        <f t="shared" si="195"/>
        <v> </v>
      </c>
      <c r="T168" s="143">
        <f t="shared" si="196"/>
        <v>20</v>
      </c>
      <c r="U168" s="143" t="str">
        <f t="shared" si="197"/>
        <v> </v>
      </c>
      <c r="V168" s="143" t="str">
        <f t="shared" si="198"/>
        <v> </v>
      </c>
      <c r="W168" s="5"/>
      <c r="X168" s="5"/>
      <c r="Y168" s="5"/>
      <c r="Z168" s="5"/>
      <c r="AA168" s="5"/>
    </row>
    <row r="169" ht="12.75" customHeight="1">
      <c r="A169" s="145">
        <v>3.0</v>
      </c>
      <c r="B169" s="146" t="s">
        <v>4</v>
      </c>
      <c r="C169" s="147">
        <v>0.5</v>
      </c>
      <c r="D169" s="148">
        <v>4.0</v>
      </c>
      <c r="E169" s="149">
        <v>1.0</v>
      </c>
      <c r="F169" s="149">
        <f>'1RM'!$C$4*C169</f>
        <v>50</v>
      </c>
      <c r="G169" s="141">
        <f t="shared" ref="G169:G171" si="199">D169*E169</f>
        <v>4</v>
      </c>
      <c r="H169" s="142">
        <f t="shared" ref="H169:H171" si="200">F169*G169</f>
        <v>200</v>
      </c>
      <c r="I169" s="141"/>
      <c r="J169" s="142"/>
      <c r="K169" s="141"/>
      <c r="L169" s="42"/>
      <c r="M169" s="150">
        <f t="shared" ref="M169:M171" si="201">IF(ISNUMBER(SEARCH("Sentadilla",$B169)),IF($C169&gt;=0.5,IF($C169&lt;0.6,$D169*$E169," ")," ")," ")</f>
        <v>4</v>
      </c>
      <c r="N169" s="150" t="str">
        <f t="shared" ref="N169:N171" si="202">IF(ISNUMBER(SEARCH("Sentadilla",$B169)),IF($C169&gt;=0.6,IF($C169&lt;0.7,$D169*$E169," ")," ")," ")</f>
        <v> </v>
      </c>
      <c r="O169" s="150" t="str">
        <f t="shared" ref="O169:O171" si="203">IF(ISNUMBER(SEARCH("Sentadilla",$B169)),IF($C169&gt;=0.7,IF($C169&lt;0.8,$D169*$E169," ")," ")," ")</f>
        <v> </v>
      </c>
      <c r="P169" s="150" t="str">
        <f t="shared" ref="P169:P171" si="204">IF(ISNUMBER(SEARCH("Sentadilla",$B169)),IF($C169&gt;=0.8,IF($C169&lt;0.9,$D169*$E169," ")," ")," ")</f>
        <v> </v>
      </c>
      <c r="Q169" s="150" t="str">
        <f t="shared" ref="Q169:Q171" si="205">IF(ISNUMBER(SEARCH("Sentadilla",$B169)),IF($C169&gt;=0.9,$D169*$E169," ")," ")</f>
        <v> </v>
      </c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2.75" customHeight="1">
      <c r="A170" s="145"/>
      <c r="B170" s="151" t="s">
        <v>4</v>
      </c>
      <c r="C170" s="147">
        <v>0.6</v>
      </c>
      <c r="D170" s="148">
        <v>4.0</v>
      </c>
      <c r="E170" s="149">
        <v>1.0</v>
      </c>
      <c r="F170" s="149">
        <f>'1RM'!$C$4*C170</f>
        <v>60</v>
      </c>
      <c r="G170" s="141">
        <f t="shared" si="199"/>
        <v>4</v>
      </c>
      <c r="H170" s="142">
        <f t="shared" si="200"/>
        <v>240</v>
      </c>
      <c r="I170" s="141"/>
      <c r="J170" s="142"/>
      <c r="K170" s="141"/>
      <c r="L170" s="42"/>
      <c r="M170" s="150" t="str">
        <f t="shared" si="201"/>
        <v> </v>
      </c>
      <c r="N170" s="150">
        <f t="shared" si="202"/>
        <v>4</v>
      </c>
      <c r="O170" s="150" t="str">
        <f t="shared" si="203"/>
        <v> </v>
      </c>
      <c r="P170" s="150" t="str">
        <f t="shared" si="204"/>
        <v> </v>
      </c>
      <c r="Q170" s="150" t="str">
        <f t="shared" si="205"/>
        <v> </v>
      </c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2.75" customHeight="1">
      <c r="A171" s="145"/>
      <c r="B171" s="151" t="s">
        <v>4</v>
      </c>
      <c r="C171" s="147">
        <v>0.7</v>
      </c>
      <c r="D171" s="148">
        <v>8.0</v>
      </c>
      <c r="E171" s="149">
        <v>4.0</v>
      </c>
      <c r="F171" s="149">
        <f>'1RM'!$C$4*C171</f>
        <v>70</v>
      </c>
      <c r="G171" s="141">
        <f t="shared" si="199"/>
        <v>32</v>
      </c>
      <c r="H171" s="142">
        <f t="shared" si="200"/>
        <v>2240</v>
      </c>
      <c r="I171" s="141"/>
      <c r="J171" s="142"/>
      <c r="K171" s="141"/>
      <c r="L171" s="42"/>
      <c r="M171" s="150" t="str">
        <f t="shared" si="201"/>
        <v> </v>
      </c>
      <c r="N171" s="150" t="str">
        <f t="shared" si="202"/>
        <v> </v>
      </c>
      <c r="O171" s="150">
        <f t="shared" si="203"/>
        <v>32</v>
      </c>
      <c r="P171" s="150" t="str">
        <f t="shared" si="204"/>
        <v> </v>
      </c>
      <c r="Q171" s="150" t="str">
        <f t="shared" si="205"/>
        <v> </v>
      </c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2.75" customHeight="1">
      <c r="A172" s="152">
        <v>4.0</v>
      </c>
      <c r="B172" s="153" t="s">
        <v>60</v>
      </c>
      <c r="C172" s="154"/>
      <c r="D172" s="155">
        <v>10.0</v>
      </c>
      <c r="E172" s="156">
        <v>5.0</v>
      </c>
      <c r="F172" s="156"/>
      <c r="G172" s="141"/>
      <c r="H172" s="142"/>
      <c r="I172" s="141"/>
      <c r="J172" s="142"/>
      <c r="K172" s="141"/>
      <c r="L172" s="42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2.75" customHeight="1">
      <c r="A173" s="152">
        <v>5.0</v>
      </c>
      <c r="B173" s="153" t="s">
        <v>65</v>
      </c>
      <c r="C173" s="154"/>
      <c r="D173" s="155">
        <v>8.0</v>
      </c>
      <c r="E173" s="156">
        <v>4.0</v>
      </c>
      <c r="F173" s="156"/>
      <c r="G173" s="141"/>
      <c r="H173" s="142"/>
      <c r="I173" s="141"/>
      <c r="J173" s="142"/>
      <c r="K173" s="141"/>
      <c r="L173" s="42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2.75" customHeight="1">
      <c r="A174" s="33"/>
      <c r="B174" s="134"/>
      <c r="C174" s="135"/>
      <c r="D174" s="45"/>
      <c r="E174" s="45"/>
      <c r="F174" s="45"/>
      <c r="G174" s="141"/>
      <c r="H174" s="142"/>
      <c r="I174" s="141"/>
      <c r="J174" s="142"/>
      <c r="K174" s="141"/>
      <c r="L174" s="42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2.75" customHeight="1">
      <c r="A175" s="33" t="s">
        <v>66</v>
      </c>
      <c r="B175" s="134"/>
      <c r="C175" s="135" t="s">
        <v>20</v>
      </c>
      <c r="D175" s="45" t="s">
        <v>51</v>
      </c>
      <c r="E175" s="45" t="s">
        <v>52</v>
      </c>
      <c r="F175" s="45" t="s">
        <v>53</v>
      </c>
      <c r="G175" s="141"/>
      <c r="H175" s="142"/>
      <c r="I175" s="141"/>
      <c r="J175" s="142"/>
      <c r="K175" s="141"/>
      <c r="L175" s="42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2.75" customHeight="1">
      <c r="A176" s="157">
        <v>1.0</v>
      </c>
      <c r="B176" s="158" t="s">
        <v>91</v>
      </c>
      <c r="C176" s="159">
        <v>0.5</v>
      </c>
      <c r="D176" s="160">
        <v>3.0</v>
      </c>
      <c r="E176" s="161">
        <v>1.0</v>
      </c>
      <c r="F176" s="161">
        <f>'1RM'!$C$6*C176</f>
        <v>50</v>
      </c>
      <c r="G176" s="141"/>
      <c r="H176" s="142"/>
      <c r="I176" s="141"/>
      <c r="J176" s="142"/>
      <c r="K176" s="141">
        <f t="shared" ref="K176:K179" si="206">D176*E176</f>
        <v>3</v>
      </c>
      <c r="L176" s="42">
        <f t="shared" ref="L176:L179" si="207">F176*K176</f>
        <v>150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162">
        <f t="shared" ref="W176:W179" si="208">IF(ISNUMBER(SEARCH("Peso muerto",$B176)),IF($C176&gt;=0.5,IF($C176&lt;0.6,$D176*$E176," ")," ")," ")</f>
        <v>3</v>
      </c>
      <c r="X176" s="162" t="str">
        <f t="shared" ref="X176:X179" si="209">IF(ISNUMBER(SEARCH("Peso muerto",$B176)),IF($C176&gt;=0.6,IF($C176&lt;0.7,$D176*$E176," ")," ")," ")</f>
        <v> </v>
      </c>
      <c r="Y176" s="162" t="str">
        <f t="shared" ref="Y176:Y179" si="210">IF(ISNUMBER(SEARCH("Peso muerto",$B176)),IF($C176&gt;=0.7,IF($C176&lt;0.8,$D176*$E176," ")," ")," ")</f>
        <v> </v>
      </c>
      <c r="Z176" s="162" t="str">
        <f t="shared" ref="Z176:Z179" si="211">IF(ISNUMBER(SEARCH("Peso muerto",$B176)),IF($C176&gt;=0.8,IF($C176&lt;0.9,$D176*$E176," ")," ")," ")</f>
        <v> </v>
      </c>
      <c r="AA176" s="162" t="str">
        <f t="shared" ref="AA176:AA179" si="212">IF(ISNUMBER(SEARCH("Peso muerto",$B176)),IF($C176&gt;=0.9,$D176*$E176," ")," ")</f>
        <v> </v>
      </c>
    </row>
    <row r="177" ht="12.75" customHeight="1">
      <c r="A177" s="157"/>
      <c r="B177" s="163" t="s">
        <v>92</v>
      </c>
      <c r="C177" s="159">
        <v>0.6</v>
      </c>
      <c r="D177" s="160">
        <v>3.0</v>
      </c>
      <c r="E177" s="161">
        <v>1.0</v>
      </c>
      <c r="F177" s="161">
        <f>'1RM'!$C$6*C177</f>
        <v>60</v>
      </c>
      <c r="G177" s="141"/>
      <c r="H177" s="142"/>
      <c r="I177" s="141"/>
      <c r="J177" s="142"/>
      <c r="K177" s="141">
        <f t="shared" si="206"/>
        <v>3</v>
      </c>
      <c r="L177" s="42">
        <f t="shared" si="207"/>
        <v>180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162" t="str">
        <f t="shared" si="208"/>
        <v> </v>
      </c>
      <c r="X177" s="162" t="str">
        <f t="shared" si="209"/>
        <v> </v>
      </c>
      <c r="Y177" s="162" t="str">
        <f t="shared" si="210"/>
        <v> </v>
      </c>
      <c r="Z177" s="162" t="str">
        <f t="shared" si="211"/>
        <v> </v>
      </c>
      <c r="AA177" s="162" t="str">
        <f t="shared" si="212"/>
        <v> </v>
      </c>
    </row>
    <row r="178" ht="12.75" customHeight="1">
      <c r="A178" s="157"/>
      <c r="B178" s="163" t="s">
        <v>93</v>
      </c>
      <c r="C178" s="159">
        <v>0.7</v>
      </c>
      <c r="D178" s="160">
        <v>3.0</v>
      </c>
      <c r="E178" s="161">
        <v>1.0</v>
      </c>
      <c r="F178" s="161">
        <f>'1RM'!$C$6*C178</f>
        <v>70</v>
      </c>
      <c r="G178" s="141"/>
      <c r="H178" s="142"/>
      <c r="I178" s="141"/>
      <c r="J178" s="142"/>
      <c r="K178" s="141">
        <f t="shared" si="206"/>
        <v>3</v>
      </c>
      <c r="L178" s="42">
        <f t="shared" si="207"/>
        <v>210</v>
      </c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162" t="str">
        <f t="shared" si="208"/>
        <v> </v>
      </c>
      <c r="X178" s="162" t="str">
        <f t="shared" si="209"/>
        <v> </v>
      </c>
      <c r="Y178" s="162">
        <f t="shared" si="210"/>
        <v>3</v>
      </c>
      <c r="Z178" s="162" t="str">
        <f t="shared" si="211"/>
        <v> </v>
      </c>
      <c r="AA178" s="162" t="str">
        <f t="shared" si="212"/>
        <v> </v>
      </c>
    </row>
    <row r="179" ht="12.75" customHeight="1">
      <c r="A179" s="157"/>
      <c r="B179" s="163" t="s">
        <v>94</v>
      </c>
      <c r="C179" s="159">
        <v>0.75</v>
      </c>
      <c r="D179" s="160">
        <v>3.0</v>
      </c>
      <c r="E179" s="161">
        <v>4.0</v>
      </c>
      <c r="F179" s="161">
        <f>'1RM'!$C$6*C179</f>
        <v>75</v>
      </c>
      <c r="G179" s="141"/>
      <c r="H179" s="142"/>
      <c r="I179" s="141"/>
      <c r="J179" s="142"/>
      <c r="K179" s="141">
        <f t="shared" si="206"/>
        <v>12</v>
      </c>
      <c r="L179" s="42">
        <f t="shared" si="207"/>
        <v>900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162" t="str">
        <f t="shared" si="208"/>
        <v> </v>
      </c>
      <c r="X179" s="162" t="str">
        <f t="shared" si="209"/>
        <v> </v>
      </c>
      <c r="Y179" s="162">
        <f t="shared" si="210"/>
        <v>12</v>
      </c>
      <c r="Z179" s="162" t="str">
        <f t="shared" si="211"/>
        <v> </v>
      </c>
      <c r="AA179" s="162" t="str">
        <f t="shared" si="212"/>
        <v> </v>
      </c>
    </row>
    <row r="180" ht="12.75" customHeight="1">
      <c r="A180" s="136">
        <v>2.0</v>
      </c>
      <c r="B180" s="137" t="s">
        <v>95</v>
      </c>
      <c r="C180" s="138">
        <v>0.5</v>
      </c>
      <c r="D180" s="139">
        <v>3.0</v>
      </c>
      <c r="E180" s="140">
        <v>1.0</v>
      </c>
      <c r="F180" s="140">
        <f>'1RM'!$C$5*C180</f>
        <v>50</v>
      </c>
      <c r="G180" s="141"/>
      <c r="H180" s="142"/>
      <c r="I180" s="141">
        <f t="shared" ref="I180:I182" si="213">D180*E180</f>
        <v>3</v>
      </c>
      <c r="J180" s="142">
        <f t="shared" ref="J180:J182" si="214">F180*I180</f>
        <v>150</v>
      </c>
      <c r="K180" s="141"/>
      <c r="L180" s="42"/>
      <c r="M180" s="5"/>
      <c r="N180" s="5"/>
      <c r="O180" s="5"/>
      <c r="P180" s="5"/>
      <c r="Q180" s="5"/>
      <c r="R180" s="143">
        <f t="shared" ref="R180:R182" si="215">IF(ISNUMBER(SEARCH("Press de banca",$B180)),IF($C180&gt;=0.5,IF($C180&lt;0.6,$D180*$E180," ")," ")," ")</f>
        <v>3</v>
      </c>
      <c r="S180" s="143" t="str">
        <f t="shared" ref="S180:S182" si="216">IF(ISNUMBER(SEARCH("Press de banca",$B180)),IF($C180&gt;=0.6,IF($C180&lt;0.7,$D180*$E180," ")," ")," ")</f>
        <v> </v>
      </c>
      <c r="T180" s="143" t="str">
        <f t="shared" ref="T180:T182" si="217">IF(ISNUMBER(SEARCH("Press de banca",$B180)),IF($C180&gt;=0.7,IF($C180&lt;0.8,$D180*$E180," ")," ")," ")</f>
        <v> </v>
      </c>
      <c r="U180" s="143" t="str">
        <f t="shared" ref="U180:U182" si="218">IF(ISNUMBER(SEARCH("Press de banca",$B180)),IF($C180&gt;=0.8,IF($C180&lt;0.9,$D180*$E180," ")," ")," ")</f>
        <v> </v>
      </c>
      <c r="V180" s="143" t="str">
        <f t="shared" ref="V180:V182" si="219">IF(ISNUMBER(SEARCH("Press de banca",$B180)),IF($C180&gt;=0.9,$D180*$E180," ")," ")</f>
        <v> </v>
      </c>
      <c r="W180" s="5"/>
      <c r="X180" s="5"/>
      <c r="Y180" s="5"/>
      <c r="Z180" s="5"/>
      <c r="AA180" s="5"/>
    </row>
    <row r="181" ht="12.75" customHeight="1">
      <c r="A181" s="136"/>
      <c r="B181" s="144" t="s">
        <v>95</v>
      </c>
      <c r="C181" s="138">
        <v>0.6</v>
      </c>
      <c r="D181" s="139">
        <v>3.0</v>
      </c>
      <c r="E181" s="140">
        <v>1.0</v>
      </c>
      <c r="F181" s="140">
        <f>'1RM'!$C$5*C181</f>
        <v>60</v>
      </c>
      <c r="G181" s="141"/>
      <c r="H181" s="142"/>
      <c r="I181" s="141">
        <f t="shared" si="213"/>
        <v>3</v>
      </c>
      <c r="J181" s="142">
        <f t="shared" si="214"/>
        <v>180</v>
      </c>
      <c r="K181" s="141"/>
      <c r="L181" s="42"/>
      <c r="M181" s="5"/>
      <c r="N181" s="5"/>
      <c r="O181" s="5"/>
      <c r="P181" s="5"/>
      <c r="Q181" s="5"/>
      <c r="R181" s="143" t="str">
        <f t="shared" si="215"/>
        <v> </v>
      </c>
      <c r="S181" s="143">
        <f t="shared" si="216"/>
        <v>3</v>
      </c>
      <c r="T181" s="143" t="str">
        <f t="shared" si="217"/>
        <v> </v>
      </c>
      <c r="U181" s="143" t="str">
        <f t="shared" si="218"/>
        <v> </v>
      </c>
      <c r="V181" s="143" t="str">
        <f t="shared" si="219"/>
        <v> </v>
      </c>
      <c r="W181" s="5"/>
      <c r="X181" s="5"/>
      <c r="Y181" s="5"/>
      <c r="Z181" s="5"/>
      <c r="AA181" s="5"/>
    </row>
    <row r="182" ht="12.75" customHeight="1">
      <c r="A182" s="136"/>
      <c r="B182" s="144" t="s">
        <v>95</v>
      </c>
      <c r="C182" s="138">
        <v>0.7</v>
      </c>
      <c r="D182" s="139">
        <v>6.0</v>
      </c>
      <c r="E182" s="140">
        <v>4.0</v>
      </c>
      <c r="F182" s="140">
        <f>'1RM'!$C$5*C182</f>
        <v>70</v>
      </c>
      <c r="G182" s="141"/>
      <c r="H182" s="142"/>
      <c r="I182" s="141">
        <f t="shared" si="213"/>
        <v>24</v>
      </c>
      <c r="J182" s="142">
        <f t="shared" si="214"/>
        <v>1680</v>
      </c>
      <c r="K182" s="141"/>
      <c r="L182" s="42"/>
      <c r="M182" s="5"/>
      <c r="N182" s="5"/>
      <c r="O182" s="5"/>
      <c r="P182" s="5"/>
      <c r="Q182" s="5"/>
      <c r="R182" s="143" t="str">
        <f t="shared" si="215"/>
        <v> </v>
      </c>
      <c r="S182" s="143" t="str">
        <f t="shared" si="216"/>
        <v> </v>
      </c>
      <c r="T182" s="143">
        <f t="shared" si="217"/>
        <v>24</v>
      </c>
      <c r="U182" s="143" t="str">
        <f t="shared" si="218"/>
        <v> </v>
      </c>
      <c r="V182" s="143" t="str">
        <f t="shared" si="219"/>
        <v> </v>
      </c>
      <c r="W182" s="5"/>
      <c r="X182" s="5"/>
      <c r="Y182" s="5"/>
      <c r="Z182" s="5"/>
      <c r="AA182" s="5"/>
    </row>
    <row r="183" ht="12.75" customHeight="1">
      <c r="A183" s="152">
        <v>3.0</v>
      </c>
      <c r="B183" s="153" t="s">
        <v>74</v>
      </c>
      <c r="C183" s="154"/>
      <c r="D183" s="155">
        <v>12.0</v>
      </c>
      <c r="E183" s="156">
        <v>5.0</v>
      </c>
      <c r="F183" s="156"/>
      <c r="G183" s="141"/>
      <c r="H183" s="142"/>
      <c r="I183" s="141"/>
      <c r="J183" s="142"/>
      <c r="K183" s="141"/>
      <c r="L183" s="42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2.75" customHeight="1">
      <c r="A184" s="152">
        <v>4.0</v>
      </c>
      <c r="B184" s="153" t="s">
        <v>83</v>
      </c>
      <c r="C184" s="154"/>
      <c r="D184" s="155">
        <v>12.0</v>
      </c>
      <c r="E184" s="156">
        <v>5.0</v>
      </c>
      <c r="F184" s="156"/>
      <c r="G184" s="141"/>
      <c r="H184" s="142"/>
      <c r="I184" s="141"/>
      <c r="J184" s="142"/>
      <c r="K184" s="141"/>
      <c r="L184" s="42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2.75" customHeight="1">
      <c r="A185" s="152">
        <v>5.0</v>
      </c>
      <c r="B185" s="153" t="s">
        <v>71</v>
      </c>
      <c r="C185" s="154"/>
      <c r="D185" s="155">
        <v>8.0</v>
      </c>
      <c r="E185" s="156">
        <v>4.0</v>
      </c>
      <c r="F185" s="156"/>
      <c r="G185" s="141"/>
      <c r="H185" s="142"/>
      <c r="I185" s="141"/>
      <c r="J185" s="142"/>
      <c r="K185" s="141"/>
      <c r="L185" s="42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2.75" customHeight="1">
      <c r="A186" s="169"/>
      <c r="B186" s="170"/>
      <c r="C186" s="171"/>
      <c r="D186" s="172"/>
      <c r="E186" s="172"/>
      <c r="F186" s="172"/>
      <c r="G186" s="173">
        <f t="shared" ref="G186:AA186" si="220">SUM(G127:G185)</f>
        <v>121</v>
      </c>
      <c r="H186" s="174">
        <f t="shared" si="220"/>
        <v>8260</v>
      </c>
      <c r="I186" s="173">
        <f t="shared" si="220"/>
        <v>135</v>
      </c>
      <c r="J186" s="174">
        <f t="shared" si="220"/>
        <v>9335</v>
      </c>
      <c r="K186" s="173">
        <f t="shared" si="220"/>
        <v>59</v>
      </c>
      <c r="L186" s="172">
        <f t="shared" si="220"/>
        <v>4130</v>
      </c>
      <c r="M186" s="5">
        <f t="shared" si="220"/>
        <v>14</v>
      </c>
      <c r="N186" s="5">
        <f t="shared" si="220"/>
        <v>13</v>
      </c>
      <c r="O186" s="5">
        <f t="shared" si="220"/>
        <v>74</v>
      </c>
      <c r="P186" s="5">
        <f t="shared" si="220"/>
        <v>20</v>
      </c>
      <c r="Q186" s="5">
        <f t="shared" si="220"/>
        <v>0</v>
      </c>
      <c r="R186" s="34">
        <f t="shared" si="220"/>
        <v>21</v>
      </c>
      <c r="S186" s="34">
        <f t="shared" si="220"/>
        <v>19</v>
      </c>
      <c r="T186" s="34">
        <f t="shared" si="220"/>
        <v>57</v>
      </c>
      <c r="U186" s="34">
        <f t="shared" si="220"/>
        <v>38</v>
      </c>
      <c r="V186" s="34">
        <f t="shared" si="220"/>
        <v>0</v>
      </c>
      <c r="W186" s="175">
        <f t="shared" si="220"/>
        <v>6</v>
      </c>
      <c r="X186" s="175">
        <f t="shared" si="220"/>
        <v>7</v>
      </c>
      <c r="Y186" s="175">
        <f t="shared" si="220"/>
        <v>27</v>
      </c>
      <c r="Z186" s="175">
        <f t="shared" si="220"/>
        <v>16</v>
      </c>
      <c r="AA186" s="175">
        <f t="shared" si="220"/>
        <v>0</v>
      </c>
    </row>
    <row r="187" ht="12.75" customHeight="1">
      <c r="A187" s="33" t="s">
        <v>24</v>
      </c>
      <c r="B187" s="33"/>
      <c r="C187" s="133"/>
      <c r="D187" s="42"/>
      <c r="E187" s="42"/>
      <c r="F187" s="42"/>
      <c r="G187" s="141"/>
      <c r="H187" s="142"/>
      <c r="I187" s="141"/>
      <c r="J187" s="142"/>
      <c r="K187" s="141"/>
      <c r="L187" s="42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2.75" customHeight="1">
      <c r="A188" s="33" t="s">
        <v>50</v>
      </c>
      <c r="B188" s="134"/>
      <c r="C188" s="135" t="s">
        <v>20</v>
      </c>
      <c r="D188" s="45" t="s">
        <v>51</v>
      </c>
      <c r="E188" s="45" t="s">
        <v>52</v>
      </c>
      <c r="F188" s="45" t="s">
        <v>53</v>
      </c>
      <c r="G188" s="141"/>
      <c r="H188" s="142"/>
      <c r="I188" s="141"/>
      <c r="J188" s="142"/>
      <c r="K188" s="141"/>
      <c r="L188" s="42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2.75" customHeight="1">
      <c r="A189" s="145">
        <v>1.0</v>
      </c>
      <c r="B189" s="146" t="s">
        <v>4</v>
      </c>
      <c r="C189" s="147">
        <v>0.5</v>
      </c>
      <c r="D189" s="148">
        <v>5.0</v>
      </c>
      <c r="E189" s="149">
        <v>1.0</v>
      </c>
      <c r="F189" s="149">
        <f>'1RM'!$C$4*C189</f>
        <v>50</v>
      </c>
      <c r="G189" s="141">
        <f t="shared" ref="G189:G192" si="221">D189*E189</f>
        <v>5</v>
      </c>
      <c r="H189" s="142">
        <f t="shared" ref="H189:H192" si="222">F189*G189</f>
        <v>250</v>
      </c>
      <c r="I189" s="141"/>
      <c r="J189" s="142"/>
      <c r="K189" s="141"/>
      <c r="L189" s="42"/>
      <c r="M189" s="150">
        <f t="shared" ref="M189:M192" si="223">IF(ISNUMBER(SEARCH("Sentadilla",$B189)),IF($C189&gt;=0.5,IF($C189&lt;0.6,$D189*$E189," ")," ")," ")</f>
        <v>5</v>
      </c>
      <c r="N189" s="150" t="str">
        <f t="shared" ref="N189:N192" si="224">IF(ISNUMBER(SEARCH("Sentadilla",$B189)),IF($C189&gt;=0.6,IF($C189&lt;0.7,$D189*$E189," ")," ")," ")</f>
        <v> </v>
      </c>
      <c r="O189" s="150" t="str">
        <f t="shared" ref="O189:O192" si="225">IF(ISNUMBER(SEARCH("Sentadilla",$B189)),IF($C189&gt;=0.7,IF($C189&lt;0.8,$D189*$E189," ")," ")," ")</f>
        <v> </v>
      </c>
      <c r="P189" s="150" t="str">
        <f t="shared" ref="P189:P192" si="226">IF(ISNUMBER(SEARCH("Sentadilla",$B189)),IF($C189&gt;=0.8,IF($C189&lt;0.9,$D189*$E189," ")," ")," ")</f>
        <v> </v>
      </c>
      <c r="Q189" s="150" t="str">
        <f t="shared" ref="Q189:Q192" si="227">IF(ISNUMBER(SEARCH("Sentadilla",$B189)),IF($C189&gt;=0.9,$D189*$E189," ")," ")</f>
        <v> </v>
      </c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2.75" customHeight="1">
      <c r="A190" s="145"/>
      <c r="B190" s="151" t="s">
        <v>4</v>
      </c>
      <c r="C190" s="147">
        <v>0.6</v>
      </c>
      <c r="D190" s="148">
        <v>4.0</v>
      </c>
      <c r="E190" s="149">
        <v>1.0</v>
      </c>
      <c r="F190" s="149">
        <f>'1RM'!$C$4*C190</f>
        <v>60</v>
      </c>
      <c r="G190" s="141">
        <f t="shared" si="221"/>
        <v>4</v>
      </c>
      <c r="H190" s="142">
        <f t="shared" si="222"/>
        <v>240</v>
      </c>
      <c r="I190" s="141"/>
      <c r="J190" s="142"/>
      <c r="K190" s="141"/>
      <c r="L190" s="42"/>
      <c r="M190" s="150" t="str">
        <f t="shared" si="223"/>
        <v> </v>
      </c>
      <c r="N190" s="150">
        <f t="shared" si="224"/>
        <v>4</v>
      </c>
      <c r="O190" s="150" t="str">
        <f t="shared" si="225"/>
        <v> </v>
      </c>
      <c r="P190" s="150" t="str">
        <f t="shared" si="226"/>
        <v> </v>
      </c>
      <c r="Q190" s="150" t="str">
        <f t="shared" si="227"/>
        <v> </v>
      </c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2.75" customHeight="1">
      <c r="A191" s="145"/>
      <c r="B191" s="151" t="s">
        <v>4</v>
      </c>
      <c r="C191" s="147">
        <v>0.7</v>
      </c>
      <c r="D191" s="148">
        <v>3.0</v>
      </c>
      <c r="E191" s="149">
        <v>1.0</v>
      </c>
      <c r="F191" s="149">
        <f>'1RM'!$C$4*C191</f>
        <v>70</v>
      </c>
      <c r="G191" s="141">
        <f t="shared" si="221"/>
        <v>3</v>
      </c>
      <c r="H191" s="142">
        <f t="shared" si="222"/>
        <v>210</v>
      </c>
      <c r="I191" s="141"/>
      <c r="J191" s="142"/>
      <c r="K191" s="141"/>
      <c r="L191" s="42"/>
      <c r="M191" s="150" t="str">
        <f t="shared" si="223"/>
        <v> </v>
      </c>
      <c r="N191" s="150" t="str">
        <f t="shared" si="224"/>
        <v> </v>
      </c>
      <c r="O191" s="150">
        <f t="shared" si="225"/>
        <v>3</v>
      </c>
      <c r="P191" s="150" t="str">
        <f t="shared" si="226"/>
        <v> </v>
      </c>
      <c r="Q191" s="150" t="str">
        <f t="shared" si="227"/>
        <v> </v>
      </c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2.75" customHeight="1">
      <c r="A192" s="145"/>
      <c r="B192" s="151" t="s">
        <v>4</v>
      </c>
      <c r="C192" s="147">
        <v>0.8</v>
      </c>
      <c r="D192" s="148">
        <v>5.0</v>
      </c>
      <c r="E192" s="149">
        <v>5.0</v>
      </c>
      <c r="F192" s="149">
        <f>'1RM'!$C$4*C192</f>
        <v>80</v>
      </c>
      <c r="G192" s="141">
        <f t="shared" si="221"/>
        <v>25</v>
      </c>
      <c r="H192" s="142">
        <f t="shared" si="222"/>
        <v>2000</v>
      </c>
      <c r="I192" s="141"/>
      <c r="J192" s="142"/>
      <c r="K192" s="141"/>
      <c r="L192" s="42"/>
      <c r="M192" s="150" t="str">
        <f t="shared" si="223"/>
        <v> </v>
      </c>
      <c r="N192" s="150" t="str">
        <f t="shared" si="224"/>
        <v> </v>
      </c>
      <c r="O192" s="150" t="str">
        <f t="shared" si="225"/>
        <v> </v>
      </c>
      <c r="P192" s="150">
        <f t="shared" si="226"/>
        <v>25</v>
      </c>
      <c r="Q192" s="150" t="str">
        <f t="shared" si="227"/>
        <v> </v>
      </c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2.75" customHeight="1">
      <c r="A193" s="136">
        <v>2.0</v>
      </c>
      <c r="B193" s="137" t="s">
        <v>5</v>
      </c>
      <c r="C193" s="138">
        <v>0.5</v>
      </c>
      <c r="D193" s="139">
        <v>5.0</v>
      </c>
      <c r="E193" s="140">
        <v>1.0</v>
      </c>
      <c r="F193" s="140">
        <f>'1RM'!$C$5*C193</f>
        <v>50</v>
      </c>
      <c r="G193" s="141"/>
      <c r="H193" s="142"/>
      <c r="I193" s="141">
        <f t="shared" ref="I193:I196" si="228">D193*E193</f>
        <v>5</v>
      </c>
      <c r="J193" s="142">
        <f t="shared" ref="J193:J196" si="229">F193*I193</f>
        <v>250</v>
      </c>
      <c r="K193" s="141"/>
      <c r="L193" s="42"/>
      <c r="M193" s="5"/>
      <c r="N193" s="5"/>
      <c r="O193" s="5"/>
      <c r="P193" s="5"/>
      <c r="Q193" s="5"/>
      <c r="R193" s="143">
        <f t="shared" ref="R193:R196" si="230">IF(ISNUMBER(SEARCH("Press de banca",$B193)),IF($C193&gt;=0.5,IF($C193&lt;0.6,$D193*$E193," ")," ")," ")</f>
        <v>5</v>
      </c>
      <c r="S193" s="143" t="str">
        <f t="shared" ref="S193:S196" si="231">IF(ISNUMBER(SEARCH("Press de banca",$B193)),IF($C193&gt;=0.6,IF($C193&lt;0.7,$D193*$E193," ")," ")," ")</f>
        <v> </v>
      </c>
      <c r="T193" s="143" t="str">
        <f t="shared" ref="T193:T196" si="232">IF(ISNUMBER(SEARCH("Press de banca",$B193)),IF($C193&gt;=0.7,IF($C193&lt;0.8,$D193*$E193," ")," ")," ")</f>
        <v> </v>
      </c>
      <c r="U193" s="143" t="str">
        <f t="shared" ref="U193:U196" si="233">IF(ISNUMBER(SEARCH("Press de banca",$B193)),IF($C193&gt;=0.8,IF($C193&lt;0.9,$D193*$E193," ")," ")," ")</f>
        <v> </v>
      </c>
      <c r="V193" s="143" t="str">
        <f t="shared" ref="V193:V196" si="234">IF(ISNUMBER(SEARCH("Press de banca",$B193)),IF($C193&gt;=0.9,$D193*$E193," ")," ")</f>
        <v> </v>
      </c>
      <c r="W193" s="5"/>
      <c r="X193" s="5"/>
      <c r="Y193" s="5"/>
      <c r="Z193" s="5"/>
      <c r="AA193" s="5"/>
    </row>
    <row r="194" ht="12.75" customHeight="1">
      <c r="A194" s="136"/>
      <c r="B194" s="144" t="s">
        <v>5</v>
      </c>
      <c r="C194" s="138">
        <v>0.6</v>
      </c>
      <c r="D194" s="139">
        <v>4.0</v>
      </c>
      <c r="E194" s="140">
        <v>1.0</v>
      </c>
      <c r="F194" s="140">
        <f>'1RM'!$C$5*C194</f>
        <v>60</v>
      </c>
      <c r="G194" s="141"/>
      <c r="H194" s="142"/>
      <c r="I194" s="141">
        <f t="shared" si="228"/>
        <v>4</v>
      </c>
      <c r="J194" s="142">
        <f t="shared" si="229"/>
        <v>240</v>
      </c>
      <c r="K194" s="141"/>
      <c r="L194" s="42"/>
      <c r="M194" s="5"/>
      <c r="N194" s="5"/>
      <c r="O194" s="5"/>
      <c r="P194" s="5"/>
      <c r="Q194" s="5"/>
      <c r="R194" s="143" t="str">
        <f t="shared" si="230"/>
        <v> </v>
      </c>
      <c r="S194" s="143">
        <f t="shared" si="231"/>
        <v>4</v>
      </c>
      <c r="T194" s="143" t="str">
        <f t="shared" si="232"/>
        <v> </v>
      </c>
      <c r="U194" s="143" t="str">
        <f t="shared" si="233"/>
        <v> </v>
      </c>
      <c r="V194" s="143" t="str">
        <f t="shared" si="234"/>
        <v> </v>
      </c>
      <c r="W194" s="5"/>
      <c r="X194" s="5"/>
      <c r="Y194" s="5"/>
      <c r="Z194" s="5"/>
      <c r="AA194" s="5"/>
    </row>
    <row r="195" ht="12.75" customHeight="1">
      <c r="A195" s="136"/>
      <c r="B195" s="144" t="s">
        <v>5</v>
      </c>
      <c r="C195" s="138">
        <v>0.7</v>
      </c>
      <c r="D195" s="139">
        <v>3.0</v>
      </c>
      <c r="E195" s="140">
        <v>1.0</v>
      </c>
      <c r="F195" s="140">
        <f>'1RM'!$C$5*C195</f>
        <v>70</v>
      </c>
      <c r="G195" s="141"/>
      <c r="H195" s="142"/>
      <c r="I195" s="141">
        <f t="shared" si="228"/>
        <v>3</v>
      </c>
      <c r="J195" s="142">
        <f t="shared" si="229"/>
        <v>210</v>
      </c>
      <c r="K195" s="141"/>
      <c r="L195" s="42"/>
      <c r="M195" s="5"/>
      <c r="N195" s="5"/>
      <c r="O195" s="5"/>
      <c r="P195" s="5"/>
      <c r="Q195" s="5"/>
      <c r="R195" s="143" t="str">
        <f t="shared" si="230"/>
        <v> </v>
      </c>
      <c r="S195" s="143" t="str">
        <f t="shared" si="231"/>
        <v> </v>
      </c>
      <c r="T195" s="143">
        <f t="shared" si="232"/>
        <v>3</v>
      </c>
      <c r="U195" s="143" t="str">
        <f t="shared" si="233"/>
        <v> </v>
      </c>
      <c r="V195" s="143" t="str">
        <f t="shared" si="234"/>
        <v> </v>
      </c>
      <c r="W195" s="5"/>
      <c r="X195" s="5"/>
      <c r="Y195" s="5"/>
      <c r="Z195" s="5"/>
      <c r="AA195" s="5"/>
    </row>
    <row r="196" ht="12.75" customHeight="1">
      <c r="A196" s="136"/>
      <c r="B196" s="144" t="s">
        <v>5</v>
      </c>
      <c r="C196" s="138">
        <v>0.8</v>
      </c>
      <c r="D196" s="139">
        <v>5.0</v>
      </c>
      <c r="E196" s="140">
        <v>5.0</v>
      </c>
      <c r="F196" s="140">
        <f>'1RM'!$C$5*C196</f>
        <v>80</v>
      </c>
      <c r="G196" s="141"/>
      <c r="H196" s="142"/>
      <c r="I196" s="141">
        <f t="shared" si="228"/>
        <v>25</v>
      </c>
      <c r="J196" s="142">
        <f t="shared" si="229"/>
        <v>2000</v>
      </c>
      <c r="K196" s="141"/>
      <c r="L196" s="42"/>
      <c r="M196" s="5"/>
      <c r="N196" s="5"/>
      <c r="O196" s="5"/>
      <c r="P196" s="5"/>
      <c r="Q196" s="5"/>
      <c r="R196" s="143" t="str">
        <f t="shared" si="230"/>
        <v> </v>
      </c>
      <c r="S196" s="143" t="str">
        <f t="shared" si="231"/>
        <v> </v>
      </c>
      <c r="T196" s="143" t="str">
        <f t="shared" si="232"/>
        <v> </v>
      </c>
      <c r="U196" s="143">
        <f t="shared" si="233"/>
        <v>25</v>
      </c>
      <c r="V196" s="143" t="str">
        <f t="shared" si="234"/>
        <v> </v>
      </c>
      <c r="W196" s="5"/>
      <c r="X196" s="5"/>
      <c r="Y196" s="5"/>
      <c r="Z196" s="5"/>
      <c r="AA196" s="5"/>
    </row>
    <row r="197" ht="12.75" customHeight="1">
      <c r="A197" s="164">
        <v>3.0</v>
      </c>
      <c r="B197" s="165" t="s">
        <v>55</v>
      </c>
      <c r="C197" s="166"/>
      <c r="D197" s="167">
        <v>10.0</v>
      </c>
      <c r="E197" s="168">
        <v>5.0</v>
      </c>
      <c r="F197" s="168"/>
      <c r="G197" s="141"/>
      <c r="H197" s="142"/>
      <c r="I197" s="141"/>
      <c r="J197" s="142"/>
      <c r="K197" s="141"/>
      <c r="L197" s="42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2.75" customHeight="1">
      <c r="A198" s="152">
        <v>4.0</v>
      </c>
      <c r="B198" s="153" t="s">
        <v>69</v>
      </c>
      <c r="C198" s="154"/>
      <c r="D198" s="155">
        <v>10.0</v>
      </c>
      <c r="E198" s="156">
        <v>5.0</v>
      </c>
      <c r="F198" s="156"/>
      <c r="G198" s="141"/>
      <c r="H198" s="142"/>
      <c r="I198" s="141"/>
      <c r="J198" s="142"/>
      <c r="K198" s="141"/>
      <c r="L198" s="42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2.75" customHeight="1">
      <c r="A199" s="164">
        <v>5.0</v>
      </c>
      <c r="B199" s="165" t="s">
        <v>61</v>
      </c>
      <c r="C199" s="166"/>
      <c r="D199" s="167">
        <v>5.0</v>
      </c>
      <c r="E199" s="168">
        <v>5.0</v>
      </c>
      <c r="F199" s="168"/>
      <c r="G199" s="141"/>
      <c r="H199" s="142"/>
      <c r="I199" s="141"/>
      <c r="J199" s="142"/>
      <c r="K199" s="141"/>
      <c r="L199" s="42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2.75" customHeight="1">
      <c r="A200" s="33"/>
      <c r="B200" s="134"/>
      <c r="C200" s="133"/>
      <c r="D200" s="42"/>
      <c r="E200" s="42"/>
      <c r="F200" s="42"/>
      <c r="G200" s="141"/>
      <c r="H200" s="142"/>
      <c r="I200" s="141"/>
      <c r="J200" s="142"/>
      <c r="K200" s="141"/>
      <c r="L200" s="42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2.75" customHeight="1">
      <c r="A201" s="33" t="s">
        <v>57</v>
      </c>
      <c r="B201" s="134"/>
      <c r="C201" s="135" t="s">
        <v>20</v>
      </c>
      <c r="D201" s="45" t="s">
        <v>51</v>
      </c>
      <c r="E201" s="45" t="s">
        <v>52</v>
      </c>
      <c r="F201" s="45" t="s">
        <v>53</v>
      </c>
      <c r="G201" s="141"/>
      <c r="H201" s="142"/>
      <c r="I201" s="141"/>
      <c r="J201" s="142"/>
      <c r="K201" s="141"/>
      <c r="L201" s="42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2.75" customHeight="1">
      <c r="A202" s="157">
        <v>1.0</v>
      </c>
      <c r="B202" s="158" t="s">
        <v>59</v>
      </c>
      <c r="C202" s="159">
        <v>0.5</v>
      </c>
      <c r="D202" s="160">
        <v>3.0</v>
      </c>
      <c r="E202" s="161">
        <v>1.0</v>
      </c>
      <c r="F202" s="161">
        <f>'1RM'!$C$6*C202</f>
        <v>50</v>
      </c>
      <c r="G202" s="141"/>
      <c r="H202" s="142"/>
      <c r="I202" s="141"/>
      <c r="J202" s="142"/>
      <c r="K202" s="141">
        <f t="shared" ref="K202:K205" si="235">D202*E202</f>
        <v>3</v>
      </c>
      <c r="L202" s="42">
        <f t="shared" ref="L202:L205" si="236">F202*K202</f>
        <v>150</v>
      </c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162">
        <f t="shared" ref="W202:W205" si="237">IF(ISNUMBER(SEARCH("Peso muerto",$B202)),IF($C202&gt;=0.5,IF($C202&lt;0.6,$D202*$E202," ")," ")," ")</f>
        <v>3</v>
      </c>
      <c r="X202" s="162" t="str">
        <f t="shared" ref="X202:X205" si="238">IF(ISNUMBER(SEARCH("Peso muerto",$B202)),IF($C202&gt;=0.6,IF($C202&lt;0.7,$D202*$E202," ")," ")," ")</f>
        <v> </v>
      </c>
      <c r="Y202" s="162" t="str">
        <f t="shared" ref="Y202:Y205" si="239">IF(ISNUMBER(SEARCH("Peso muerto",$B202)),IF($C202&gt;=0.7,IF($C202&lt;0.8,$D202*$E202," ")," ")," ")</f>
        <v> </v>
      </c>
      <c r="Z202" s="162" t="str">
        <f t="shared" ref="Z202:Z205" si="240">IF(ISNUMBER(SEARCH("Peso muerto",$B202)),IF($C202&gt;=0.8,IF($C202&lt;0.9,$D202*$E202," ")," ")," ")</f>
        <v> </v>
      </c>
      <c r="AA202" s="162" t="str">
        <f t="shared" ref="AA202:AA205" si="241">IF(ISNUMBER(SEARCH("Peso muerto",$B202)),IF($C202&gt;=0.9,$D202*$E202," ")," ")</f>
        <v> </v>
      </c>
    </row>
    <row r="203" ht="12.75" customHeight="1">
      <c r="A203" s="157"/>
      <c r="B203" s="163" t="s">
        <v>59</v>
      </c>
      <c r="C203" s="159">
        <v>0.6</v>
      </c>
      <c r="D203" s="160">
        <v>3.0</v>
      </c>
      <c r="E203" s="161">
        <v>1.0</v>
      </c>
      <c r="F203" s="161">
        <f>'1RM'!$C$6*C203</f>
        <v>60</v>
      </c>
      <c r="G203" s="141"/>
      <c r="H203" s="142"/>
      <c r="I203" s="141"/>
      <c r="J203" s="142"/>
      <c r="K203" s="141">
        <f t="shared" si="235"/>
        <v>3</v>
      </c>
      <c r="L203" s="42">
        <f t="shared" si="236"/>
        <v>180</v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162" t="str">
        <f t="shared" si="237"/>
        <v> </v>
      </c>
      <c r="X203" s="162">
        <f t="shared" si="238"/>
        <v>3</v>
      </c>
      <c r="Y203" s="162" t="str">
        <f t="shared" si="239"/>
        <v> </v>
      </c>
      <c r="Z203" s="162" t="str">
        <f t="shared" si="240"/>
        <v> </v>
      </c>
      <c r="AA203" s="162" t="str">
        <f t="shared" si="241"/>
        <v> </v>
      </c>
    </row>
    <row r="204" ht="12.75" customHeight="1">
      <c r="A204" s="157"/>
      <c r="B204" s="163" t="s">
        <v>59</v>
      </c>
      <c r="C204" s="159">
        <v>0.7</v>
      </c>
      <c r="D204" s="160">
        <v>3.0</v>
      </c>
      <c r="E204" s="161">
        <v>1.0</v>
      </c>
      <c r="F204" s="161">
        <f>'1RM'!$C$6*C204</f>
        <v>70</v>
      </c>
      <c r="G204" s="141"/>
      <c r="H204" s="142"/>
      <c r="I204" s="141"/>
      <c r="J204" s="142"/>
      <c r="K204" s="141">
        <f t="shared" si="235"/>
        <v>3</v>
      </c>
      <c r="L204" s="42">
        <f t="shared" si="236"/>
        <v>210</v>
      </c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162" t="str">
        <f t="shared" si="237"/>
        <v> </v>
      </c>
      <c r="X204" s="162" t="str">
        <f t="shared" si="238"/>
        <v> </v>
      </c>
      <c r="Y204" s="162">
        <f t="shared" si="239"/>
        <v>3</v>
      </c>
      <c r="Z204" s="162" t="str">
        <f t="shared" si="240"/>
        <v> </v>
      </c>
      <c r="AA204" s="162" t="str">
        <f t="shared" si="241"/>
        <v> </v>
      </c>
    </row>
    <row r="205" ht="12.75" customHeight="1">
      <c r="A205" s="157"/>
      <c r="B205" s="163" t="s">
        <v>59</v>
      </c>
      <c r="C205" s="159">
        <v>0.8</v>
      </c>
      <c r="D205" s="160">
        <v>2.0</v>
      </c>
      <c r="E205" s="161">
        <v>4.0</v>
      </c>
      <c r="F205" s="161">
        <f>'1RM'!$C$6*C205</f>
        <v>80</v>
      </c>
      <c r="G205" s="141"/>
      <c r="H205" s="142"/>
      <c r="I205" s="141"/>
      <c r="J205" s="142"/>
      <c r="K205" s="141">
        <f t="shared" si="235"/>
        <v>8</v>
      </c>
      <c r="L205" s="42">
        <f t="shared" si="236"/>
        <v>640</v>
      </c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162" t="str">
        <f t="shared" si="237"/>
        <v> </v>
      </c>
      <c r="X205" s="162" t="str">
        <f t="shared" si="238"/>
        <v> </v>
      </c>
      <c r="Y205" s="162" t="str">
        <f t="shared" si="239"/>
        <v> </v>
      </c>
      <c r="Z205" s="162">
        <f t="shared" si="240"/>
        <v>8</v>
      </c>
      <c r="AA205" s="162" t="str">
        <f t="shared" si="241"/>
        <v> </v>
      </c>
    </row>
    <row r="206" ht="12.75" customHeight="1">
      <c r="A206" s="136">
        <v>2.0</v>
      </c>
      <c r="B206" s="137" t="s">
        <v>85</v>
      </c>
      <c r="C206" s="138">
        <v>0.55</v>
      </c>
      <c r="D206" s="139">
        <v>3.0</v>
      </c>
      <c r="E206" s="140">
        <v>1.0</v>
      </c>
      <c r="F206" s="140">
        <f>'1RM'!$C$5*C206</f>
        <v>55</v>
      </c>
      <c r="G206" s="141"/>
      <c r="H206" s="142"/>
      <c r="I206" s="141">
        <f t="shared" ref="I206:I211" si="242">D206*E206</f>
        <v>3</v>
      </c>
      <c r="J206" s="142">
        <f t="shared" ref="J206:J211" si="243">F206*I206</f>
        <v>165</v>
      </c>
      <c r="K206" s="141"/>
      <c r="L206" s="42"/>
      <c r="M206" s="5"/>
      <c r="N206" s="5"/>
      <c r="O206" s="5"/>
      <c r="P206" s="5"/>
      <c r="Q206" s="5"/>
      <c r="R206" s="143">
        <f t="shared" ref="R206:R211" si="244">IF(ISNUMBER(SEARCH("Press de banca",$B206)),IF($C206&gt;=0.5,IF($C206&lt;0.6,$D206*$E206," ")," ")," ")</f>
        <v>3</v>
      </c>
      <c r="S206" s="143" t="str">
        <f t="shared" ref="S206:S211" si="245">IF(ISNUMBER(SEARCH("Press de banca",$B206)),IF($C206&gt;=0.6,IF($C206&lt;0.7,$D206*$E206," ")," ")," ")</f>
        <v> </v>
      </c>
      <c r="T206" s="143" t="str">
        <f t="shared" ref="T206:T211" si="246">IF(ISNUMBER(SEARCH("Press de banca",$B206)),IF($C206&gt;=0.7,IF($C206&lt;0.8,$D206*$E206," ")," ")," ")</f>
        <v> </v>
      </c>
      <c r="U206" s="143" t="str">
        <f t="shared" ref="U206:U211" si="247">IF(ISNUMBER(SEARCH("Press de banca",$B206)),IF($C206&gt;=0.8,IF($C206&lt;0.9,$D206*$E206," ")," ")," ")</f>
        <v> </v>
      </c>
      <c r="V206" s="143" t="str">
        <f t="shared" ref="V206:V211" si="248">IF(ISNUMBER(SEARCH("Press de banca",$B206)),IF($C206&gt;=0.9,$D206*$E206," ")," ")</f>
        <v> </v>
      </c>
      <c r="W206" s="5"/>
      <c r="X206" s="5"/>
      <c r="Y206" s="5"/>
      <c r="Z206" s="5"/>
      <c r="AA206" s="5"/>
    </row>
    <row r="207" ht="12.75" customHeight="1">
      <c r="A207" s="136"/>
      <c r="B207" s="144" t="s">
        <v>85</v>
      </c>
      <c r="C207" s="138">
        <v>0.65</v>
      </c>
      <c r="D207" s="139">
        <v>3.0</v>
      </c>
      <c r="E207" s="140">
        <v>1.0</v>
      </c>
      <c r="F207" s="140">
        <f>'1RM'!$C$5*C207</f>
        <v>65</v>
      </c>
      <c r="G207" s="141"/>
      <c r="H207" s="142"/>
      <c r="I207" s="141">
        <f t="shared" si="242"/>
        <v>3</v>
      </c>
      <c r="J207" s="142">
        <f t="shared" si="243"/>
        <v>195</v>
      </c>
      <c r="K207" s="141"/>
      <c r="L207" s="42"/>
      <c r="M207" s="5"/>
      <c r="N207" s="5"/>
      <c r="O207" s="5"/>
      <c r="P207" s="5"/>
      <c r="Q207" s="5"/>
      <c r="R207" s="143" t="str">
        <f t="shared" si="244"/>
        <v> </v>
      </c>
      <c r="S207" s="143">
        <f t="shared" si="245"/>
        <v>3</v>
      </c>
      <c r="T207" s="143" t="str">
        <f t="shared" si="246"/>
        <v> </v>
      </c>
      <c r="U207" s="143" t="str">
        <f t="shared" si="247"/>
        <v> </v>
      </c>
      <c r="V207" s="143" t="str">
        <f t="shared" si="248"/>
        <v> </v>
      </c>
      <c r="W207" s="5"/>
      <c r="X207" s="5"/>
      <c r="Y207" s="5"/>
      <c r="Z207" s="5"/>
      <c r="AA207" s="5"/>
    </row>
    <row r="208" ht="12.75" customHeight="1">
      <c r="A208" s="136"/>
      <c r="B208" s="144" t="s">
        <v>85</v>
      </c>
      <c r="C208" s="138">
        <v>0.75</v>
      </c>
      <c r="D208" s="139">
        <v>3.0</v>
      </c>
      <c r="E208" s="140">
        <v>1.0</v>
      </c>
      <c r="F208" s="140">
        <f>'1RM'!$C$5*C208</f>
        <v>75</v>
      </c>
      <c r="G208" s="141"/>
      <c r="H208" s="142"/>
      <c r="I208" s="141">
        <f t="shared" si="242"/>
        <v>3</v>
      </c>
      <c r="J208" s="142">
        <f t="shared" si="243"/>
        <v>225</v>
      </c>
      <c r="K208" s="141"/>
      <c r="L208" s="42"/>
      <c r="M208" s="5"/>
      <c r="N208" s="5"/>
      <c r="O208" s="5"/>
      <c r="P208" s="5"/>
      <c r="Q208" s="5"/>
      <c r="R208" s="143" t="str">
        <f t="shared" si="244"/>
        <v> </v>
      </c>
      <c r="S208" s="143" t="str">
        <f t="shared" si="245"/>
        <v> </v>
      </c>
      <c r="T208" s="143">
        <f t="shared" si="246"/>
        <v>3</v>
      </c>
      <c r="U208" s="143" t="str">
        <f t="shared" si="247"/>
        <v> </v>
      </c>
      <c r="V208" s="143" t="str">
        <f t="shared" si="248"/>
        <v> </v>
      </c>
      <c r="W208" s="5"/>
      <c r="X208" s="5"/>
      <c r="Y208" s="5"/>
      <c r="Z208" s="5"/>
      <c r="AA208" s="5"/>
    </row>
    <row r="209" ht="12.75" customHeight="1">
      <c r="A209" s="136"/>
      <c r="B209" s="144" t="s">
        <v>85</v>
      </c>
      <c r="C209" s="138">
        <v>0.85</v>
      </c>
      <c r="D209" s="139">
        <v>3.0</v>
      </c>
      <c r="E209" s="140">
        <v>2.0</v>
      </c>
      <c r="F209" s="140">
        <f>'1RM'!$C$5*C209</f>
        <v>85</v>
      </c>
      <c r="G209" s="141"/>
      <c r="H209" s="142"/>
      <c r="I209" s="141">
        <f t="shared" si="242"/>
        <v>6</v>
      </c>
      <c r="J209" s="142">
        <f t="shared" si="243"/>
        <v>510</v>
      </c>
      <c r="K209" s="141"/>
      <c r="L209" s="42"/>
      <c r="M209" s="5"/>
      <c r="N209" s="5"/>
      <c r="O209" s="5"/>
      <c r="P209" s="5"/>
      <c r="Q209" s="5"/>
      <c r="R209" s="143" t="str">
        <f t="shared" si="244"/>
        <v> </v>
      </c>
      <c r="S209" s="143" t="str">
        <f t="shared" si="245"/>
        <v> </v>
      </c>
      <c r="T209" s="143" t="str">
        <f t="shared" si="246"/>
        <v> </v>
      </c>
      <c r="U209" s="143">
        <f t="shared" si="247"/>
        <v>6</v>
      </c>
      <c r="V209" s="143" t="str">
        <f t="shared" si="248"/>
        <v> </v>
      </c>
      <c r="W209" s="5"/>
      <c r="X209" s="5"/>
      <c r="Y209" s="5"/>
      <c r="Z209" s="5"/>
      <c r="AA209" s="5"/>
    </row>
    <row r="210" ht="12.75" customHeight="1">
      <c r="A210" s="136"/>
      <c r="B210" s="144" t="s">
        <v>85</v>
      </c>
      <c r="C210" s="138">
        <v>0.9</v>
      </c>
      <c r="D210" s="139">
        <v>2.0</v>
      </c>
      <c r="E210" s="140">
        <v>2.0</v>
      </c>
      <c r="F210" s="140">
        <f>'1RM'!$C$5*C210</f>
        <v>90</v>
      </c>
      <c r="G210" s="141"/>
      <c r="H210" s="142"/>
      <c r="I210" s="141">
        <f t="shared" si="242"/>
        <v>4</v>
      </c>
      <c r="J210" s="142">
        <f t="shared" si="243"/>
        <v>360</v>
      </c>
      <c r="K210" s="141"/>
      <c r="L210" s="42"/>
      <c r="M210" s="5"/>
      <c r="N210" s="5"/>
      <c r="O210" s="5"/>
      <c r="P210" s="5"/>
      <c r="Q210" s="5"/>
      <c r="R210" s="143" t="str">
        <f t="shared" si="244"/>
        <v> </v>
      </c>
      <c r="S210" s="143" t="str">
        <f t="shared" si="245"/>
        <v> </v>
      </c>
      <c r="T210" s="143" t="str">
        <f t="shared" si="246"/>
        <v> </v>
      </c>
      <c r="U210" s="143" t="str">
        <f t="shared" si="247"/>
        <v> </v>
      </c>
      <c r="V210" s="143">
        <f t="shared" si="248"/>
        <v>4</v>
      </c>
      <c r="W210" s="5"/>
      <c r="X210" s="5"/>
      <c r="Y210" s="5"/>
      <c r="Z210" s="5"/>
      <c r="AA210" s="5"/>
    </row>
    <row r="211" ht="12.75" customHeight="1">
      <c r="A211" s="136"/>
      <c r="B211" s="144" t="s">
        <v>85</v>
      </c>
      <c r="C211" s="138">
        <v>0.95</v>
      </c>
      <c r="D211" s="139">
        <v>1.0</v>
      </c>
      <c r="E211" s="140">
        <v>3.0</v>
      </c>
      <c r="F211" s="140">
        <f>'1RM'!$C$5*C211</f>
        <v>95</v>
      </c>
      <c r="G211" s="141"/>
      <c r="H211" s="142"/>
      <c r="I211" s="141">
        <f t="shared" si="242"/>
        <v>3</v>
      </c>
      <c r="J211" s="142">
        <f t="shared" si="243"/>
        <v>285</v>
      </c>
      <c r="K211" s="141"/>
      <c r="L211" s="42"/>
      <c r="M211" s="5"/>
      <c r="N211" s="5"/>
      <c r="O211" s="5"/>
      <c r="P211" s="5"/>
      <c r="Q211" s="5"/>
      <c r="R211" s="143" t="str">
        <f t="shared" si="244"/>
        <v> </v>
      </c>
      <c r="S211" s="143" t="str">
        <f t="shared" si="245"/>
        <v> </v>
      </c>
      <c r="T211" s="143" t="str">
        <f t="shared" si="246"/>
        <v> </v>
      </c>
      <c r="U211" s="143" t="str">
        <f t="shared" si="247"/>
        <v> </v>
      </c>
      <c r="V211" s="143">
        <f t="shared" si="248"/>
        <v>3</v>
      </c>
      <c r="W211" s="5"/>
      <c r="X211" s="5"/>
      <c r="Y211" s="5"/>
      <c r="Z211" s="5"/>
      <c r="AA211" s="5"/>
    </row>
    <row r="212" ht="12.75" customHeight="1">
      <c r="A212" s="157">
        <v>3.0</v>
      </c>
      <c r="B212" s="158" t="s">
        <v>96</v>
      </c>
      <c r="C212" s="159">
        <v>0.5</v>
      </c>
      <c r="D212" s="160">
        <v>3.0</v>
      </c>
      <c r="E212" s="161">
        <v>1.0</v>
      </c>
      <c r="F212" s="161">
        <f>'1RM'!$C$6*C212</f>
        <v>50</v>
      </c>
      <c r="G212" s="141"/>
      <c r="H212" s="142"/>
      <c r="I212" s="141"/>
      <c r="J212" s="142"/>
      <c r="K212" s="141">
        <f t="shared" ref="K212:K215" si="249">D212*E212</f>
        <v>3</v>
      </c>
      <c r="L212" s="42">
        <f t="shared" ref="L212:L215" si="250">F212*K212</f>
        <v>150</v>
      </c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162">
        <f t="shared" ref="W212:W214" si="251">IF(ISNUMBER(SEARCH("Peso muerto",$B212)),IF($C212&gt;=0.5,IF($C212&lt;0.6,$D212*$E212," ")," ")," ")</f>
        <v>3</v>
      </c>
      <c r="X212" s="162" t="str">
        <f t="shared" ref="X212:X214" si="252">IF(ISNUMBER(SEARCH("Peso muerto",$B212)),IF($C212&gt;=0.6,IF($C212&lt;0.7,$D212*$E212," ")," ")," ")</f>
        <v> </v>
      </c>
      <c r="Y212" s="162" t="str">
        <f t="shared" ref="Y212:Y214" si="253">IF(ISNUMBER(SEARCH("Peso muerto",$B212)),IF($C212&gt;=0.7,IF($C212&lt;0.8,$D212*$E212," ")," ")," ")</f>
        <v> </v>
      </c>
      <c r="Z212" s="162" t="str">
        <f t="shared" ref="Z212:Z214" si="254">IF(ISNUMBER(SEARCH("Peso muerto",$B212)),IF($C212&gt;=0.8,IF($C212&lt;0.9,$D212*$E212," ")," ")," ")</f>
        <v> </v>
      </c>
      <c r="AA212" s="162" t="str">
        <f t="shared" ref="AA212:AA214" si="255">IF(ISNUMBER(SEARCH("Peso muerto",$B212)),IF($C212&gt;=0.9,$D212*$E212," ")," ")</f>
        <v> </v>
      </c>
    </row>
    <row r="213" ht="12.75" customHeight="1">
      <c r="A213" s="157"/>
      <c r="B213" s="163" t="s">
        <v>96</v>
      </c>
      <c r="C213" s="159">
        <v>0.6</v>
      </c>
      <c r="D213" s="160">
        <v>3.0</v>
      </c>
      <c r="E213" s="161">
        <v>1.0</v>
      </c>
      <c r="F213" s="161">
        <f>'1RM'!$C$6*C213</f>
        <v>60</v>
      </c>
      <c r="G213" s="141"/>
      <c r="H213" s="142"/>
      <c r="I213" s="141"/>
      <c r="J213" s="142"/>
      <c r="K213" s="141">
        <f t="shared" si="249"/>
        <v>3</v>
      </c>
      <c r="L213" s="42">
        <f t="shared" si="250"/>
        <v>180</v>
      </c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162" t="str">
        <f t="shared" si="251"/>
        <v> </v>
      </c>
      <c r="X213" s="162">
        <f t="shared" si="252"/>
        <v>3</v>
      </c>
      <c r="Y213" s="162" t="str">
        <f t="shared" si="253"/>
        <v> </v>
      </c>
      <c r="Z213" s="162" t="str">
        <f t="shared" si="254"/>
        <v> </v>
      </c>
      <c r="AA213" s="162" t="str">
        <f t="shared" si="255"/>
        <v> </v>
      </c>
    </row>
    <row r="214" ht="12.75" customHeight="1">
      <c r="A214" s="157"/>
      <c r="B214" s="163" t="s">
        <v>96</v>
      </c>
      <c r="C214" s="159">
        <v>0.7</v>
      </c>
      <c r="D214" s="160">
        <v>3.0</v>
      </c>
      <c r="E214" s="161">
        <v>1.0</v>
      </c>
      <c r="F214" s="161">
        <f>'1RM'!$C$6*C214</f>
        <v>70</v>
      </c>
      <c r="G214" s="141"/>
      <c r="H214" s="142"/>
      <c r="I214" s="141"/>
      <c r="J214" s="142"/>
      <c r="K214" s="141">
        <f t="shared" si="249"/>
        <v>3</v>
      </c>
      <c r="L214" s="42">
        <f t="shared" si="250"/>
        <v>210</v>
      </c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162" t="str">
        <f t="shared" si="251"/>
        <v> </v>
      </c>
      <c r="X214" s="162" t="str">
        <f t="shared" si="252"/>
        <v> </v>
      </c>
      <c r="Y214" s="162">
        <f t="shared" si="253"/>
        <v>3</v>
      </c>
      <c r="Z214" s="162" t="str">
        <f t="shared" si="254"/>
        <v> </v>
      </c>
      <c r="AA214" s="162" t="str">
        <f t="shared" si="255"/>
        <v> </v>
      </c>
    </row>
    <row r="215" ht="12.75" customHeight="1">
      <c r="A215" s="157"/>
      <c r="B215" s="163" t="s">
        <v>96</v>
      </c>
      <c r="C215" s="159">
        <v>0.75</v>
      </c>
      <c r="D215" s="160">
        <v>2.0</v>
      </c>
      <c r="E215" s="161">
        <v>4.0</v>
      </c>
      <c r="F215" s="161">
        <f>'1RM'!$C$6*C215</f>
        <v>75</v>
      </c>
      <c r="G215" s="141"/>
      <c r="H215" s="142"/>
      <c r="I215" s="141"/>
      <c r="J215" s="142"/>
      <c r="K215" s="141">
        <f t="shared" si="249"/>
        <v>8</v>
      </c>
      <c r="L215" s="42">
        <f t="shared" si="250"/>
        <v>600</v>
      </c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176"/>
      <c r="X215" s="176"/>
      <c r="Y215" s="176"/>
      <c r="Z215" s="176"/>
      <c r="AA215" s="176"/>
    </row>
    <row r="216" ht="12.75" customHeight="1">
      <c r="A216" s="152">
        <v>4.0</v>
      </c>
      <c r="B216" s="153" t="s">
        <v>83</v>
      </c>
      <c r="C216" s="154"/>
      <c r="D216" s="156">
        <v>12.0</v>
      </c>
      <c r="E216" s="156">
        <v>5.0</v>
      </c>
      <c r="F216" s="156"/>
      <c r="G216" s="141"/>
      <c r="H216" s="142"/>
      <c r="I216" s="141"/>
      <c r="J216" s="142"/>
      <c r="K216" s="141"/>
      <c r="L216" s="42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2.75" customHeight="1">
      <c r="A217" s="152">
        <v>5.0</v>
      </c>
      <c r="B217" s="153" t="s">
        <v>60</v>
      </c>
      <c r="C217" s="154"/>
      <c r="D217" s="155">
        <v>10.0</v>
      </c>
      <c r="E217" s="156">
        <v>5.0</v>
      </c>
      <c r="F217" s="156"/>
      <c r="G217" s="141"/>
      <c r="H217" s="142"/>
      <c r="I217" s="141"/>
      <c r="J217" s="142"/>
      <c r="K217" s="141"/>
      <c r="L217" s="42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2.75" customHeight="1">
      <c r="A218" s="152">
        <v>6.0</v>
      </c>
      <c r="B218" s="153" t="s">
        <v>56</v>
      </c>
      <c r="C218" s="154"/>
      <c r="D218" s="155">
        <v>8.0</v>
      </c>
      <c r="E218" s="156">
        <v>4.0</v>
      </c>
      <c r="F218" s="156"/>
      <c r="G218" s="141"/>
      <c r="H218" s="142"/>
      <c r="I218" s="141"/>
      <c r="J218" s="142"/>
      <c r="K218" s="141"/>
      <c r="L218" s="42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2.75" customHeight="1">
      <c r="A219" s="33"/>
      <c r="B219" s="134"/>
      <c r="C219" s="133"/>
      <c r="D219" s="42"/>
      <c r="E219" s="42"/>
      <c r="F219" s="42"/>
      <c r="G219" s="141"/>
      <c r="H219" s="142"/>
      <c r="I219" s="141"/>
      <c r="J219" s="142"/>
      <c r="K219" s="141"/>
      <c r="L219" s="42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2.75" customHeight="1">
      <c r="A220" s="33" t="s">
        <v>62</v>
      </c>
      <c r="B220" s="134"/>
      <c r="C220" s="135" t="s">
        <v>20</v>
      </c>
      <c r="D220" s="45" t="s">
        <v>51</v>
      </c>
      <c r="E220" s="45" t="s">
        <v>52</v>
      </c>
      <c r="F220" s="45" t="s">
        <v>53</v>
      </c>
      <c r="G220" s="141"/>
      <c r="H220" s="142"/>
      <c r="I220" s="141"/>
      <c r="J220" s="142"/>
      <c r="K220" s="141"/>
      <c r="L220" s="42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2.75" customHeight="1">
      <c r="A221" s="136">
        <v>1.0</v>
      </c>
      <c r="B221" s="137" t="s">
        <v>5</v>
      </c>
      <c r="C221" s="138">
        <v>0.55</v>
      </c>
      <c r="D221" s="139">
        <v>5.0</v>
      </c>
      <c r="E221" s="140">
        <v>1.0</v>
      </c>
      <c r="F221" s="140">
        <f>'1RM'!$C$5*C221</f>
        <v>55</v>
      </c>
      <c r="G221" s="141"/>
      <c r="H221" s="142"/>
      <c r="I221" s="141">
        <f t="shared" ref="I221:I224" si="256">D221*E221</f>
        <v>5</v>
      </c>
      <c r="J221" s="142">
        <f t="shared" ref="J221:J224" si="257">F221*I221</f>
        <v>275</v>
      </c>
      <c r="K221" s="141"/>
      <c r="L221" s="42"/>
      <c r="M221" s="5"/>
      <c r="N221" s="5"/>
      <c r="O221" s="5"/>
      <c r="P221" s="5"/>
      <c r="Q221" s="5"/>
      <c r="R221" s="143">
        <f t="shared" ref="R221:R224" si="258">IF(ISNUMBER(SEARCH("Press de banca",$B221)),IF($C221&gt;=0.5,IF($C221&lt;0.6,$D221*$E221," ")," ")," ")</f>
        <v>5</v>
      </c>
      <c r="S221" s="143" t="str">
        <f t="shared" ref="S221:S224" si="259">IF(ISNUMBER(SEARCH("Press de banca",$B221)),IF($C221&gt;=0.6,IF($C221&lt;0.7,$D221*$E221," ")," ")," ")</f>
        <v> </v>
      </c>
      <c r="T221" s="143" t="str">
        <f t="shared" ref="T221:T224" si="260">IF(ISNUMBER(SEARCH("Press de banca",$B221)),IF($C221&gt;=0.7,IF($C221&lt;0.8,$D221*$E221," ")," ")," ")</f>
        <v> </v>
      </c>
      <c r="U221" s="143" t="str">
        <f t="shared" ref="U221:U224" si="261">IF(ISNUMBER(SEARCH("Press de banca",$B221)),IF($C221&gt;=0.8,IF($C221&lt;0.9,$D221*$E221," ")," ")," ")</f>
        <v> </v>
      </c>
      <c r="V221" s="143" t="str">
        <f t="shared" ref="V221:V224" si="262">IF(ISNUMBER(SEARCH("Press de banca",$B221)),IF($C221&gt;=0.9,$D221*$E221," ")," ")</f>
        <v> </v>
      </c>
      <c r="W221" s="5"/>
      <c r="X221" s="5"/>
      <c r="Y221" s="5"/>
      <c r="Z221" s="5"/>
      <c r="AA221" s="5"/>
    </row>
    <row r="222" ht="12.75" customHeight="1">
      <c r="A222" s="136"/>
      <c r="B222" s="144" t="s">
        <v>5</v>
      </c>
      <c r="C222" s="138">
        <v>0.65</v>
      </c>
      <c r="D222" s="139">
        <v>4.0</v>
      </c>
      <c r="E222" s="140">
        <v>1.0</v>
      </c>
      <c r="F222" s="140">
        <f>'1RM'!$C$5*C222</f>
        <v>65</v>
      </c>
      <c r="G222" s="141"/>
      <c r="H222" s="142"/>
      <c r="I222" s="141">
        <f t="shared" si="256"/>
        <v>4</v>
      </c>
      <c r="J222" s="142">
        <f t="shared" si="257"/>
        <v>260</v>
      </c>
      <c r="K222" s="141"/>
      <c r="L222" s="42"/>
      <c r="M222" s="5"/>
      <c r="N222" s="5"/>
      <c r="O222" s="5"/>
      <c r="P222" s="5"/>
      <c r="Q222" s="5"/>
      <c r="R222" s="143" t="str">
        <f t="shared" si="258"/>
        <v> </v>
      </c>
      <c r="S222" s="143">
        <f t="shared" si="259"/>
        <v>4</v>
      </c>
      <c r="T222" s="143" t="str">
        <f t="shared" si="260"/>
        <v> </v>
      </c>
      <c r="U222" s="143" t="str">
        <f t="shared" si="261"/>
        <v> </v>
      </c>
      <c r="V222" s="143" t="str">
        <f t="shared" si="262"/>
        <v> </v>
      </c>
      <c r="W222" s="5"/>
      <c r="X222" s="5"/>
      <c r="Y222" s="5"/>
      <c r="Z222" s="5"/>
      <c r="AA222" s="5"/>
    </row>
    <row r="223" ht="12.75" customHeight="1">
      <c r="A223" s="136"/>
      <c r="B223" s="144" t="s">
        <v>5</v>
      </c>
      <c r="C223" s="138">
        <v>0.75</v>
      </c>
      <c r="D223" s="139">
        <v>3.0</v>
      </c>
      <c r="E223" s="140">
        <v>1.0</v>
      </c>
      <c r="F223" s="140">
        <f>'1RM'!$C$5*C223</f>
        <v>75</v>
      </c>
      <c r="G223" s="141"/>
      <c r="H223" s="142"/>
      <c r="I223" s="141">
        <f t="shared" si="256"/>
        <v>3</v>
      </c>
      <c r="J223" s="142">
        <f t="shared" si="257"/>
        <v>225</v>
      </c>
      <c r="K223" s="141"/>
      <c r="L223" s="42"/>
      <c r="M223" s="5"/>
      <c r="N223" s="5"/>
      <c r="O223" s="5"/>
      <c r="P223" s="5"/>
      <c r="Q223" s="5"/>
      <c r="R223" s="143" t="str">
        <f t="shared" si="258"/>
        <v> </v>
      </c>
      <c r="S223" s="143" t="str">
        <f t="shared" si="259"/>
        <v> </v>
      </c>
      <c r="T223" s="143">
        <f t="shared" si="260"/>
        <v>3</v>
      </c>
      <c r="U223" s="143" t="str">
        <f t="shared" si="261"/>
        <v> </v>
      </c>
      <c r="V223" s="143" t="str">
        <f t="shared" si="262"/>
        <v> </v>
      </c>
      <c r="W223" s="5"/>
      <c r="X223" s="5"/>
      <c r="Y223" s="5"/>
      <c r="Z223" s="5"/>
      <c r="AA223" s="5"/>
    </row>
    <row r="224" ht="12.75" customHeight="1">
      <c r="A224" s="136"/>
      <c r="B224" s="144" t="s">
        <v>5</v>
      </c>
      <c r="C224" s="138">
        <v>0.85</v>
      </c>
      <c r="D224" s="139">
        <v>2.0</v>
      </c>
      <c r="E224" s="140">
        <v>4.0</v>
      </c>
      <c r="F224" s="140">
        <f>'1RM'!$C$5*C224</f>
        <v>85</v>
      </c>
      <c r="G224" s="141"/>
      <c r="H224" s="142"/>
      <c r="I224" s="141">
        <f t="shared" si="256"/>
        <v>8</v>
      </c>
      <c r="J224" s="142">
        <f t="shared" si="257"/>
        <v>680</v>
      </c>
      <c r="K224" s="141"/>
      <c r="L224" s="42"/>
      <c r="M224" s="5"/>
      <c r="N224" s="5"/>
      <c r="O224" s="5"/>
      <c r="P224" s="5"/>
      <c r="Q224" s="5"/>
      <c r="R224" s="143" t="str">
        <f t="shared" si="258"/>
        <v> </v>
      </c>
      <c r="S224" s="143" t="str">
        <f t="shared" si="259"/>
        <v> </v>
      </c>
      <c r="T224" s="143" t="str">
        <f t="shared" si="260"/>
        <v> </v>
      </c>
      <c r="U224" s="143">
        <f t="shared" si="261"/>
        <v>8</v>
      </c>
      <c r="V224" s="143" t="str">
        <f t="shared" si="262"/>
        <v> </v>
      </c>
      <c r="W224" s="5"/>
      <c r="X224" s="5"/>
      <c r="Y224" s="5"/>
      <c r="Z224" s="5"/>
      <c r="AA224" s="5"/>
    </row>
    <row r="225" ht="12.75" customHeight="1">
      <c r="A225" s="145">
        <v>2.0</v>
      </c>
      <c r="B225" s="146" t="s">
        <v>4</v>
      </c>
      <c r="C225" s="147">
        <v>0.5</v>
      </c>
      <c r="D225" s="148">
        <v>5.0</v>
      </c>
      <c r="E225" s="149">
        <v>1.0</v>
      </c>
      <c r="F225" s="149">
        <f>'1RM'!$C$4*C225</f>
        <v>50</v>
      </c>
      <c r="G225" s="141">
        <f t="shared" ref="G225:G228" si="263">D225*E225</f>
        <v>5</v>
      </c>
      <c r="H225" s="142">
        <f t="shared" ref="H225:H228" si="264">F225*G225</f>
        <v>250</v>
      </c>
      <c r="I225" s="141"/>
      <c r="J225" s="142"/>
      <c r="K225" s="141"/>
      <c r="L225" s="42"/>
      <c r="M225" s="150">
        <f t="shared" ref="M225:M228" si="265">IF(ISNUMBER(SEARCH("Sentadilla",$B225)),IF($C225&gt;=0.5,IF($C225&lt;0.6,$D225*$E225," ")," ")," ")</f>
        <v>5</v>
      </c>
      <c r="N225" s="150" t="str">
        <f t="shared" ref="N225:N228" si="266">IF(ISNUMBER(SEARCH("Sentadilla",$B225)),IF($C225&gt;=0.6,IF($C225&lt;0.7,$D225*$E225," ")," ")," ")</f>
        <v> </v>
      </c>
      <c r="O225" s="150" t="str">
        <f t="shared" ref="O225:O228" si="267">IF(ISNUMBER(SEARCH("Sentadilla",$B225)),IF($C225&gt;=0.7,IF($C225&lt;0.8,$D225*$E225," ")," ")," ")</f>
        <v> </v>
      </c>
      <c r="P225" s="150" t="str">
        <f t="shared" ref="P225:P228" si="268">IF(ISNUMBER(SEARCH("Sentadilla",$B225)),IF($C225&gt;=0.8,IF($C225&lt;0.9,$D225*$E225," ")," ")," ")</f>
        <v> </v>
      </c>
      <c r="Q225" s="150" t="str">
        <f t="shared" ref="Q225:Q228" si="269">IF(ISNUMBER(SEARCH("Sentadilla",$B225)),IF($C225&gt;=0.9,$D225*$E225," ")," ")</f>
        <v> </v>
      </c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2.75" customHeight="1">
      <c r="A226" s="145"/>
      <c r="B226" s="151" t="s">
        <v>4</v>
      </c>
      <c r="C226" s="147">
        <v>0.6</v>
      </c>
      <c r="D226" s="148">
        <v>4.0</v>
      </c>
      <c r="E226" s="149">
        <v>1.0</v>
      </c>
      <c r="F226" s="149">
        <f>'1RM'!$C$4*C226</f>
        <v>60</v>
      </c>
      <c r="G226" s="141">
        <f t="shared" si="263"/>
        <v>4</v>
      </c>
      <c r="H226" s="142">
        <f t="shared" si="264"/>
        <v>240</v>
      </c>
      <c r="I226" s="141"/>
      <c r="J226" s="142"/>
      <c r="K226" s="141"/>
      <c r="L226" s="42"/>
      <c r="M226" s="150" t="str">
        <f t="shared" si="265"/>
        <v> </v>
      </c>
      <c r="N226" s="150">
        <f t="shared" si="266"/>
        <v>4</v>
      </c>
      <c r="O226" s="150" t="str">
        <f t="shared" si="267"/>
        <v> </v>
      </c>
      <c r="P226" s="150" t="str">
        <f t="shared" si="268"/>
        <v> </v>
      </c>
      <c r="Q226" s="150" t="str">
        <f t="shared" si="269"/>
        <v> </v>
      </c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2.75" customHeight="1">
      <c r="A227" s="145"/>
      <c r="B227" s="151" t="s">
        <v>4</v>
      </c>
      <c r="C227" s="147">
        <v>0.7</v>
      </c>
      <c r="D227" s="148">
        <v>3.0</v>
      </c>
      <c r="E227" s="149">
        <v>1.0</v>
      </c>
      <c r="F227" s="149">
        <f>'1RM'!$C$4*C227</f>
        <v>70</v>
      </c>
      <c r="G227" s="141">
        <f t="shared" si="263"/>
        <v>3</v>
      </c>
      <c r="H227" s="142">
        <f t="shared" si="264"/>
        <v>210</v>
      </c>
      <c r="I227" s="141"/>
      <c r="J227" s="142"/>
      <c r="K227" s="141"/>
      <c r="L227" s="42"/>
      <c r="M227" s="150" t="str">
        <f t="shared" si="265"/>
        <v> </v>
      </c>
      <c r="N227" s="150" t="str">
        <f t="shared" si="266"/>
        <v> </v>
      </c>
      <c r="O227" s="150">
        <f t="shared" si="267"/>
        <v>3</v>
      </c>
      <c r="P227" s="150" t="str">
        <f t="shared" si="268"/>
        <v> </v>
      </c>
      <c r="Q227" s="150" t="str">
        <f t="shared" si="269"/>
        <v> </v>
      </c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2.75" customHeight="1">
      <c r="A228" s="145"/>
      <c r="B228" s="151" t="s">
        <v>4</v>
      </c>
      <c r="C228" s="147">
        <v>0.8</v>
      </c>
      <c r="D228" s="148">
        <v>5.0</v>
      </c>
      <c r="E228" s="149">
        <v>4.0</v>
      </c>
      <c r="F228" s="149">
        <f>'1RM'!$C$4*C228</f>
        <v>80</v>
      </c>
      <c r="G228" s="141">
        <f t="shared" si="263"/>
        <v>20</v>
      </c>
      <c r="H228" s="142">
        <f t="shared" si="264"/>
        <v>1600</v>
      </c>
      <c r="I228" s="141"/>
      <c r="J228" s="142"/>
      <c r="K228" s="141"/>
      <c r="L228" s="42"/>
      <c r="M228" s="150" t="str">
        <f t="shared" si="265"/>
        <v> </v>
      </c>
      <c r="N228" s="150" t="str">
        <f t="shared" si="266"/>
        <v> </v>
      </c>
      <c r="O228" s="150" t="str">
        <f t="shared" si="267"/>
        <v> </v>
      </c>
      <c r="P228" s="150">
        <f t="shared" si="268"/>
        <v>20</v>
      </c>
      <c r="Q228" s="150" t="str">
        <f t="shared" si="269"/>
        <v> </v>
      </c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2.75" customHeight="1">
      <c r="A229" s="136">
        <v>3.0</v>
      </c>
      <c r="B229" s="137" t="s">
        <v>5</v>
      </c>
      <c r="C229" s="138">
        <v>0.5</v>
      </c>
      <c r="D229" s="139">
        <v>3.0</v>
      </c>
      <c r="E229" s="140">
        <v>1.0</v>
      </c>
      <c r="F229" s="140">
        <f>'1RM'!$C$5*C229</f>
        <v>50</v>
      </c>
      <c r="G229" s="141"/>
      <c r="H229" s="142"/>
      <c r="I229" s="141">
        <f t="shared" ref="I229:I232" si="270">D229*E229</f>
        <v>3</v>
      </c>
      <c r="J229" s="142">
        <f t="shared" ref="J229:J232" si="271">F229*I229</f>
        <v>150</v>
      </c>
      <c r="K229" s="141"/>
      <c r="L229" s="42"/>
      <c r="M229" s="5"/>
      <c r="N229" s="5"/>
      <c r="O229" s="5"/>
      <c r="P229" s="5"/>
      <c r="Q229" s="5"/>
      <c r="R229" s="143">
        <f t="shared" ref="R229:R232" si="272">IF(ISNUMBER(SEARCH("Press de banca",$B229)),IF($C229&gt;=0.5,IF($C229&lt;0.6,$D229*$E229," ")," ")," ")</f>
        <v>3</v>
      </c>
      <c r="S229" s="143" t="str">
        <f t="shared" ref="S229:S232" si="273">IF(ISNUMBER(SEARCH("Press de banca",$B229)),IF($C229&gt;=0.6,IF($C229&lt;0.7,$D229*$E229," ")," ")," ")</f>
        <v> </v>
      </c>
      <c r="T229" s="143" t="str">
        <f t="shared" ref="T229:T232" si="274">IF(ISNUMBER(SEARCH("Press de banca",$B229)),IF($C229&gt;=0.7,IF($C229&lt;0.8,$D229*$E229," ")," ")," ")</f>
        <v> </v>
      </c>
      <c r="U229" s="143" t="str">
        <f t="shared" ref="U229:U232" si="275">IF(ISNUMBER(SEARCH("Press de banca",$B229)),IF($C229&gt;=0.8,IF($C229&lt;0.9,$D229*$E229," ")," ")," ")</f>
        <v> </v>
      </c>
      <c r="V229" s="143" t="str">
        <f t="shared" ref="V229:V232" si="276">IF(ISNUMBER(SEARCH("Press de banca",$B229)),IF($C229&gt;=0.9,$D229*$E229," ")," ")</f>
        <v> </v>
      </c>
      <c r="W229" s="5"/>
      <c r="X229" s="5"/>
      <c r="Y229" s="5"/>
      <c r="Z229" s="5"/>
      <c r="AA229" s="5"/>
    </row>
    <row r="230" ht="12.75" customHeight="1">
      <c r="A230" s="136"/>
      <c r="B230" s="144" t="s">
        <v>5</v>
      </c>
      <c r="C230" s="138">
        <v>0.6</v>
      </c>
      <c r="D230" s="139">
        <v>3.0</v>
      </c>
      <c r="E230" s="140">
        <v>1.0</v>
      </c>
      <c r="F230" s="140">
        <f>'1RM'!$C$5*C230</f>
        <v>60</v>
      </c>
      <c r="G230" s="141"/>
      <c r="H230" s="142"/>
      <c r="I230" s="141">
        <f t="shared" si="270"/>
        <v>3</v>
      </c>
      <c r="J230" s="142">
        <f t="shared" si="271"/>
        <v>180</v>
      </c>
      <c r="K230" s="141"/>
      <c r="L230" s="42"/>
      <c r="M230" s="5"/>
      <c r="N230" s="5"/>
      <c r="O230" s="5"/>
      <c r="P230" s="5"/>
      <c r="Q230" s="5"/>
      <c r="R230" s="143" t="str">
        <f t="shared" si="272"/>
        <v> </v>
      </c>
      <c r="S230" s="143">
        <f t="shared" si="273"/>
        <v>3</v>
      </c>
      <c r="T230" s="143" t="str">
        <f t="shared" si="274"/>
        <v> </v>
      </c>
      <c r="U230" s="143" t="str">
        <f t="shared" si="275"/>
        <v> </v>
      </c>
      <c r="V230" s="143" t="str">
        <f t="shared" si="276"/>
        <v> </v>
      </c>
      <c r="W230" s="5"/>
      <c r="X230" s="5"/>
      <c r="Y230" s="5"/>
      <c r="Z230" s="5"/>
      <c r="AA230" s="5"/>
    </row>
    <row r="231" ht="12.75" customHeight="1">
      <c r="A231" s="136"/>
      <c r="B231" s="144" t="s">
        <v>5</v>
      </c>
      <c r="C231" s="138">
        <v>0.7</v>
      </c>
      <c r="D231" s="139">
        <v>3.0</v>
      </c>
      <c r="E231" s="140">
        <v>1.0</v>
      </c>
      <c r="F231" s="140">
        <f>'1RM'!$C$5*C231</f>
        <v>70</v>
      </c>
      <c r="G231" s="141"/>
      <c r="H231" s="142"/>
      <c r="I231" s="141">
        <f t="shared" si="270"/>
        <v>3</v>
      </c>
      <c r="J231" s="142">
        <f t="shared" si="271"/>
        <v>210</v>
      </c>
      <c r="K231" s="141"/>
      <c r="L231" s="42"/>
      <c r="M231" s="5"/>
      <c r="N231" s="5"/>
      <c r="O231" s="5"/>
      <c r="P231" s="5"/>
      <c r="Q231" s="5"/>
      <c r="R231" s="143" t="str">
        <f t="shared" si="272"/>
        <v> </v>
      </c>
      <c r="S231" s="143" t="str">
        <f t="shared" si="273"/>
        <v> </v>
      </c>
      <c r="T231" s="143">
        <f t="shared" si="274"/>
        <v>3</v>
      </c>
      <c r="U231" s="143" t="str">
        <f t="shared" si="275"/>
        <v> </v>
      </c>
      <c r="V231" s="143" t="str">
        <f t="shared" si="276"/>
        <v> </v>
      </c>
      <c r="W231" s="5"/>
      <c r="X231" s="5"/>
      <c r="Y231" s="5"/>
      <c r="Z231" s="5"/>
      <c r="AA231" s="5"/>
    </row>
    <row r="232" ht="12.75" customHeight="1">
      <c r="A232" s="136"/>
      <c r="B232" s="144" t="s">
        <v>5</v>
      </c>
      <c r="C232" s="138">
        <v>0.8</v>
      </c>
      <c r="D232" s="139">
        <v>5.0</v>
      </c>
      <c r="E232" s="140">
        <v>3.0</v>
      </c>
      <c r="F232" s="140">
        <f>'1RM'!$C$5*C232</f>
        <v>80</v>
      </c>
      <c r="G232" s="141"/>
      <c r="H232" s="142"/>
      <c r="I232" s="141">
        <f t="shared" si="270"/>
        <v>15</v>
      </c>
      <c r="J232" s="142">
        <f t="shared" si="271"/>
        <v>1200</v>
      </c>
      <c r="K232" s="141"/>
      <c r="L232" s="42"/>
      <c r="M232" s="5"/>
      <c r="N232" s="5"/>
      <c r="O232" s="5"/>
      <c r="P232" s="5"/>
      <c r="Q232" s="5"/>
      <c r="R232" s="143" t="str">
        <f t="shared" si="272"/>
        <v> </v>
      </c>
      <c r="S232" s="143" t="str">
        <f t="shared" si="273"/>
        <v> </v>
      </c>
      <c r="T232" s="143" t="str">
        <f t="shared" si="274"/>
        <v> </v>
      </c>
      <c r="U232" s="143">
        <f t="shared" si="275"/>
        <v>15</v>
      </c>
      <c r="V232" s="143" t="str">
        <f t="shared" si="276"/>
        <v> </v>
      </c>
      <c r="W232" s="5"/>
      <c r="X232" s="5"/>
      <c r="Y232" s="5"/>
      <c r="Z232" s="5"/>
      <c r="AA232" s="5"/>
    </row>
    <row r="233" ht="12.75" customHeight="1">
      <c r="A233" s="152">
        <v>4.0</v>
      </c>
      <c r="B233" s="153" t="s">
        <v>55</v>
      </c>
      <c r="C233" s="154"/>
      <c r="D233" s="155">
        <v>10.0</v>
      </c>
      <c r="E233" s="156">
        <v>5.0</v>
      </c>
      <c r="F233" s="156"/>
      <c r="G233" s="141"/>
      <c r="H233" s="142"/>
      <c r="I233" s="141"/>
      <c r="J233" s="142"/>
      <c r="K233" s="141"/>
      <c r="L233" s="42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2.75" customHeight="1">
      <c r="A234" s="152">
        <v>5.0</v>
      </c>
      <c r="B234" s="153" t="s">
        <v>65</v>
      </c>
      <c r="C234" s="154"/>
      <c r="D234" s="155">
        <v>8.0</v>
      </c>
      <c r="E234" s="156">
        <v>4.0</v>
      </c>
      <c r="F234" s="156"/>
      <c r="G234" s="141"/>
      <c r="H234" s="142"/>
      <c r="I234" s="141"/>
      <c r="J234" s="142"/>
      <c r="K234" s="141"/>
      <c r="L234" s="42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2.75" customHeight="1">
      <c r="A235" s="33"/>
      <c r="B235" s="134"/>
      <c r="C235" s="135"/>
      <c r="D235" s="45"/>
      <c r="E235" s="45"/>
      <c r="F235" s="45"/>
      <c r="G235" s="141"/>
      <c r="H235" s="142"/>
      <c r="I235" s="141"/>
      <c r="J235" s="142"/>
      <c r="K235" s="141"/>
      <c r="L235" s="42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2.75" customHeight="1">
      <c r="A236" s="33" t="s">
        <v>66</v>
      </c>
      <c r="B236" s="134"/>
      <c r="C236" s="135" t="s">
        <v>20</v>
      </c>
      <c r="D236" s="45" t="s">
        <v>51</v>
      </c>
      <c r="E236" s="45" t="s">
        <v>52</v>
      </c>
      <c r="F236" s="45" t="s">
        <v>53</v>
      </c>
      <c r="G236" s="141"/>
      <c r="H236" s="142"/>
      <c r="I236" s="141"/>
      <c r="J236" s="142"/>
      <c r="K236" s="141"/>
      <c r="L236" s="42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2.75" customHeight="1">
      <c r="A237" s="157">
        <v>1.0</v>
      </c>
      <c r="B237" s="158" t="s">
        <v>67</v>
      </c>
      <c r="C237" s="159">
        <v>0.5</v>
      </c>
      <c r="D237" s="160">
        <v>3.0</v>
      </c>
      <c r="E237" s="161">
        <v>1.0</v>
      </c>
      <c r="F237" s="161">
        <f>'1RM'!$C$6*C237</f>
        <v>50</v>
      </c>
      <c r="G237" s="141"/>
      <c r="H237" s="142"/>
      <c r="I237" s="141"/>
      <c r="J237" s="142"/>
      <c r="K237" s="141">
        <f t="shared" ref="K237:K239" si="277">D237*E237</f>
        <v>3</v>
      </c>
      <c r="L237" s="42">
        <f t="shared" ref="L237:L239" si="278">F237*K237</f>
        <v>150</v>
      </c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162">
        <f t="shared" ref="W237:W239" si="279">IF(ISNUMBER(SEARCH("Peso muerto",$B237)),IF($C237&gt;=0.5,IF($C237&lt;0.6,$D237*$E237," ")," ")," ")</f>
        <v>3</v>
      </c>
      <c r="X237" s="162" t="str">
        <f t="shared" ref="X237:X239" si="280">IF(ISNUMBER(SEARCH("Peso muerto",$B237)),IF($C237&gt;=0.6,IF($C237&lt;0.7,$D237*$E237," ")," ")," ")</f>
        <v> </v>
      </c>
      <c r="Y237" s="162" t="str">
        <f t="shared" ref="Y237:Y239" si="281">IF(ISNUMBER(SEARCH("Peso muerto",$B237)),IF($C237&gt;=0.7,IF($C237&lt;0.8,$D237*$E237," ")," ")," ")</f>
        <v> </v>
      </c>
      <c r="Z237" s="162" t="str">
        <f t="shared" ref="Z237:Z239" si="282">IF(ISNUMBER(SEARCH("Peso muerto",$B237)),IF($C237&gt;=0.8,IF($C237&lt;0.9,$D237*$E237," ")," ")," ")</f>
        <v> </v>
      </c>
      <c r="AA237" s="162" t="str">
        <f t="shared" ref="AA237:AA239" si="283">IF(ISNUMBER(SEARCH("Peso muerto",$B237)),IF($C237&gt;=0.9,$D237*$E237," ")," ")</f>
        <v> </v>
      </c>
    </row>
    <row r="238" ht="12.75" customHeight="1">
      <c r="A238" s="157"/>
      <c r="B238" s="163" t="s">
        <v>67</v>
      </c>
      <c r="C238" s="159">
        <v>0.6</v>
      </c>
      <c r="D238" s="160">
        <v>3.0</v>
      </c>
      <c r="E238" s="161">
        <v>1.0</v>
      </c>
      <c r="F238" s="161">
        <f>'1RM'!$C$6*C238</f>
        <v>60</v>
      </c>
      <c r="G238" s="141"/>
      <c r="H238" s="142"/>
      <c r="I238" s="141"/>
      <c r="J238" s="142"/>
      <c r="K238" s="141">
        <f t="shared" si="277"/>
        <v>3</v>
      </c>
      <c r="L238" s="42">
        <f t="shared" si="278"/>
        <v>180</v>
      </c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162" t="str">
        <f t="shared" si="279"/>
        <v> </v>
      </c>
      <c r="X238" s="162">
        <f t="shared" si="280"/>
        <v>3</v>
      </c>
      <c r="Y238" s="162" t="str">
        <f t="shared" si="281"/>
        <v> </v>
      </c>
      <c r="Z238" s="162" t="str">
        <f t="shared" si="282"/>
        <v> </v>
      </c>
      <c r="AA238" s="162" t="str">
        <f t="shared" si="283"/>
        <v> </v>
      </c>
    </row>
    <row r="239" ht="12.75" customHeight="1">
      <c r="A239" s="157"/>
      <c r="B239" s="163" t="s">
        <v>67</v>
      </c>
      <c r="C239" s="159">
        <v>0.7</v>
      </c>
      <c r="D239" s="160">
        <v>2.0</v>
      </c>
      <c r="E239" s="161">
        <v>4.0</v>
      </c>
      <c r="F239" s="161">
        <f>'1RM'!$C$6*C239</f>
        <v>70</v>
      </c>
      <c r="G239" s="141"/>
      <c r="H239" s="142"/>
      <c r="I239" s="141"/>
      <c r="J239" s="142"/>
      <c r="K239" s="141">
        <f t="shared" si="277"/>
        <v>8</v>
      </c>
      <c r="L239" s="42">
        <f t="shared" si="278"/>
        <v>560</v>
      </c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162" t="str">
        <f t="shared" si="279"/>
        <v> </v>
      </c>
      <c r="X239" s="162" t="str">
        <f t="shared" si="280"/>
        <v> </v>
      </c>
      <c r="Y239" s="162">
        <f t="shared" si="281"/>
        <v>8</v>
      </c>
      <c r="Z239" s="162" t="str">
        <f t="shared" si="282"/>
        <v> </v>
      </c>
      <c r="AA239" s="162" t="str">
        <f t="shared" si="283"/>
        <v> </v>
      </c>
    </row>
    <row r="240" ht="12.75" customHeight="1">
      <c r="A240" s="152">
        <v>2.0</v>
      </c>
      <c r="B240" s="153" t="s">
        <v>88</v>
      </c>
      <c r="C240" s="154"/>
      <c r="D240" s="155">
        <v>10.0</v>
      </c>
      <c r="E240" s="156">
        <v>5.0</v>
      </c>
      <c r="F240" s="156"/>
      <c r="G240" s="141"/>
      <c r="H240" s="142"/>
      <c r="I240" s="141"/>
      <c r="J240" s="142"/>
      <c r="K240" s="141"/>
      <c r="L240" s="42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2.75" customHeight="1">
      <c r="A241" s="157">
        <v>3.0</v>
      </c>
      <c r="B241" s="158" t="s">
        <v>97</v>
      </c>
      <c r="C241" s="159">
        <v>0.6</v>
      </c>
      <c r="D241" s="160">
        <v>3.0</v>
      </c>
      <c r="E241" s="161">
        <v>1.0</v>
      </c>
      <c r="F241" s="161">
        <f>'1RM'!$C$6*C241</f>
        <v>60</v>
      </c>
      <c r="G241" s="141"/>
      <c r="H241" s="142"/>
      <c r="I241" s="141"/>
      <c r="J241" s="142"/>
      <c r="K241" s="141">
        <f t="shared" ref="K241:K244" si="284">D241*E241</f>
        <v>3</v>
      </c>
      <c r="L241" s="42">
        <f t="shared" ref="L241:L244" si="285">F241*K241</f>
        <v>180</v>
      </c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162" t="str">
        <f t="shared" ref="W241:W244" si="286">IF(ISNUMBER(SEARCH("Peso muerto",$B241)),IF($C241&gt;=0.5,IF($C241&lt;0.6,$D241*$E241," ")," ")," ")</f>
        <v> </v>
      </c>
      <c r="X241" s="162">
        <f t="shared" ref="X241:X244" si="287">IF(ISNUMBER(SEARCH("Peso muerto",$B241)),IF($C241&gt;=0.6,IF($C241&lt;0.7,$D241*$E241," ")," ")," ")</f>
        <v>3</v>
      </c>
      <c r="Y241" s="162" t="str">
        <f t="shared" ref="Y241:Y244" si="288">IF(ISNUMBER(SEARCH("Peso muerto",$B241)),IF($C241&gt;=0.7,IF($C241&lt;0.8,$D241*$E241," ")," ")," ")</f>
        <v> </v>
      </c>
      <c r="Z241" s="162" t="str">
        <f t="shared" ref="Z241:Z244" si="289">IF(ISNUMBER(SEARCH("Peso muerto",$B241)),IF($C241&gt;=0.8,IF($C241&lt;0.9,$D241*$E241," ")," ")," ")</f>
        <v> </v>
      </c>
      <c r="AA241" s="162" t="str">
        <f t="shared" ref="AA241:AA244" si="290">IF(ISNUMBER(SEARCH("Peso muerto",$B241)),IF($C241&gt;=0.9,$D241*$E241," ")," ")</f>
        <v> </v>
      </c>
    </row>
    <row r="242" ht="12.75" customHeight="1">
      <c r="A242" s="157"/>
      <c r="B242" s="163" t="s">
        <v>97</v>
      </c>
      <c r="C242" s="159">
        <v>0.7</v>
      </c>
      <c r="D242" s="160">
        <v>3.0</v>
      </c>
      <c r="E242" s="161">
        <v>1.0</v>
      </c>
      <c r="F242" s="161">
        <f>'1RM'!$C$6*C242</f>
        <v>70</v>
      </c>
      <c r="G242" s="141"/>
      <c r="H242" s="142"/>
      <c r="I242" s="141"/>
      <c r="J242" s="142"/>
      <c r="K242" s="141">
        <f t="shared" si="284"/>
        <v>3</v>
      </c>
      <c r="L242" s="42">
        <f t="shared" si="285"/>
        <v>210</v>
      </c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162" t="str">
        <f t="shared" si="286"/>
        <v> </v>
      </c>
      <c r="X242" s="162" t="str">
        <f t="shared" si="287"/>
        <v> </v>
      </c>
      <c r="Y242" s="162">
        <f t="shared" si="288"/>
        <v>3</v>
      </c>
      <c r="Z242" s="162" t="str">
        <f t="shared" si="289"/>
        <v> </v>
      </c>
      <c r="AA242" s="162" t="str">
        <f t="shared" si="290"/>
        <v> </v>
      </c>
    </row>
    <row r="243" ht="12.75" customHeight="1">
      <c r="A243" s="157"/>
      <c r="B243" s="163" t="s">
        <v>97</v>
      </c>
      <c r="C243" s="159">
        <v>0.8</v>
      </c>
      <c r="D243" s="160">
        <v>3.0</v>
      </c>
      <c r="E243" s="161">
        <v>1.0</v>
      </c>
      <c r="F243" s="161">
        <f>'1RM'!$C$6*C243</f>
        <v>80</v>
      </c>
      <c r="G243" s="141"/>
      <c r="H243" s="142"/>
      <c r="I243" s="141"/>
      <c r="J243" s="142"/>
      <c r="K243" s="141">
        <f t="shared" si="284"/>
        <v>3</v>
      </c>
      <c r="L243" s="42">
        <f t="shared" si="285"/>
        <v>240</v>
      </c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162" t="str">
        <f t="shared" si="286"/>
        <v> </v>
      </c>
      <c r="X243" s="162" t="str">
        <f t="shared" si="287"/>
        <v> </v>
      </c>
      <c r="Y243" s="162" t="str">
        <f t="shared" si="288"/>
        <v> </v>
      </c>
      <c r="Z243" s="162">
        <f t="shared" si="289"/>
        <v>3</v>
      </c>
      <c r="AA243" s="162" t="str">
        <f t="shared" si="290"/>
        <v> </v>
      </c>
    </row>
    <row r="244" ht="12.75" customHeight="1">
      <c r="A244" s="157"/>
      <c r="B244" s="163" t="s">
        <v>97</v>
      </c>
      <c r="C244" s="159">
        <v>0.85</v>
      </c>
      <c r="D244" s="160">
        <v>2.0</v>
      </c>
      <c r="E244" s="161">
        <v>3.0</v>
      </c>
      <c r="F244" s="161">
        <f>'1RM'!$C$6*C244</f>
        <v>85</v>
      </c>
      <c r="G244" s="141"/>
      <c r="H244" s="142"/>
      <c r="I244" s="141"/>
      <c r="J244" s="142"/>
      <c r="K244" s="141">
        <f t="shared" si="284"/>
        <v>6</v>
      </c>
      <c r="L244" s="42">
        <f t="shared" si="285"/>
        <v>510</v>
      </c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162" t="str">
        <f t="shared" si="286"/>
        <v> </v>
      </c>
      <c r="X244" s="162" t="str">
        <f t="shared" si="287"/>
        <v> </v>
      </c>
      <c r="Y244" s="162" t="str">
        <f t="shared" si="288"/>
        <v> </v>
      </c>
      <c r="Z244" s="162">
        <f t="shared" si="289"/>
        <v>6</v>
      </c>
      <c r="AA244" s="162" t="str">
        <f t="shared" si="290"/>
        <v> </v>
      </c>
    </row>
    <row r="245" ht="12.75" customHeight="1">
      <c r="A245" s="152">
        <v>5.0</v>
      </c>
      <c r="B245" s="153" t="s">
        <v>60</v>
      </c>
      <c r="C245" s="154"/>
      <c r="D245" s="155">
        <v>10.0</v>
      </c>
      <c r="E245" s="156">
        <v>5.0</v>
      </c>
      <c r="F245" s="156"/>
      <c r="G245" s="177"/>
      <c r="H245" s="178"/>
      <c r="I245" s="177"/>
      <c r="J245" s="178"/>
      <c r="K245" s="177"/>
      <c r="L245" s="179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2.75" customHeight="1">
      <c r="A246" s="152">
        <v>6.0</v>
      </c>
      <c r="B246" s="153" t="s">
        <v>70</v>
      </c>
      <c r="C246" s="154"/>
      <c r="D246" s="155">
        <v>8.0</v>
      </c>
      <c r="E246" s="156">
        <v>5.0</v>
      </c>
      <c r="F246" s="156"/>
      <c r="G246" s="177"/>
      <c r="H246" s="178"/>
      <c r="I246" s="177"/>
      <c r="J246" s="178"/>
      <c r="K246" s="177"/>
      <c r="L246" s="179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2.75" customHeight="1">
      <c r="A247" s="169"/>
      <c r="B247" s="170"/>
      <c r="C247" s="171"/>
      <c r="D247" s="180"/>
      <c r="E247" s="172"/>
      <c r="F247" s="172"/>
      <c r="G247" s="173">
        <f t="shared" ref="G247:L247" si="291">SUM(G189:G245)</f>
        <v>69</v>
      </c>
      <c r="H247" s="173">
        <f t="shared" si="291"/>
        <v>5000</v>
      </c>
      <c r="I247" s="173">
        <f t="shared" si="291"/>
        <v>103</v>
      </c>
      <c r="J247" s="173">
        <f t="shared" si="291"/>
        <v>7620</v>
      </c>
      <c r="K247" s="173">
        <f t="shared" si="291"/>
        <v>63</v>
      </c>
      <c r="L247" s="173">
        <f t="shared" si="291"/>
        <v>4350</v>
      </c>
      <c r="M247" s="34">
        <f t="shared" ref="M247:Z247" si="292">SUM(M189:M246)</f>
        <v>10</v>
      </c>
      <c r="N247" s="34">
        <f t="shared" si="292"/>
        <v>8</v>
      </c>
      <c r="O247" s="34">
        <f t="shared" si="292"/>
        <v>6</v>
      </c>
      <c r="P247" s="34">
        <f t="shared" si="292"/>
        <v>45</v>
      </c>
      <c r="Q247" s="34">
        <f t="shared" si="292"/>
        <v>0</v>
      </c>
      <c r="R247" s="5">
        <f t="shared" si="292"/>
        <v>16</v>
      </c>
      <c r="S247" s="5">
        <f t="shared" si="292"/>
        <v>14</v>
      </c>
      <c r="T247" s="5">
        <f t="shared" si="292"/>
        <v>12</v>
      </c>
      <c r="U247" s="5">
        <f t="shared" si="292"/>
        <v>54</v>
      </c>
      <c r="V247" s="5">
        <f t="shared" si="292"/>
        <v>7</v>
      </c>
      <c r="W247" s="175">
        <f t="shared" si="292"/>
        <v>9</v>
      </c>
      <c r="X247" s="175">
        <f t="shared" si="292"/>
        <v>12</v>
      </c>
      <c r="Y247" s="175">
        <f t="shared" si="292"/>
        <v>17</v>
      </c>
      <c r="Z247" s="175">
        <f t="shared" si="292"/>
        <v>17</v>
      </c>
      <c r="AA247" s="169">
        <f>SUM(AA188:AA246)</f>
        <v>0</v>
      </c>
    </row>
    <row r="248" ht="12.75" customHeight="1">
      <c r="A248" s="33" t="s">
        <v>39</v>
      </c>
      <c r="B248" s="33"/>
      <c r="C248" s="133"/>
      <c r="D248" s="42"/>
      <c r="E248" s="42"/>
      <c r="F248" s="42"/>
      <c r="G248" s="141"/>
      <c r="H248" s="142"/>
      <c r="I248" s="141"/>
      <c r="J248" s="142"/>
      <c r="K248" s="141"/>
      <c r="L248" s="42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2.75" customHeight="1">
      <c r="A249" s="33" t="s">
        <v>50</v>
      </c>
      <c r="B249" s="134"/>
      <c r="C249" s="135" t="s">
        <v>20</v>
      </c>
      <c r="D249" s="45" t="s">
        <v>51</v>
      </c>
      <c r="E249" s="45" t="s">
        <v>52</v>
      </c>
      <c r="F249" s="45" t="s">
        <v>53</v>
      </c>
      <c r="G249" s="141"/>
      <c r="H249" s="142"/>
      <c r="I249" s="141"/>
      <c r="J249" s="142"/>
      <c r="K249" s="141"/>
      <c r="L249" s="42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2.75" customHeight="1">
      <c r="A250" s="136">
        <v>1.0</v>
      </c>
      <c r="B250" s="137" t="s">
        <v>5</v>
      </c>
      <c r="C250" s="138">
        <v>0.5</v>
      </c>
      <c r="D250" s="139">
        <v>5.0</v>
      </c>
      <c r="E250" s="140">
        <v>1.0</v>
      </c>
      <c r="F250" s="140">
        <f>'1RM'!$C$5*C250</f>
        <v>50</v>
      </c>
      <c r="G250" s="141"/>
      <c r="H250" s="142"/>
      <c r="I250" s="141">
        <f t="shared" ref="I250:I253" si="293">D250*E250</f>
        <v>5</v>
      </c>
      <c r="J250" s="142">
        <f t="shared" ref="J250:J253" si="294">F250*I250</f>
        <v>250</v>
      </c>
      <c r="K250" s="141"/>
      <c r="L250" s="42"/>
      <c r="M250" s="5"/>
      <c r="N250" s="5"/>
      <c r="O250" s="5"/>
      <c r="P250" s="5"/>
      <c r="Q250" s="5"/>
      <c r="R250" s="143">
        <f t="shared" ref="R250:R253" si="295">IF(ISNUMBER(SEARCH("Press de banca",$B250)),IF($C250&gt;=0.5,IF($C250&lt;0.6,$D250*$E250," ")," ")," ")</f>
        <v>5</v>
      </c>
      <c r="S250" s="143" t="str">
        <f t="shared" ref="S250:S253" si="296">IF(ISNUMBER(SEARCH("Press de banca",$B250)),IF($C250&gt;=0.6,IF($C250&lt;0.7,$D250*$E250," ")," ")," ")</f>
        <v> </v>
      </c>
      <c r="T250" s="143" t="str">
        <f t="shared" ref="T250:T253" si="297">IF(ISNUMBER(SEARCH("Press de banca",$B250)),IF($C250&gt;=0.7,IF($C250&lt;0.8,$D250*$E250," ")," ")," ")</f>
        <v> </v>
      </c>
      <c r="U250" s="143" t="str">
        <f t="shared" ref="U250:U253" si="298">IF(ISNUMBER(SEARCH("Press de banca",$B250)),IF($C250&gt;=0.8,IF($C250&lt;0.9,$D250*$E250," ")," ")," ")</f>
        <v> </v>
      </c>
      <c r="V250" s="143" t="str">
        <f t="shared" ref="V250:V253" si="299">IF(ISNUMBER(SEARCH("Press de banca",$B250)),IF($C250&gt;=0.9,$D250*$E250," ")," ")</f>
        <v> </v>
      </c>
      <c r="W250" s="5"/>
      <c r="X250" s="5"/>
      <c r="Y250" s="5"/>
      <c r="Z250" s="5"/>
      <c r="AA250" s="5"/>
    </row>
    <row r="251" ht="12.75" customHeight="1">
      <c r="A251" s="136"/>
      <c r="B251" s="144" t="s">
        <v>5</v>
      </c>
      <c r="C251" s="138">
        <v>0.6</v>
      </c>
      <c r="D251" s="139">
        <v>4.0</v>
      </c>
      <c r="E251" s="140">
        <v>1.0</v>
      </c>
      <c r="F251" s="140">
        <f>'1RM'!$C$5*C251</f>
        <v>60</v>
      </c>
      <c r="G251" s="141"/>
      <c r="H251" s="142"/>
      <c r="I251" s="141">
        <f t="shared" si="293"/>
        <v>4</v>
      </c>
      <c r="J251" s="142">
        <f t="shared" si="294"/>
        <v>240</v>
      </c>
      <c r="K251" s="141"/>
      <c r="L251" s="42"/>
      <c r="M251" s="5"/>
      <c r="N251" s="5"/>
      <c r="O251" s="5"/>
      <c r="P251" s="5"/>
      <c r="Q251" s="5"/>
      <c r="R251" s="143" t="str">
        <f t="shared" si="295"/>
        <v> </v>
      </c>
      <c r="S251" s="143">
        <f t="shared" si="296"/>
        <v>4</v>
      </c>
      <c r="T251" s="143" t="str">
        <f t="shared" si="297"/>
        <v> </v>
      </c>
      <c r="U251" s="143" t="str">
        <f t="shared" si="298"/>
        <v> </v>
      </c>
      <c r="V251" s="143" t="str">
        <f t="shared" si="299"/>
        <v> </v>
      </c>
      <c r="W251" s="5"/>
      <c r="X251" s="5"/>
      <c r="Y251" s="5"/>
      <c r="Z251" s="5"/>
      <c r="AA251" s="5"/>
    </row>
    <row r="252" ht="12.75" customHeight="1">
      <c r="A252" s="136"/>
      <c r="B252" s="144" t="s">
        <v>5</v>
      </c>
      <c r="C252" s="138">
        <v>0.7</v>
      </c>
      <c r="D252" s="139">
        <v>3.0</v>
      </c>
      <c r="E252" s="140">
        <v>1.0</v>
      </c>
      <c r="F252" s="140">
        <f>'1RM'!$C$5*C252</f>
        <v>70</v>
      </c>
      <c r="G252" s="141"/>
      <c r="H252" s="142"/>
      <c r="I252" s="141">
        <f t="shared" si="293"/>
        <v>3</v>
      </c>
      <c r="J252" s="142">
        <f t="shared" si="294"/>
        <v>210</v>
      </c>
      <c r="K252" s="141"/>
      <c r="L252" s="42"/>
      <c r="M252" s="5"/>
      <c r="N252" s="5"/>
      <c r="O252" s="5"/>
      <c r="P252" s="5"/>
      <c r="Q252" s="5"/>
      <c r="R252" s="143" t="str">
        <f t="shared" si="295"/>
        <v> </v>
      </c>
      <c r="S252" s="143" t="str">
        <f t="shared" si="296"/>
        <v> </v>
      </c>
      <c r="T252" s="143">
        <f t="shared" si="297"/>
        <v>3</v>
      </c>
      <c r="U252" s="143" t="str">
        <f t="shared" si="298"/>
        <v> </v>
      </c>
      <c r="V252" s="143" t="str">
        <f t="shared" si="299"/>
        <v> </v>
      </c>
      <c r="W252" s="5"/>
      <c r="X252" s="5"/>
      <c r="Y252" s="5"/>
      <c r="Z252" s="5"/>
      <c r="AA252" s="5"/>
    </row>
    <row r="253" ht="12.75" customHeight="1">
      <c r="A253" s="136"/>
      <c r="B253" s="144" t="s">
        <v>5</v>
      </c>
      <c r="C253" s="138">
        <v>0.8</v>
      </c>
      <c r="D253" s="139">
        <v>5.0</v>
      </c>
      <c r="E253" s="140">
        <v>4.0</v>
      </c>
      <c r="F253" s="140">
        <f>'1RM'!$C$5*C253</f>
        <v>80</v>
      </c>
      <c r="G253" s="141"/>
      <c r="H253" s="142"/>
      <c r="I253" s="141">
        <f t="shared" si="293"/>
        <v>20</v>
      </c>
      <c r="J253" s="142">
        <f t="shared" si="294"/>
        <v>1600</v>
      </c>
      <c r="K253" s="141"/>
      <c r="L253" s="42"/>
      <c r="M253" s="5"/>
      <c r="N253" s="5"/>
      <c r="O253" s="5"/>
      <c r="P253" s="5"/>
      <c r="Q253" s="5"/>
      <c r="R253" s="143" t="str">
        <f t="shared" si="295"/>
        <v> </v>
      </c>
      <c r="S253" s="143" t="str">
        <f t="shared" si="296"/>
        <v> </v>
      </c>
      <c r="T253" s="143" t="str">
        <f t="shared" si="297"/>
        <v> </v>
      </c>
      <c r="U253" s="143">
        <f t="shared" si="298"/>
        <v>20</v>
      </c>
      <c r="V253" s="143" t="str">
        <f t="shared" si="299"/>
        <v> </v>
      </c>
      <c r="W253" s="5"/>
      <c r="X253" s="5"/>
      <c r="Y253" s="5"/>
      <c r="Z253" s="5"/>
      <c r="AA253" s="5"/>
    </row>
    <row r="254" ht="12.75" customHeight="1">
      <c r="A254" s="145">
        <v>2.0</v>
      </c>
      <c r="B254" s="146" t="s">
        <v>4</v>
      </c>
      <c r="C254" s="147">
        <v>0.5</v>
      </c>
      <c r="D254" s="148">
        <v>5.0</v>
      </c>
      <c r="E254" s="149">
        <v>1.0</v>
      </c>
      <c r="F254" s="149">
        <f>'1RM'!$C$4*C254</f>
        <v>50</v>
      </c>
      <c r="G254" s="141">
        <f t="shared" ref="G254:G261" si="300">D254*E254</f>
        <v>5</v>
      </c>
      <c r="H254" s="142">
        <f t="shared" ref="H254:H261" si="301">F254*G254</f>
        <v>250</v>
      </c>
      <c r="I254" s="141"/>
      <c r="J254" s="142"/>
      <c r="K254" s="141"/>
      <c r="L254" s="42"/>
      <c r="M254" s="150">
        <f t="shared" ref="M254:M261" si="302">IF(ISNUMBER(SEARCH("Sentadilla",$B254)),IF($C254&gt;=0.5,IF($C254&lt;0.6,$D254*$E254," ")," ")," ")</f>
        <v>5</v>
      </c>
      <c r="N254" s="150" t="str">
        <f t="shared" ref="N254:N261" si="303">IF(ISNUMBER(SEARCH("Sentadilla",$B254)),IF($C254&gt;=0.6,IF($C254&lt;0.7,$D254*$E254," ")," ")," ")</f>
        <v> </v>
      </c>
      <c r="O254" s="150" t="str">
        <f t="shared" ref="O254:O261" si="304">IF(ISNUMBER(SEARCH("Sentadilla",$B254)),IF($C254&gt;=0.7,IF($C254&lt;0.8,$D254*$E254," ")," ")," ")</f>
        <v> </v>
      </c>
      <c r="P254" s="150" t="str">
        <f t="shared" ref="P254:P261" si="305">IF(ISNUMBER(SEARCH("Sentadilla",$B254)),IF($C254&gt;=0.8,IF($C254&lt;0.9,$D254*$E254," ")," ")," ")</f>
        <v> </v>
      </c>
      <c r="Q254" s="150" t="str">
        <f t="shared" ref="Q254:Q261" si="306">IF(ISNUMBER(SEARCH("Sentadilla",$B254)),IF($C254&gt;=0.9,$D254*$E254," ")," ")</f>
        <v> </v>
      </c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2.75" customHeight="1">
      <c r="A255" s="145"/>
      <c r="B255" s="151" t="s">
        <v>4</v>
      </c>
      <c r="C255" s="147">
        <v>0.6</v>
      </c>
      <c r="D255" s="148">
        <v>5.0</v>
      </c>
      <c r="E255" s="149">
        <v>1.0</v>
      </c>
      <c r="F255" s="149">
        <f>'1RM'!$C$4*C255</f>
        <v>60</v>
      </c>
      <c r="G255" s="141">
        <f t="shared" si="300"/>
        <v>5</v>
      </c>
      <c r="H255" s="142">
        <f t="shared" si="301"/>
        <v>300</v>
      </c>
      <c r="I255" s="141"/>
      <c r="J255" s="142"/>
      <c r="K255" s="141"/>
      <c r="L255" s="42"/>
      <c r="M255" s="150" t="str">
        <f t="shared" si="302"/>
        <v> </v>
      </c>
      <c r="N255" s="150">
        <f t="shared" si="303"/>
        <v>5</v>
      </c>
      <c r="O255" s="150" t="str">
        <f t="shared" si="304"/>
        <v> </v>
      </c>
      <c r="P255" s="150" t="str">
        <f t="shared" si="305"/>
        <v> </v>
      </c>
      <c r="Q255" s="150" t="str">
        <f t="shared" si="306"/>
        <v> </v>
      </c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2.75" customHeight="1">
      <c r="A256" s="145"/>
      <c r="B256" s="151" t="s">
        <v>4</v>
      </c>
      <c r="C256" s="147">
        <v>0.7</v>
      </c>
      <c r="D256" s="148">
        <v>5.0</v>
      </c>
      <c r="E256" s="149">
        <v>1.0</v>
      </c>
      <c r="F256" s="149">
        <f>'1RM'!$C$4*C256</f>
        <v>70</v>
      </c>
      <c r="G256" s="141">
        <f t="shared" si="300"/>
        <v>5</v>
      </c>
      <c r="H256" s="142">
        <f t="shared" si="301"/>
        <v>350</v>
      </c>
      <c r="I256" s="141"/>
      <c r="J256" s="142"/>
      <c r="K256" s="141"/>
      <c r="L256" s="42"/>
      <c r="M256" s="150" t="str">
        <f t="shared" si="302"/>
        <v> </v>
      </c>
      <c r="N256" s="150" t="str">
        <f t="shared" si="303"/>
        <v> </v>
      </c>
      <c r="O256" s="150">
        <f t="shared" si="304"/>
        <v>5</v>
      </c>
      <c r="P256" s="150" t="str">
        <f t="shared" si="305"/>
        <v> </v>
      </c>
      <c r="Q256" s="150" t="str">
        <f t="shared" si="306"/>
        <v> </v>
      </c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2.75" customHeight="1">
      <c r="A257" s="145"/>
      <c r="B257" s="151" t="s">
        <v>4</v>
      </c>
      <c r="C257" s="147">
        <v>0.7</v>
      </c>
      <c r="D257" s="148">
        <v>8.0</v>
      </c>
      <c r="E257" s="149">
        <v>1.0</v>
      </c>
      <c r="F257" s="149">
        <f>'1RM'!$C$4*C257</f>
        <v>70</v>
      </c>
      <c r="G257" s="141">
        <f t="shared" si="300"/>
        <v>8</v>
      </c>
      <c r="H257" s="142">
        <f t="shared" si="301"/>
        <v>560</v>
      </c>
      <c r="I257" s="141"/>
      <c r="J257" s="142"/>
      <c r="K257" s="141"/>
      <c r="L257" s="42"/>
      <c r="M257" s="150" t="str">
        <f t="shared" si="302"/>
        <v> </v>
      </c>
      <c r="N257" s="150" t="str">
        <f t="shared" si="303"/>
        <v> </v>
      </c>
      <c r="O257" s="150">
        <f t="shared" si="304"/>
        <v>8</v>
      </c>
      <c r="P257" s="150" t="str">
        <f t="shared" si="305"/>
        <v> </v>
      </c>
      <c r="Q257" s="150" t="str">
        <f t="shared" si="306"/>
        <v> </v>
      </c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2.75" customHeight="1">
      <c r="A258" s="145"/>
      <c r="B258" s="151" t="s">
        <v>4</v>
      </c>
      <c r="C258" s="147">
        <v>0.7</v>
      </c>
      <c r="D258" s="148">
        <v>5.0</v>
      </c>
      <c r="E258" s="149">
        <v>1.0</v>
      </c>
      <c r="F258" s="149">
        <f>'1RM'!$C$4*C258</f>
        <v>70</v>
      </c>
      <c r="G258" s="141">
        <f t="shared" si="300"/>
        <v>5</v>
      </c>
      <c r="H258" s="142">
        <f t="shared" si="301"/>
        <v>350</v>
      </c>
      <c r="I258" s="141"/>
      <c r="J258" s="142"/>
      <c r="K258" s="141"/>
      <c r="L258" s="42"/>
      <c r="M258" s="150" t="str">
        <f t="shared" si="302"/>
        <v> </v>
      </c>
      <c r="N258" s="150" t="str">
        <f t="shared" si="303"/>
        <v> </v>
      </c>
      <c r="O258" s="150">
        <f t="shared" si="304"/>
        <v>5</v>
      </c>
      <c r="P258" s="150" t="str">
        <f t="shared" si="305"/>
        <v> </v>
      </c>
      <c r="Q258" s="150" t="str">
        <f t="shared" si="306"/>
        <v> </v>
      </c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2.75" customHeight="1">
      <c r="A259" s="145"/>
      <c r="B259" s="151" t="s">
        <v>4</v>
      </c>
      <c r="C259" s="147">
        <v>0.7</v>
      </c>
      <c r="D259" s="148">
        <v>8.0</v>
      </c>
      <c r="E259" s="149">
        <v>1.0</v>
      </c>
      <c r="F259" s="149">
        <f>'1RM'!$C$4*C259</f>
        <v>70</v>
      </c>
      <c r="G259" s="141">
        <f t="shared" si="300"/>
        <v>8</v>
      </c>
      <c r="H259" s="142">
        <f t="shared" si="301"/>
        <v>560</v>
      </c>
      <c r="I259" s="141"/>
      <c r="J259" s="142"/>
      <c r="K259" s="141"/>
      <c r="L259" s="42"/>
      <c r="M259" s="150" t="str">
        <f t="shared" si="302"/>
        <v> </v>
      </c>
      <c r="N259" s="150" t="str">
        <f t="shared" si="303"/>
        <v> </v>
      </c>
      <c r="O259" s="150">
        <f t="shared" si="304"/>
        <v>8</v>
      </c>
      <c r="P259" s="150" t="str">
        <f t="shared" si="305"/>
        <v> </v>
      </c>
      <c r="Q259" s="150" t="str">
        <f t="shared" si="306"/>
        <v> </v>
      </c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2.75" customHeight="1">
      <c r="A260" s="145"/>
      <c r="B260" s="151" t="s">
        <v>4</v>
      </c>
      <c r="C260" s="147">
        <v>0.7</v>
      </c>
      <c r="D260" s="148">
        <v>5.0</v>
      </c>
      <c r="E260" s="149">
        <v>1.0</v>
      </c>
      <c r="F260" s="149">
        <f>'1RM'!$C$4*C260</f>
        <v>70</v>
      </c>
      <c r="G260" s="141">
        <f t="shared" si="300"/>
        <v>5</v>
      </c>
      <c r="H260" s="142">
        <f t="shared" si="301"/>
        <v>350</v>
      </c>
      <c r="I260" s="141"/>
      <c r="J260" s="142"/>
      <c r="K260" s="141"/>
      <c r="L260" s="42"/>
      <c r="M260" s="150" t="str">
        <f t="shared" si="302"/>
        <v> </v>
      </c>
      <c r="N260" s="150" t="str">
        <f t="shared" si="303"/>
        <v> </v>
      </c>
      <c r="O260" s="150">
        <f t="shared" si="304"/>
        <v>5</v>
      </c>
      <c r="P260" s="150" t="str">
        <f t="shared" si="305"/>
        <v> </v>
      </c>
      <c r="Q260" s="150" t="str">
        <f t="shared" si="306"/>
        <v> </v>
      </c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2.75" customHeight="1">
      <c r="A261" s="145"/>
      <c r="B261" s="151" t="s">
        <v>4</v>
      </c>
      <c r="C261" s="147">
        <v>0.7</v>
      </c>
      <c r="D261" s="148">
        <v>8.0</v>
      </c>
      <c r="E261" s="149">
        <v>1.0</v>
      </c>
      <c r="F261" s="149">
        <f>'1RM'!$C$4*C261</f>
        <v>70</v>
      </c>
      <c r="G261" s="141">
        <f t="shared" si="300"/>
        <v>8</v>
      </c>
      <c r="H261" s="142">
        <f t="shared" si="301"/>
        <v>560</v>
      </c>
      <c r="I261" s="141"/>
      <c r="J261" s="142"/>
      <c r="K261" s="141"/>
      <c r="L261" s="42"/>
      <c r="M261" s="150" t="str">
        <f t="shared" si="302"/>
        <v> </v>
      </c>
      <c r="N261" s="150" t="str">
        <f t="shared" si="303"/>
        <v> </v>
      </c>
      <c r="O261" s="150">
        <f t="shared" si="304"/>
        <v>8</v>
      </c>
      <c r="P261" s="150" t="str">
        <f t="shared" si="305"/>
        <v> </v>
      </c>
      <c r="Q261" s="150" t="str">
        <f t="shared" si="306"/>
        <v> </v>
      </c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2.75" customHeight="1">
      <c r="A262" s="136">
        <v>3.0</v>
      </c>
      <c r="B262" s="137" t="s">
        <v>5</v>
      </c>
      <c r="C262" s="138">
        <v>0.5</v>
      </c>
      <c r="D262" s="139">
        <v>4.0</v>
      </c>
      <c r="E262" s="140">
        <v>1.0</v>
      </c>
      <c r="F262" s="140">
        <f>'1RM'!$C$5*C262</f>
        <v>50</v>
      </c>
      <c r="G262" s="141"/>
      <c r="H262" s="142"/>
      <c r="I262" s="141">
        <f t="shared" ref="I262:I264" si="307">D262*E262</f>
        <v>4</v>
      </c>
      <c r="J262" s="142">
        <f t="shared" ref="J262:J264" si="308">F262*I262</f>
        <v>200</v>
      </c>
      <c r="K262" s="141"/>
      <c r="L262" s="42"/>
      <c r="M262" s="5"/>
      <c r="N262" s="5"/>
      <c r="O262" s="5"/>
      <c r="P262" s="5"/>
      <c r="Q262" s="5"/>
      <c r="R262" s="143">
        <f t="shared" ref="R262:R264" si="309">IF(ISNUMBER(SEARCH("Press de banca",$B262)),IF($C262&gt;=0.5,IF($C262&lt;0.6,$D262*$E262," ")," ")," ")</f>
        <v>4</v>
      </c>
      <c r="S262" s="143" t="str">
        <f t="shared" ref="S262:S264" si="310">IF(ISNUMBER(SEARCH("Press de banca",$B262)),IF($C262&gt;=0.6,IF($C262&lt;0.7,$D262*$E262," ")," ")," ")</f>
        <v> </v>
      </c>
      <c r="T262" s="143" t="str">
        <f t="shared" ref="T262:T264" si="311">IF(ISNUMBER(SEARCH("Press de banca",$B262)),IF($C262&gt;=0.7,IF($C262&lt;0.8,$D262*$E262," ")," ")," ")</f>
        <v> </v>
      </c>
      <c r="U262" s="143" t="str">
        <f t="shared" ref="U262:U264" si="312">IF(ISNUMBER(SEARCH("Press de banca",$B262)),IF($C262&gt;=0.8,IF($C262&lt;0.9,$D262*$E262," ")," ")," ")</f>
        <v> </v>
      </c>
      <c r="V262" s="143" t="str">
        <f t="shared" ref="V262:V264" si="313">IF(ISNUMBER(SEARCH("Press de banca",$B262)),IF($C262&gt;=0.9,$D262*$E262," ")," ")</f>
        <v> </v>
      </c>
      <c r="W262" s="5"/>
      <c r="X262" s="5"/>
      <c r="Y262" s="5"/>
      <c r="Z262" s="5"/>
      <c r="AA262" s="5"/>
    </row>
    <row r="263" ht="12.75" customHeight="1">
      <c r="A263" s="136"/>
      <c r="B263" s="144" t="s">
        <v>5</v>
      </c>
      <c r="C263" s="138">
        <v>0.6</v>
      </c>
      <c r="D263" s="139">
        <v>4.0</v>
      </c>
      <c r="E263" s="140">
        <v>1.0</v>
      </c>
      <c r="F263" s="140">
        <f>'1RM'!$C$5*C263</f>
        <v>60</v>
      </c>
      <c r="G263" s="141"/>
      <c r="H263" s="142"/>
      <c r="I263" s="141">
        <f t="shared" si="307"/>
        <v>4</v>
      </c>
      <c r="J263" s="142">
        <f t="shared" si="308"/>
        <v>240</v>
      </c>
      <c r="K263" s="141"/>
      <c r="L263" s="42"/>
      <c r="M263" s="5"/>
      <c r="N263" s="5"/>
      <c r="O263" s="5"/>
      <c r="P263" s="5"/>
      <c r="Q263" s="5"/>
      <c r="R263" s="143" t="str">
        <f t="shared" si="309"/>
        <v> </v>
      </c>
      <c r="S263" s="143">
        <f t="shared" si="310"/>
        <v>4</v>
      </c>
      <c r="T263" s="143" t="str">
        <f t="shared" si="311"/>
        <v> </v>
      </c>
      <c r="U263" s="143" t="str">
        <f t="shared" si="312"/>
        <v> </v>
      </c>
      <c r="V263" s="143" t="str">
        <f t="shared" si="313"/>
        <v> </v>
      </c>
      <c r="W263" s="5"/>
      <c r="X263" s="5"/>
      <c r="Y263" s="5"/>
      <c r="Z263" s="5"/>
      <c r="AA263" s="5"/>
    </row>
    <row r="264" ht="12.75" customHeight="1">
      <c r="A264" s="136"/>
      <c r="B264" s="144" t="s">
        <v>5</v>
      </c>
      <c r="C264" s="138">
        <v>0.7</v>
      </c>
      <c r="D264" s="139">
        <v>4.0</v>
      </c>
      <c r="E264" s="140">
        <v>4.0</v>
      </c>
      <c r="F264" s="140">
        <f>'1RM'!$C$5*C264</f>
        <v>70</v>
      </c>
      <c r="G264" s="141"/>
      <c r="H264" s="142"/>
      <c r="I264" s="141">
        <f t="shared" si="307"/>
        <v>16</v>
      </c>
      <c r="J264" s="142">
        <f t="shared" si="308"/>
        <v>1120</v>
      </c>
      <c r="K264" s="141"/>
      <c r="L264" s="42"/>
      <c r="M264" s="5"/>
      <c r="N264" s="5"/>
      <c r="O264" s="5"/>
      <c r="P264" s="5"/>
      <c r="Q264" s="5"/>
      <c r="R264" s="143" t="str">
        <f t="shared" si="309"/>
        <v> </v>
      </c>
      <c r="S264" s="143" t="str">
        <f t="shared" si="310"/>
        <v> </v>
      </c>
      <c r="T264" s="143">
        <f t="shared" si="311"/>
        <v>16</v>
      </c>
      <c r="U264" s="143" t="str">
        <f t="shared" si="312"/>
        <v> </v>
      </c>
      <c r="V264" s="143" t="str">
        <f t="shared" si="313"/>
        <v> </v>
      </c>
      <c r="W264" s="5"/>
      <c r="X264" s="5"/>
      <c r="Y264" s="5"/>
      <c r="Z264" s="5"/>
      <c r="AA264" s="5"/>
    </row>
    <row r="265" ht="12.75" customHeight="1">
      <c r="A265" s="152">
        <v>4.0</v>
      </c>
      <c r="B265" s="153" t="s">
        <v>55</v>
      </c>
      <c r="C265" s="154"/>
      <c r="D265" s="155">
        <v>10.0</v>
      </c>
      <c r="E265" s="156">
        <v>5.0</v>
      </c>
      <c r="F265" s="156"/>
      <c r="G265" s="141"/>
      <c r="H265" s="142"/>
      <c r="I265" s="141"/>
      <c r="J265" s="142"/>
      <c r="K265" s="141"/>
      <c r="L265" s="42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2.75" customHeight="1">
      <c r="A266" s="164">
        <v>5.0</v>
      </c>
      <c r="B266" s="165" t="s">
        <v>61</v>
      </c>
      <c r="C266" s="166"/>
      <c r="D266" s="167">
        <v>5.0</v>
      </c>
      <c r="E266" s="168">
        <v>5.0</v>
      </c>
      <c r="F266" s="168"/>
      <c r="G266" s="141"/>
      <c r="H266" s="142"/>
      <c r="I266" s="141"/>
      <c r="J266" s="142"/>
      <c r="K266" s="141"/>
      <c r="L266" s="42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2.75" customHeight="1">
      <c r="A267" s="33"/>
      <c r="B267" s="134"/>
      <c r="C267" s="133"/>
      <c r="D267" s="42"/>
      <c r="E267" s="42"/>
      <c r="F267" s="42"/>
      <c r="G267" s="141"/>
      <c r="H267" s="142"/>
      <c r="I267" s="141"/>
      <c r="J267" s="142"/>
      <c r="K267" s="141"/>
      <c r="L267" s="42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2.75" customHeight="1">
      <c r="A268" s="33" t="s">
        <v>57</v>
      </c>
      <c r="B268" s="134"/>
      <c r="C268" s="135" t="s">
        <v>20</v>
      </c>
      <c r="D268" s="45" t="s">
        <v>51</v>
      </c>
      <c r="E268" s="45" t="s">
        <v>52</v>
      </c>
      <c r="F268" s="45" t="s">
        <v>53</v>
      </c>
      <c r="G268" s="141"/>
      <c r="H268" s="142"/>
      <c r="I268" s="141"/>
      <c r="J268" s="142"/>
      <c r="K268" s="141"/>
      <c r="L268" s="42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2.75" customHeight="1">
      <c r="A269" s="157">
        <v>1.0</v>
      </c>
      <c r="B269" s="158" t="s">
        <v>96</v>
      </c>
      <c r="C269" s="159">
        <v>0.5</v>
      </c>
      <c r="D269" s="160">
        <v>4.0</v>
      </c>
      <c r="E269" s="161">
        <v>1.0</v>
      </c>
      <c r="F269" s="161">
        <f>'1RM'!$C$6*C269</f>
        <v>50</v>
      </c>
      <c r="G269" s="141"/>
      <c r="H269" s="142"/>
      <c r="I269" s="141"/>
      <c r="J269" s="142"/>
      <c r="K269" s="141">
        <f t="shared" ref="K269:K271" si="314">D269*E269</f>
        <v>4</v>
      </c>
      <c r="L269" s="42">
        <f t="shared" ref="L269:L271" si="315">F269*K269</f>
        <v>200</v>
      </c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162">
        <f t="shared" ref="W269:W271" si="316">IF(ISNUMBER(SEARCH("Peso muerto",$B269)),IF($C269&gt;=0.5,IF($C269&lt;0.6,$D269*$E269," ")," ")," ")</f>
        <v>4</v>
      </c>
      <c r="X269" s="162" t="str">
        <f t="shared" ref="X269:X271" si="317">IF(ISNUMBER(SEARCH("Peso muerto",$B269)),IF($C269&gt;=0.6,IF($C269&lt;0.7,$D269*$E269," ")," ")," ")</f>
        <v> </v>
      </c>
      <c r="Y269" s="162" t="str">
        <f t="shared" ref="Y269:Y271" si="318">IF(ISNUMBER(SEARCH("Peso muerto",$B269)),IF($C269&gt;=0.7,IF($C269&lt;0.8,$D269*$E269," ")," ")," ")</f>
        <v> </v>
      </c>
      <c r="Z269" s="162" t="str">
        <f t="shared" ref="Z269:Z271" si="319">IF(ISNUMBER(SEARCH("Peso muerto",$B269)),IF($C269&gt;=0.8,IF($C269&lt;0.9,$D269*$E269," ")," ")," ")</f>
        <v> </v>
      </c>
      <c r="AA269" s="162" t="str">
        <f t="shared" ref="AA269:AA271" si="320">IF(ISNUMBER(SEARCH("Peso muerto",$B269)),IF($C269&gt;=0.9,$D269*$E269," ")," ")</f>
        <v> </v>
      </c>
    </row>
    <row r="270" ht="12.75" customHeight="1">
      <c r="A270" s="157"/>
      <c r="B270" s="163" t="s">
        <v>96</v>
      </c>
      <c r="C270" s="159">
        <v>0.6</v>
      </c>
      <c r="D270" s="160">
        <v>4.0</v>
      </c>
      <c r="E270" s="161">
        <v>1.0</v>
      </c>
      <c r="F270" s="161">
        <f>'1RM'!$C$6*C270</f>
        <v>60</v>
      </c>
      <c r="G270" s="141"/>
      <c r="H270" s="142"/>
      <c r="I270" s="141"/>
      <c r="J270" s="142"/>
      <c r="K270" s="141">
        <f t="shared" si="314"/>
        <v>4</v>
      </c>
      <c r="L270" s="42">
        <f t="shared" si="315"/>
        <v>240</v>
      </c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162" t="str">
        <f t="shared" si="316"/>
        <v> </v>
      </c>
      <c r="X270" s="162">
        <f t="shared" si="317"/>
        <v>4</v>
      </c>
      <c r="Y270" s="162" t="str">
        <f t="shared" si="318"/>
        <v> </v>
      </c>
      <c r="Z270" s="162" t="str">
        <f t="shared" si="319"/>
        <v> </v>
      </c>
      <c r="AA270" s="162" t="str">
        <f t="shared" si="320"/>
        <v> </v>
      </c>
    </row>
    <row r="271" ht="12.75" customHeight="1">
      <c r="A271" s="157"/>
      <c r="B271" s="163" t="s">
        <v>96</v>
      </c>
      <c r="C271" s="159">
        <v>0.7</v>
      </c>
      <c r="D271" s="160">
        <v>4.0</v>
      </c>
      <c r="E271" s="161">
        <v>4.0</v>
      </c>
      <c r="F271" s="161">
        <f>'1RM'!$C$6*C271</f>
        <v>70</v>
      </c>
      <c r="G271" s="141"/>
      <c r="H271" s="142"/>
      <c r="I271" s="141"/>
      <c r="J271" s="142"/>
      <c r="K271" s="141">
        <f t="shared" si="314"/>
        <v>16</v>
      </c>
      <c r="L271" s="42">
        <f t="shared" si="315"/>
        <v>1120</v>
      </c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162" t="str">
        <f t="shared" si="316"/>
        <v> </v>
      </c>
      <c r="X271" s="162" t="str">
        <f t="shared" si="317"/>
        <v> </v>
      </c>
      <c r="Y271" s="162">
        <f t="shared" si="318"/>
        <v>16</v>
      </c>
      <c r="Z271" s="162" t="str">
        <f t="shared" si="319"/>
        <v> </v>
      </c>
      <c r="AA271" s="162" t="str">
        <f t="shared" si="320"/>
        <v> </v>
      </c>
    </row>
    <row r="272" ht="12.75" customHeight="1">
      <c r="A272" s="136">
        <v>2.0</v>
      </c>
      <c r="B272" s="137" t="s">
        <v>5</v>
      </c>
      <c r="C272" s="138">
        <v>0.5</v>
      </c>
      <c r="D272" s="139">
        <v>5.0</v>
      </c>
      <c r="E272" s="140">
        <v>1.0</v>
      </c>
      <c r="F272" s="140">
        <f>'1RM'!$C$5*C272</f>
        <v>50</v>
      </c>
      <c r="G272" s="141"/>
      <c r="H272" s="142"/>
      <c r="I272" s="141">
        <f t="shared" ref="I272:I275" si="321">D272*E272</f>
        <v>5</v>
      </c>
      <c r="J272" s="142">
        <f t="shared" ref="J272:J275" si="322">F272*I272</f>
        <v>250</v>
      </c>
      <c r="K272" s="141"/>
      <c r="L272" s="42"/>
      <c r="M272" s="5"/>
      <c r="N272" s="5"/>
      <c r="O272" s="5"/>
      <c r="P272" s="5"/>
      <c r="Q272" s="5"/>
      <c r="R272" s="143">
        <f t="shared" ref="R272:R275" si="323">IF(ISNUMBER(SEARCH("Press de banca",$B272)),IF($C272&gt;=0.5,IF($C272&lt;0.6,$D272*$E272," ")," ")," ")</f>
        <v>5</v>
      </c>
      <c r="S272" s="143" t="str">
        <f t="shared" ref="S272:S275" si="324">IF(ISNUMBER(SEARCH("Press de banca",$B272)),IF($C272&gt;=0.6,IF($C272&lt;0.7,$D272*$E272," ")," ")," ")</f>
        <v> </v>
      </c>
      <c r="T272" s="143" t="str">
        <f t="shared" ref="T272:T275" si="325">IF(ISNUMBER(SEARCH("Press de banca",$B272)),IF($C272&gt;=0.7,IF($C272&lt;0.8,$D272*$E272," ")," ")," ")</f>
        <v> </v>
      </c>
      <c r="U272" s="143" t="str">
        <f t="shared" ref="U272:U275" si="326">IF(ISNUMBER(SEARCH("Press de banca",$B272)),IF($C272&gt;=0.8,IF($C272&lt;0.9,$D272*$E272," ")," ")," ")</f>
        <v> </v>
      </c>
      <c r="V272" s="143" t="str">
        <f t="shared" ref="V272:V275" si="327">IF(ISNUMBER(SEARCH("Press de banca",$B272)),IF($C272&gt;=0.9,$D272*$E272," ")," ")</f>
        <v> </v>
      </c>
      <c r="W272" s="5"/>
      <c r="X272" s="5"/>
      <c r="Y272" s="5"/>
      <c r="Z272" s="5"/>
      <c r="AA272" s="5"/>
    </row>
    <row r="273" ht="12.75" customHeight="1">
      <c r="A273" s="136"/>
      <c r="B273" s="144" t="s">
        <v>5</v>
      </c>
      <c r="C273" s="138">
        <v>0.6</v>
      </c>
      <c r="D273" s="139">
        <v>4.0</v>
      </c>
      <c r="E273" s="140">
        <v>1.0</v>
      </c>
      <c r="F273" s="140">
        <f>'1RM'!$C$5*C273</f>
        <v>60</v>
      </c>
      <c r="G273" s="141"/>
      <c r="H273" s="142"/>
      <c r="I273" s="141">
        <f t="shared" si="321"/>
        <v>4</v>
      </c>
      <c r="J273" s="142">
        <f t="shared" si="322"/>
        <v>240</v>
      </c>
      <c r="K273" s="141"/>
      <c r="L273" s="42"/>
      <c r="M273" s="5"/>
      <c r="N273" s="5"/>
      <c r="O273" s="5"/>
      <c r="P273" s="5"/>
      <c r="Q273" s="5"/>
      <c r="R273" s="143" t="str">
        <f t="shared" si="323"/>
        <v> </v>
      </c>
      <c r="S273" s="143">
        <f t="shared" si="324"/>
        <v>4</v>
      </c>
      <c r="T273" s="143" t="str">
        <f t="shared" si="325"/>
        <v> </v>
      </c>
      <c r="U273" s="143" t="str">
        <f t="shared" si="326"/>
        <v> </v>
      </c>
      <c r="V273" s="143" t="str">
        <f t="shared" si="327"/>
        <v> </v>
      </c>
      <c r="W273" s="5"/>
      <c r="X273" s="5"/>
      <c r="Y273" s="5"/>
      <c r="Z273" s="5"/>
      <c r="AA273" s="5"/>
    </row>
    <row r="274" ht="12.75" customHeight="1">
      <c r="A274" s="136"/>
      <c r="B274" s="144" t="s">
        <v>5</v>
      </c>
      <c r="C274" s="138">
        <v>0.7</v>
      </c>
      <c r="D274" s="139">
        <v>3.0</v>
      </c>
      <c r="E274" s="140">
        <v>1.0</v>
      </c>
      <c r="F274" s="140">
        <f>'1RM'!$C$5*C274</f>
        <v>70</v>
      </c>
      <c r="G274" s="141"/>
      <c r="H274" s="142"/>
      <c r="I274" s="141">
        <f t="shared" si="321"/>
        <v>3</v>
      </c>
      <c r="J274" s="142">
        <f t="shared" si="322"/>
        <v>210</v>
      </c>
      <c r="K274" s="141"/>
      <c r="L274" s="42"/>
      <c r="M274" s="5"/>
      <c r="N274" s="5"/>
      <c r="O274" s="5"/>
      <c r="P274" s="5"/>
      <c r="Q274" s="5"/>
      <c r="R274" s="143" t="str">
        <f t="shared" si="323"/>
        <v> </v>
      </c>
      <c r="S274" s="143" t="str">
        <f t="shared" si="324"/>
        <v> </v>
      </c>
      <c r="T274" s="143">
        <f t="shared" si="325"/>
        <v>3</v>
      </c>
      <c r="U274" s="143" t="str">
        <f t="shared" si="326"/>
        <v> </v>
      </c>
      <c r="V274" s="143" t="str">
        <f t="shared" si="327"/>
        <v> </v>
      </c>
      <c r="W274" s="5"/>
      <c r="X274" s="5"/>
      <c r="Y274" s="5"/>
      <c r="Z274" s="5"/>
      <c r="AA274" s="5"/>
    </row>
    <row r="275" ht="12.75" customHeight="1">
      <c r="A275" s="136"/>
      <c r="B275" s="144" t="s">
        <v>5</v>
      </c>
      <c r="C275" s="138">
        <v>0.8</v>
      </c>
      <c r="D275" s="139">
        <v>5.0</v>
      </c>
      <c r="E275" s="140">
        <v>5.0</v>
      </c>
      <c r="F275" s="140">
        <f>'1RM'!$C$5*C275</f>
        <v>80</v>
      </c>
      <c r="G275" s="141"/>
      <c r="H275" s="142"/>
      <c r="I275" s="141">
        <f t="shared" si="321"/>
        <v>25</v>
      </c>
      <c r="J275" s="142">
        <f t="shared" si="322"/>
        <v>2000</v>
      </c>
      <c r="K275" s="141"/>
      <c r="L275" s="42"/>
      <c r="M275" s="5"/>
      <c r="N275" s="5"/>
      <c r="O275" s="5"/>
      <c r="P275" s="5"/>
      <c r="Q275" s="5"/>
      <c r="R275" s="143" t="str">
        <f t="shared" si="323"/>
        <v> </v>
      </c>
      <c r="S275" s="143" t="str">
        <f t="shared" si="324"/>
        <v> </v>
      </c>
      <c r="T275" s="143" t="str">
        <f t="shared" si="325"/>
        <v> </v>
      </c>
      <c r="U275" s="143">
        <f t="shared" si="326"/>
        <v>25</v>
      </c>
      <c r="V275" s="143" t="str">
        <f t="shared" si="327"/>
        <v> </v>
      </c>
      <c r="W275" s="5"/>
      <c r="X275" s="5"/>
      <c r="Y275" s="5"/>
      <c r="Z275" s="5"/>
      <c r="AA275" s="5"/>
    </row>
    <row r="276" ht="12.75" customHeight="1">
      <c r="A276" s="157">
        <v>3.0</v>
      </c>
      <c r="B276" s="158" t="s">
        <v>68</v>
      </c>
      <c r="C276" s="159">
        <v>0.55</v>
      </c>
      <c r="D276" s="160">
        <v>3.0</v>
      </c>
      <c r="E276" s="161">
        <v>1.0</v>
      </c>
      <c r="F276" s="161">
        <f>'1RM'!$C$6*C276</f>
        <v>55</v>
      </c>
      <c r="G276" s="141"/>
      <c r="H276" s="142"/>
      <c r="I276" s="141"/>
      <c r="J276" s="142"/>
      <c r="K276" s="141">
        <f t="shared" ref="K276:K279" si="328">D276*E276</f>
        <v>3</v>
      </c>
      <c r="L276" s="42">
        <f t="shared" ref="L276:L279" si="329">F276*K276</f>
        <v>165</v>
      </c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162">
        <f t="shared" ref="W276:W279" si="330">IF(ISNUMBER(SEARCH("Peso muerto",$B276)),IF($C276&gt;=0.5,IF($C276&lt;0.6,$D276*$E276," ")," ")," ")</f>
        <v>3</v>
      </c>
      <c r="X276" s="162" t="str">
        <f t="shared" ref="X276:X279" si="331">IF(ISNUMBER(SEARCH("Peso muerto",$B276)),IF($C276&gt;=0.6,IF($C276&lt;0.7,$D276*$E276," ")," ")," ")</f>
        <v> </v>
      </c>
      <c r="Y276" s="162" t="str">
        <f t="shared" ref="Y276:Y279" si="332">IF(ISNUMBER(SEARCH("Peso muerto",$B276)),IF($C276&gt;=0.7,IF($C276&lt;0.8,$D276*$E276," ")," ")," ")</f>
        <v> </v>
      </c>
      <c r="Z276" s="162" t="str">
        <f t="shared" ref="Z276:Z279" si="333">IF(ISNUMBER(SEARCH("Peso muerto",$B276)),IF($C276&gt;=0.8,IF($C276&lt;0.9,$D276*$E276," ")," ")," ")</f>
        <v> </v>
      </c>
      <c r="AA276" s="162" t="str">
        <f t="shared" ref="AA276:AA279" si="334">IF(ISNUMBER(SEARCH("Peso muerto",$B276)),IF($C276&gt;=0.9,$D276*$E276," ")," ")</f>
        <v> </v>
      </c>
    </row>
    <row r="277" ht="12.75" customHeight="1">
      <c r="A277" s="157"/>
      <c r="B277" s="163" t="s">
        <v>68</v>
      </c>
      <c r="C277" s="159">
        <v>0.65</v>
      </c>
      <c r="D277" s="160">
        <v>3.0</v>
      </c>
      <c r="E277" s="161">
        <v>1.0</v>
      </c>
      <c r="F277" s="161">
        <f>'1RM'!$C$6*C277</f>
        <v>65</v>
      </c>
      <c r="G277" s="141"/>
      <c r="H277" s="142"/>
      <c r="I277" s="141"/>
      <c r="J277" s="142"/>
      <c r="K277" s="141">
        <f t="shared" si="328"/>
        <v>3</v>
      </c>
      <c r="L277" s="42">
        <f t="shared" si="329"/>
        <v>195</v>
      </c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162" t="str">
        <f t="shared" si="330"/>
        <v> </v>
      </c>
      <c r="X277" s="162">
        <f t="shared" si="331"/>
        <v>3</v>
      </c>
      <c r="Y277" s="162" t="str">
        <f t="shared" si="332"/>
        <v> </v>
      </c>
      <c r="Z277" s="162" t="str">
        <f t="shared" si="333"/>
        <v> </v>
      </c>
      <c r="AA277" s="162" t="str">
        <f t="shared" si="334"/>
        <v> </v>
      </c>
    </row>
    <row r="278" ht="12.75" customHeight="1">
      <c r="A278" s="157"/>
      <c r="B278" s="163" t="s">
        <v>68</v>
      </c>
      <c r="C278" s="159">
        <v>0.75</v>
      </c>
      <c r="D278" s="160">
        <v>3.0</v>
      </c>
      <c r="E278" s="161">
        <v>1.0</v>
      </c>
      <c r="F278" s="161">
        <f>'1RM'!$C$6*C278</f>
        <v>75</v>
      </c>
      <c r="G278" s="141"/>
      <c r="H278" s="142"/>
      <c r="I278" s="141"/>
      <c r="J278" s="142"/>
      <c r="K278" s="141">
        <f t="shared" si="328"/>
        <v>3</v>
      </c>
      <c r="L278" s="42">
        <f t="shared" si="329"/>
        <v>225</v>
      </c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162" t="str">
        <f t="shared" si="330"/>
        <v> </v>
      </c>
      <c r="X278" s="162" t="str">
        <f t="shared" si="331"/>
        <v> </v>
      </c>
      <c r="Y278" s="162">
        <f t="shared" si="332"/>
        <v>3</v>
      </c>
      <c r="Z278" s="162" t="str">
        <f t="shared" si="333"/>
        <v> </v>
      </c>
      <c r="AA278" s="162" t="str">
        <f t="shared" si="334"/>
        <v> </v>
      </c>
    </row>
    <row r="279" ht="12.75" customHeight="1">
      <c r="A279" s="157"/>
      <c r="B279" s="163" t="s">
        <v>68</v>
      </c>
      <c r="C279" s="159">
        <v>0.85</v>
      </c>
      <c r="D279" s="160">
        <v>3.0</v>
      </c>
      <c r="E279" s="161">
        <v>4.0</v>
      </c>
      <c r="F279" s="161">
        <f>'1RM'!$C$6*C279</f>
        <v>85</v>
      </c>
      <c r="G279" s="141"/>
      <c r="H279" s="142"/>
      <c r="I279" s="141"/>
      <c r="J279" s="142"/>
      <c r="K279" s="141">
        <f t="shared" si="328"/>
        <v>12</v>
      </c>
      <c r="L279" s="42">
        <f t="shared" si="329"/>
        <v>1020</v>
      </c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162" t="str">
        <f t="shared" si="330"/>
        <v> </v>
      </c>
      <c r="X279" s="162" t="str">
        <f t="shared" si="331"/>
        <v> </v>
      </c>
      <c r="Y279" s="162" t="str">
        <f t="shared" si="332"/>
        <v> </v>
      </c>
      <c r="Z279" s="162">
        <f t="shared" si="333"/>
        <v>12</v>
      </c>
      <c r="AA279" s="162" t="str">
        <f t="shared" si="334"/>
        <v> </v>
      </c>
    </row>
    <row r="280" ht="12.75" customHeight="1">
      <c r="A280" s="152">
        <v>4.0</v>
      </c>
      <c r="B280" s="153" t="s">
        <v>83</v>
      </c>
      <c r="C280" s="154"/>
      <c r="D280" s="155">
        <v>12.0</v>
      </c>
      <c r="E280" s="156">
        <v>5.0</v>
      </c>
      <c r="F280" s="156"/>
      <c r="G280" s="141"/>
      <c r="H280" s="142"/>
      <c r="I280" s="141"/>
      <c r="J280" s="142"/>
      <c r="K280" s="141"/>
      <c r="L280" s="42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2.75" customHeight="1">
      <c r="A281" s="152">
        <v>5.0</v>
      </c>
      <c r="B281" s="153" t="s">
        <v>65</v>
      </c>
      <c r="C281" s="154"/>
      <c r="D281" s="156">
        <v>8.0</v>
      </c>
      <c r="E281" s="156">
        <v>4.0</v>
      </c>
      <c r="F281" s="156"/>
      <c r="G281" s="141"/>
      <c r="H281" s="142"/>
      <c r="I281" s="141"/>
      <c r="J281" s="142"/>
      <c r="K281" s="141"/>
      <c r="L281" s="42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2.75" customHeight="1">
      <c r="A282" s="33"/>
      <c r="B282" s="134"/>
      <c r="C282" s="133"/>
      <c r="D282" s="42"/>
      <c r="E282" s="42"/>
      <c r="F282" s="42"/>
      <c r="G282" s="141"/>
      <c r="H282" s="142"/>
      <c r="I282" s="141"/>
      <c r="J282" s="142"/>
      <c r="K282" s="141"/>
      <c r="L282" s="42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2.75" customHeight="1">
      <c r="A283" s="33" t="s">
        <v>62</v>
      </c>
      <c r="B283" s="134"/>
      <c r="C283" s="135" t="s">
        <v>20</v>
      </c>
      <c r="D283" s="45" t="s">
        <v>51</v>
      </c>
      <c r="E283" s="45" t="s">
        <v>52</v>
      </c>
      <c r="F283" s="45" t="s">
        <v>53</v>
      </c>
      <c r="G283" s="141"/>
      <c r="H283" s="142"/>
      <c r="I283" s="141"/>
      <c r="J283" s="142"/>
      <c r="K283" s="141"/>
      <c r="L283" s="42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2.75" customHeight="1">
      <c r="A284" s="145">
        <v>1.0</v>
      </c>
      <c r="B284" s="146" t="s">
        <v>4</v>
      </c>
      <c r="C284" s="147">
        <v>0.5</v>
      </c>
      <c r="D284" s="148">
        <v>5.0</v>
      </c>
      <c r="E284" s="149">
        <v>1.0</v>
      </c>
      <c r="F284" s="149">
        <f>'1RM'!$C$4*C284</f>
        <v>50</v>
      </c>
      <c r="G284" s="141">
        <f t="shared" ref="G284:G287" si="335">D284*E284</f>
        <v>5</v>
      </c>
      <c r="H284" s="142">
        <f t="shared" ref="H284:H287" si="336">F284*G284</f>
        <v>250</v>
      </c>
      <c r="I284" s="141"/>
      <c r="J284" s="142"/>
      <c r="K284" s="141"/>
      <c r="L284" s="42"/>
      <c r="M284" s="150">
        <f t="shared" ref="M284:M287" si="337">IF(ISNUMBER(SEARCH("Sentadilla",$B284)),IF($C284&gt;=0.5,IF($C284&lt;0.6,$D284*$E284," ")," ")," ")</f>
        <v>5</v>
      </c>
      <c r="N284" s="150" t="str">
        <f t="shared" ref="N284:N287" si="338">IF(ISNUMBER(SEARCH("Sentadilla",$B284)),IF($C284&gt;=0.6,IF($C284&lt;0.7,$D284*$E284," ")," ")," ")</f>
        <v> </v>
      </c>
      <c r="O284" s="150" t="str">
        <f t="shared" ref="O284:O287" si="339">IF(ISNUMBER(SEARCH("Sentadilla",$B284)),IF($C284&gt;=0.7,IF($C284&lt;0.8,$D284*$E284," ")," ")," ")</f>
        <v> </v>
      </c>
      <c r="P284" s="150" t="str">
        <f t="shared" ref="P284:P287" si="340">IF(ISNUMBER(SEARCH("Sentadilla",$B284)),IF($C284&gt;=0.8,IF($C284&lt;0.9,$D284*$E284," ")," ")," ")</f>
        <v> </v>
      </c>
      <c r="Q284" s="150" t="str">
        <f t="shared" ref="Q284:Q287" si="341">IF(ISNUMBER(SEARCH("Sentadilla",$B284)),IF($C284&gt;=0.9,$D284*$E284," ")," ")</f>
        <v> </v>
      </c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2.75" customHeight="1">
      <c r="A285" s="145"/>
      <c r="B285" s="151" t="s">
        <v>4</v>
      </c>
      <c r="C285" s="147">
        <v>0.6</v>
      </c>
      <c r="D285" s="148">
        <v>4.0</v>
      </c>
      <c r="E285" s="149">
        <v>1.0</v>
      </c>
      <c r="F285" s="149">
        <f>'1RM'!$C$4*C285</f>
        <v>60</v>
      </c>
      <c r="G285" s="141">
        <f t="shared" si="335"/>
        <v>4</v>
      </c>
      <c r="H285" s="142">
        <f t="shared" si="336"/>
        <v>240</v>
      </c>
      <c r="I285" s="141"/>
      <c r="J285" s="142"/>
      <c r="K285" s="141"/>
      <c r="L285" s="42"/>
      <c r="M285" s="150" t="str">
        <f t="shared" si="337"/>
        <v> </v>
      </c>
      <c r="N285" s="150">
        <f t="shared" si="338"/>
        <v>4</v>
      </c>
      <c r="O285" s="150" t="str">
        <f t="shared" si="339"/>
        <v> </v>
      </c>
      <c r="P285" s="150" t="str">
        <f t="shared" si="340"/>
        <v> </v>
      </c>
      <c r="Q285" s="150" t="str">
        <f t="shared" si="341"/>
        <v> </v>
      </c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2.75" customHeight="1">
      <c r="A286" s="145"/>
      <c r="B286" s="151" t="s">
        <v>4</v>
      </c>
      <c r="C286" s="147">
        <v>0.7</v>
      </c>
      <c r="D286" s="148">
        <v>3.0</v>
      </c>
      <c r="E286" s="149">
        <v>1.0</v>
      </c>
      <c r="F286" s="149">
        <f>'1RM'!$C$4*C286</f>
        <v>70</v>
      </c>
      <c r="G286" s="141">
        <f t="shared" si="335"/>
        <v>3</v>
      </c>
      <c r="H286" s="142">
        <f t="shared" si="336"/>
        <v>210</v>
      </c>
      <c r="I286" s="141"/>
      <c r="J286" s="142"/>
      <c r="K286" s="141"/>
      <c r="L286" s="42"/>
      <c r="M286" s="150" t="str">
        <f t="shared" si="337"/>
        <v> </v>
      </c>
      <c r="N286" s="150" t="str">
        <f t="shared" si="338"/>
        <v> </v>
      </c>
      <c r="O286" s="150">
        <f t="shared" si="339"/>
        <v>3</v>
      </c>
      <c r="P286" s="150" t="str">
        <f t="shared" si="340"/>
        <v> </v>
      </c>
      <c r="Q286" s="150" t="str">
        <f t="shared" si="341"/>
        <v> </v>
      </c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2.75" customHeight="1">
      <c r="A287" s="145"/>
      <c r="B287" s="151" t="s">
        <v>4</v>
      </c>
      <c r="C287" s="147">
        <v>0.75</v>
      </c>
      <c r="D287" s="148">
        <v>7.0</v>
      </c>
      <c r="E287" s="149">
        <v>4.0</v>
      </c>
      <c r="F287" s="149">
        <f>'1RM'!$C$4*C287</f>
        <v>75</v>
      </c>
      <c r="G287" s="141">
        <f t="shared" si="335"/>
        <v>28</v>
      </c>
      <c r="H287" s="142">
        <f t="shared" si="336"/>
        <v>2100</v>
      </c>
      <c r="I287" s="141"/>
      <c r="J287" s="142"/>
      <c r="K287" s="141"/>
      <c r="L287" s="42"/>
      <c r="M287" s="150" t="str">
        <f t="shared" si="337"/>
        <v> </v>
      </c>
      <c r="N287" s="150" t="str">
        <f t="shared" si="338"/>
        <v> </v>
      </c>
      <c r="O287" s="150">
        <f t="shared" si="339"/>
        <v>28</v>
      </c>
      <c r="P287" s="150" t="str">
        <f t="shared" si="340"/>
        <v> </v>
      </c>
      <c r="Q287" s="150" t="str">
        <f t="shared" si="341"/>
        <v> </v>
      </c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2.75" customHeight="1">
      <c r="A288" s="136">
        <v>2.0</v>
      </c>
      <c r="B288" s="137" t="s">
        <v>5</v>
      </c>
      <c r="C288" s="138">
        <v>0.5</v>
      </c>
      <c r="D288" s="139">
        <v>6.0</v>
      </c>
      <c r="E288" s="140">
        <v>1.0</v>
      </c>
      <c r="F288" s="140">
        <f>'1RM'!$C$5*C288</f>
        <v>50</v>
      </c>
      <c r="G288" s="141"/>
      <c r="H288" s="142"/>
      <c r="I288" s="141">
        <f t="shared" ref="I288:I300" si="342">D288*E288</f>
        <v>6</v>
      </c>
      <c r="J288" s="142">
        <f t="shared" ref="J288:J300" si="343">F288*I288</f>
        <v>300</v>
      </c>
      <c r="K288" s="141"/>
      <c r="L288" s="42"/>
      <c r="M288" s="5"/>
      <c r="N288" s="5"/>
      <c r="O288" s="5"/>
      <c r="P288" s="5"/>
      <c r="Q288" s="5"/>
      <c r="R288" s="143">
        <f t="shared" ref="R288:R300" si="344">IF(ISNUMBER(SEARCH("Press de banca",$B288)),IF($C288&gt;=0.5,IF($C288&lt;0.6,$D288*$E288," ")," ")," ")</f>
        <v>6</v>
      </c>
      <c r="S288" s="143" t="str">
        <f t="shared" ref="S288:S300" si="345">IF(ISNUMBER(SEARCH("Press de banca",$B288)),IF($C288&gt;=0.6,IF($C288&lt;0.7,$D288*$E288," ")," ")," ")</f>
        <v> </v>
      </c>
      <c r="T288" s="143" t="str">
        <f t="shared" ref="T288:T300" si="346">IF(ISNUMBER(SEARCH("Press de banca",$B288)),IF($C288&gt;=0.7,IF($C288&lt;0.8,$D288*$E288," ")," ")," ")</f>
        <v> </v>
      </c>
      <c r="U288" s="143" t="str">
        <f t="shared" ref="U288:U300" si="347">IF(ISNUMBER(SEARCH("Press de banca",$B288)),IF($C288&gt;=0.8,IF($C288&lt;0.9,$D288*$E288," ")," ")," ")</f>
        <v> </v>
      </c>
      <c r="V288" s="143" t="str">
        <f t="shared" ref="V288:V300" si="348">IF(ISNUMBER(SEARCH("Press de banca",$B288)),IF($C288&gt;=0.9,$D288*$E288," ")," ")</f>
        <v> </v>
      </c>
      <c r="W288" s="5"/>
      <c r="X288" s="5"/>
      <c r="Y288" s="5"/>
      <c r="Z288" s="5"/>
      <c r="AA288" s="5"/>
    </row>
    <row r="289" ht="12.75" customHeight="1">
      <c r="A289" s="136"/>
      <c r="B289" s="144" t="s">
        <v>5</v>
      </c>
      <c r="C289" s="138">
        <v>0.6</v>
      </c>
      <c r="D289" s="139">
        <v>5.0</v>
      </c>
      <c r="E289" s="140">
        <v>1.0</v>
      </c>
      <c r="F289" s="140">
        <f>'1RM'!$C$5*C289</f>
        <v>60</v>
      </c>
      <c r="G289" s="141"/>
      <c r="H289" s="142"/>
      <c r="I289" s="141">
        <f t="shared" si="342"/>
        <v>5</v>
      </c>
      <c r="J289" s="142">
        <f t="shared" si="343"/>
        <v>300</v>
      </c>
      <c r="K289" s="141"/>
      <c r="L289" s="42"/>
      <c r="M289" s="5"/>
      <c r="N289" s="5"/>
      <c r="O289" s="5"/>
      <c r="P289" s="5"/>
      <c r="Q289" s="5"/>
      <c r="R289" s="143" t="str">
        <f t="shared" si="344"/>
        <v> </v>
      </c>
      <c r="S289" s="143">
        <f t="shared" si="345"/>
        <v>5</v>
      </c>
      <c r="T289" s="143" t="str">
        <f t="shared" si="346"/>
        <v> </v>
      </c>
      <c r="U289" s="143" t="str">
        <f t="shared" si="347"/>
        <v> </v>
      </c>
      <c r="V289" s="143" t="str">
        <f t="shared" si="348"/>
        <v> </v>
      </c>
      <c r="W289" s="5"/>
      <c r="X289" s="5"/>
      <c r="Y289" s="5"/>
      <c r="Z289" s="5"/>
      <c r="AA289" s="5"/>
    </row>
    <row r="290" ht="12.75" customHeight="1">
      <c r="A290" s="136"/>
      <c r="B290" s="144" t="s">
        <v>5</v>
      </c>
      <c r="C290" s="138">
        <v>0.7</v>
      </c>
      <c r="D290" s="139">
        <v>4.0</v>
      </c>
      <c r="E290" s="140">
        <v>1.0</v>
      </c>
      <c r="F290" s="140">
        <f>'1RM'!$C$5*C290</f>
        <v>70</v>
      </c>
      <c r="G290" s="141"/>
      <c r="H290" s="142"/>
      <c r="I290" s="141">
        <f t="shared" si="342"/>
        <v>4</v>
      </c>
      <c r="J290" s="142">
        <f t="shared" si="343"/>
        <v>280</v>
      </c>
      <c r="K290" s="141"/>
      <c r="L290" s="42"/>
      <c r="M290" s="5"/>
      <c r="N290" s="5"/>
      <c r="O290" s="5"/>
      <c r="P290" s="5"/>
      <c r="Q290" s="5"/>
      <c r="R290" s="143" t="str">
        <f t="shared" si="344"/>
        <v> </v>
      </c>
      <c r="S290" s="143" t="str">
        <f t="shared" si="345"/>
        <v> </v>
      </c>
      <c r="T290" s="143">
        <f t="shared" si="346"/>
        <v>4</v>
      </c>
      <c r="U290" s="143" t="str">
        <f t="shared" si="347"/>
        <v> </v>
      </c>
      <c r="V290" s="143" t="str">
        <f t="shared" si="348"/>
        <v> </v>
      </c>
      <c r="W290" s="5"/>
      <c r="X290" s="5"/>
      <c r="Y290" s="5"/>
      <c r="Z290" s="5"/>
      <c r="AA290" s="5"/>
    </row>
    <row r="291" ht="12.75" customHeight="1">
      <c r="A291" s="136"/>
      <c r="B291" s="144" t="s">
        <v>5</v>
      </c>
      <c r="C291" s="138">
        <v>0.75</v>
      </c>
      <c r="D291" s="139">
        <v>3.0</v>
      </c>
      <c r="E291" s="140">
        <v>1.0</v>
      </c>
      <c r="F291" s="140">
        <f>'1RM'!$C$5*C291</f>
        <v>75</v>
      </c>
      <c r="G291" s="141"/>
      <c r="H291" s="142"/>
      <c r="I291" s="141">
        <f t="shared" si="342"/>
        <v>3</v>
      </c>
      <c r="J291" s="142">
        <f t="shared" si="343"/>
        <v>225</v>
      </c>
      <c r="K291" s="141"/>
      <c r="L291" s="42"/>
      <c r="M291" s="5"/>
      <c r="N291" s="5"/>
      <c r="O291" s="5"/>
      <c r="P291" s="5"/>
      <c r="Q291" s="5"/>
      <c r="R291" s="143" t="str">
        <f t="shared" si="344"/>
        <v> </v>
      </c>
      <c r="S291" s="143" t="str">
        <f t="shared" si="345"/>
        <v> </v>
      </c>
      <c r="T291" s="143">
        <f t="shared" si="346"/>
        <v>3</v>
      </c>
      <c r="U291" s="143" t="str">
        <f t="shared" si="347"/>
        <v> </v>
      </c>
      <c r="V291" s="143" t="str">
        <f t="shared" si="348"/>
        <v> </v>
      </c>
      <c r="W291" s="5"/>
      <c r="X291" s="5"/>
      <c r="Y291" s="5"/>
      <c r="Z291" s="5"/>
      <c r="AA291" s="5"/>
    </row>
    <row r="292" ht="12.75" customHeight="1">
      <c r="A292" s="136"/>
      <c r="B292" s="144" t="s">
        <v>5</v>
      </c>
      <c r="C292" s="138">
        <v>0.8</v>
      </c>
      <c r="D292" s="139">
        <v>2.0</v>
      </c>
      <c r="E292" s="140">
        <v>2.0</v>
      </c>
      <c r="F292" s="140">
        <f>'1RM'!$C$5*C292</f>
        <v>80</v>
      </c>
      <c r="G292" s="141"/>
      <c r="H292" s="142"/>
      <c r="I292" s="141">
        <f t="shared" si="342"/>
        <v>4</v>
      </c>
      <c r="J292" s="142">
        <f t="shared" si="343"/>
        <v>320</v>
      </c>
      <c r="K292" s="141"/>
      <c r="L292" s="42"/>
      <c r="M292" s="5"/>
      <c r="N292" s="5"/>
      <c r="O292" s="5"/>
      <c r="P292" s="5"/>
      <c r="Q292" s="5"/>
      <c r="R292" s="143" t="str">
        <f t="shared" si="344"/>
        <v> </v>
      </c>
      <c r="S292" s="143" t="str">
        <f t="shared" si="345"/>
        <v> </v>
      </c>
      <c r="T292" s="143" t="str">
        <f t="shared" si="346"/>
        <v> </v>
      </c>
      <c r="U292" s="143">
        <f t="shared" si="347"/>
        <v>4</v>
      </c>
      <c r="V292" s="143" t="str">
        <f t="shared" si="348"/>
        <v> </v>
      </c>
      <c r="W292" s="5"/>
      <c r="X292" s="5"/>
      <c r="Y292" s="5"/>
      <c r="Z292" s="5"/>
      <c r="AA292" s="5"/>
    </row>
    <row r="293" ht="12.75" customHeight="1">
      <c r="A293" s="136"/>
      <c r="B293" s="144" t="s">
        <v>5</v>
      </c>
      <c r="C293" s="138">
        <v>0.85</v>
      </c>
      <c r="D293" s="139">
        <v>1.0</v>
      </c>
      <c r="E293" s="140">
        <v>2.0</v>
      </c>
      <c r="F293" s="140">
        <f>'1RM'!$C$5*C293</f>
        <v>85</v>
      </c>
      <c r="G293" s="141"/>
      <c r="H293" s="142"/>
      <c r="I293" s="141">
        <f t="shared" si="342"/>
        <v>2</v>
      </c>
      <c r="J293" s="142">
        <f t="shared" si="343"/>
        <v>170</v>
      </c>
      <c r="K293" s="141"/>
      <c r="L293" s="42"/>
      <c r="M293" s="5"/>
      <c r="N293" s="5"/>
      <c r="O293" s="5"/>
      <c r="P293" s="5"/>
      <c r="Q293" s="5"/>
      <c r="R293" s="143" t="str">
        <f t="shared" si="344"/>
        <v> </v>
      </c>
      <c r="S293" s="143" t="str">
        <f t="shared" si="345"/>
        <v> </v>
      </c>
      <c r="T293" s="143" t="str">
        <f t="shared" si="346"/>
        <v> </v>
      </c>
      <c r="U293" s="143">
        <f t="shared" si="347"/>
        <v>2</v>
      </c>
      <c r="V293" s="143" t="str">
        <f t="shared" si="348"/>
        <v> </v>
      </c>
      <c r="W293" s="5"/>
      <c r="X293" s="5"/>
      <c r="Y293" s="5"/>
      <c r="Z293" s="5"/>
      <c r="AA293" s="5"/>
    </row>
    <row r="294" ht="12.75" customHeight="1">
      <c r="A294" s="136"/>
      <c r="B294" s="144" t="s">
        <v>5</v>
      </c>
      <c r="C294" s="138">
        <v>0.8</v>
      </c>
      <c r="D294" s="139">
        <v>2.0</v>
      </c>
      <c r="E294" s="140">
        <v>1.0</v>
      </c>
      <c r="F294" s="140">
        <f>'1RM'!$C$5*C294</f>
        <v>80</v>
      </c>
      <c r="G294" s="141"/>
      <c r="H294" s="142"/>
      <c r="I294" s="141">
        <f t="shared" si="342"/>
        <v>2</v>
      </c>
      <c r="J294" s="142">
        <f t="shared" si="343"/>
        <v>160</v>
      </c>
      <c r="K294" s="141"/>
      <c r="L294" s="42"/>
      <c r="M294" s="5"/>
      <c r="N294" s="5"/>
      <c r="O294" s="5"/>
      <c r="P294" s="5"/>
      <c r="Q294" s="5"/>
      <c r="R294" s="143" t="str">
        <f t="shared" si="344"/>
        <v> </v>
      </c>
      <c r="S294" s="143" t="str">
        <f t="shared" si="345"/>
        <v> </v>
      </c>
      <c r="T294" s="143" t="str">
        <f t="shared" si="346"/>
        <v> </v>
      </c>
      <c r="U294" s="143">
        <f t="shared" si="347"/>
        <v>2</v>
      </c>
      <c r="V294" s="143" t="str">
        <f t="shared" si="348"/>
        <v> </v>
      </c>
      <c r="W294" s="5"/>
      <c r="X294" s="5"/>
      <c r="Y294" s="5"/>
      <c r="Z294" s="5"/>
      <c r="AA294" s="5"/>
    </row>
    <row r="295" ht="12.75" customHeight="1">
      <c r="A295" s="136"/>
      <c r="B295" s="144" t="s">
        <v>5</v>
      </c>
      <c r="C295" s="138">
        <v>0.75</v>
      </c>
      <c r="D295" s="139">
        <v>3.0</v>
      </c>
      <c r="E295" s="140">
        <v>1.0</v>
      </c>
      <c r="F295" s="140">
        <f>'1RM'!$C$5*C295</f>
        <v>75</v>
      </c>
      <c r="G295" s="141"/>
      <c r="H295" s="142"/>
      <c r="I295" s="141">
        <f t="shared" si="342"/>
        <v>3</v>
      </c>
      <c r="J295" s="142">
        <f t="shared" si="343"/>
        <v>225</v>
      </c>
      <c r="K295" s="141"/>
      <c r="L295" s="42"/>
      <c r="M295" s="5"/>
      <c r="N295" s="5"/>
      <c r="O295" s="5"/>
      <c r="P295" s="5"/>
      <c r="Q295" s="5"/>
      <c r="R295" s="143" t="str">
        <f t="shared" si="344"/>
        <v> </v>
      </c>
      <c r="S295" s="143" t="str">
        <f t="shared" si="345"/>
        <v> </v>
      </c>
      <c r="T295" s="143">
        <f t="shared" si="346"/>
        <v>3</v>
      </c>
      <c r="U295" s="143" t="str">
        <f t="shared" si="347"/>
        <v> </v>
      </c>
      <c r="V295" s="143" t="str">
        <f t="shared" si="348"/>
        <v> </v>
      </c>
      <c r="W295" s="5"/>
      <c r="X295" s="5"/>
      <c r="Y295" s="5"/>
      <c r="Z295" s="5"/>
      <c r="AA295" s="5"/>
    </row>
    <row r="296" ht="12.75" customHeight="1">
      <c r="A296" s="136"/>
      <c r="B296" s="144" t="s">
        <v>5</v>
      </c>
      <c r="C296" s="138">
        <v>0.7</v>
      </c>
      <c r="D296" s="139">
        <v>4.0</v>
      </c>
      <c r="E296" s="140">
        <v>1.0</v>
      </c>
      <c r="F296" s="140">
        <f>'1RM'!$C$5*C296</f>
        <v>70</v>
      </c>
      <c r="G296" s="141"/>
      <c r="H296" s="142"/>
      <c r="I296" s="141">
        <f t="shared" si="342"/>
        <v>4</v>
      </c>
      <c r="J296" s="142">
        <f t="shared" si="343"/>
        <v>280</v>
      </c>
      <c r="K296" s="141"/>
      <c r="L296" s="42"/>
      <c r="M296" s="5"/>
      <c r="N296" s="5"/>
      <c r="O296" s="5"/>
      <c r="P296" s="5"/>
      <c r="Q296" s="5"/>
      <c r="R296" s="143" t="str">
        <f t="shared" si="344"/>
        <v> </v>
      </c>
      <c r="S296" s="143" t="str">
        <f t="shared" si="345"/>
        <v> </v>
      </c>
      <c r="T296" s="143">
        <f t="shared" si="346"/>
        <v>4</v>
      </c>
      <c r="U296" s="143" t="str">
        <f t="shared" si="347"/>
        <v> </v>
      </c>
      <c r="V296" s="143" t="str">
        <f t="shared" si="348"/>
        <v> </v>
      </c>
      <c r="W296" s="5"/>
      <c r="X296" s="5"/>
      <c r="Y296" s="5"/>
      <c r="Z296" s="5"/>
      <c r="AA296" s="5"/>
    </row>
    <row r="297" ht="12.75" customHeight="1">
      <c r="A297" s="136"/>
      <c r="B297" s="144" t="s">
        <v>5</v>
      </c>
      <c r="C297" s="138">
        <v>0.65</v>
      </c>
      <c r="D297" s="139">
        <v>5.0</v>
      </c>
      <c r="E297" s="140">
        <v>1.0</v>
      </c>
      <c r="F297" s="140">
        <f>'1RM'!$C$5*C297</f>
        <v>65</v>
      </c>
      <c r="G297" s="141"/>
      <c r="H297" s="142"/>
      <c r="I297" s="141">
        <f t="shared" si="342"/>
        <v>5</v>
      </c>
      <c r="J297" s="142">
        <f t="shared" si="343"/>
        <v>325</v>
      </c>
      <c r="K297" s="141"/>
      <c r="L297" s="42"/>
      <c r="M297" s="5"/>
      <c r="N297" s="5"/>
      <c r="O297" s="5"/>
      <c r="P297" s="5"/>
      <c r="Q297" s="5"/>
      <c r="R297" s="143" t="str">
        <f t="shared" si="344"/>
        <v> </v>
      </c>
      <c r="S297" s="143">
        <f t="shared" si="345"/>
        <v>5</v>
      </c>
      <c r="T297" s="143" t="str">
        <f t="shared" si="346"/>
        <v> </v>
      </c>
      <c r="U297" s="143" t="str">
        <f t="shared" si="347"/>
        <v> </v>
      </c>
      <c r="V297" s="143" t="str">
        <f t="shared" si="348"/>
        <v> </v>
      </c>
      <c r="W297" s="5"/>
      <c r="X297" s="5"/>
      <c r="Y297" s="5"/>
      <c r="Z297" s="5"/>
      <c r="AA297" s="5"/>
    </row>
    <row r="298" ht="12.75" customHeight="1">
      <c r="A298" s="136"/>
      <c r="B298" s="144" t="s">
        <v>5</v>
      </c>
      <c r="C298" s="138">
        <v>0.6</v>
      </c>
      <c r="D298" s="139">
        <v>6.0</v>
      </c>
      <c r="E298" s="140">
        <v>1.0</v>
      </c>
      <c r="F298" s="140">
        <f>'1RM'!$C$5*C298</f>
        <v>60</v>
      </c>
      <c r="G298" s="141"/>
      <c r="H298" s="142"/>
      <c r="I298" s="141">
        <f t="shared" si="342"/>
        <v>6</v>
      </c>
      <c r="J298" s="142">
        <f t="shared" si="343"/>
        <v>360</v>
      </c>
      <c r="K298" s="141"/>
      <c r="L298" s="42"/>
      <c r="M298" s="5"/>
      <c r="N298" s="5"/>
      <c r="O298" s="5"/>
      <c r="P298" s="5"/>
      <c r="Q298" s="5"/>
      <c r="R298" s="143" t="str">
        <f t="shared" si="344"/>
        <v> </v>
      </c>
      <c r="S298" s="143">
        <f t="shared" si="345"/>
        <v>6</v>
      </c>
      <c r="T298" s="143" t="str">
        <f t="shared" si="346"/>
        <v> </v>
      </c>
      <c r="U298" s="143" t="str">
        <f t="shared" si="347"/>
        <v> </v>
      </c>
      <c r="V298" s="143" t="str">
        <f t="shared" si="348"/>
        <v> </v>
      </c>
      <c r="W298" s="5"/>
      <c r="X298" s="5"/>
      <c r="Y298" s="5"/>
      <c r="Z298" s="5"/>
      <c r="AA298" s="5"/>
    </row>
    <row r="299" ht="12.75" customHeight="1">
      <c r="A299" s="136"/>
      <c r="B299" s="144" t="s">
        <v>5</v>
      </c>
      <c r="C299" s="138">
        <v>0.55</v>
      </c>
      <c r="D299" s="139">
        <v>7.0</v>
      </c>
      <c r="E299" s="140">
        <v>1.0</v>
      </c>
      <c r="F299" s="140">
        <f>'1RM'!$C$5*C299</f>
        <v>55</v>
      </c>
      <c r="G299" s="141"/>
      <c r="H299" s="142"/>
      <c r="I299" s="141">
        <f t="shared" si="342"/>
        <v>7</v>
      </c>
      <c r="J299" s="142">
        <f t="shared" si="343"/>
        <v>385</v>
      </c>
      <c r="K299" s="141"/>
      <c r="L299" s="42"/>
      <c r="M299" s="5"/>
      <c r="N299" s="5"/>
      <c r="O299" s="5"/>
      <c r="P299" s="5"/>
      <c r="Q299" s="5"/>
      <c r="R299" s="143">
        <f t="shared" si="344"/>
        <v>7</v>
      </c>
      <c r="S299" s="143" t="str">
        <f t="shared" si="345"/>
        <v> </v>
      </c>
      <c r="T299" s="143" t="str">
        <f t="shared" si="346"/>
        <v> </v>
      </c>
      <c r="U299" s="143" t="str">
        <f t="shared" si="347"/>
        <v> </v>
      </c>
      <c r="V299" s="143" t="str">
        <f t="shared" si="348"/>
        <v> </v>
      </c>
      <c r="W299" s="5"/>
      <c r="X299" s="5"/>
      <c r="Y299" s="5"/>
      <c r="Z299" s="5"/>
      <c r="AA299" s="5"/>
    </row>
    <row r="300" ht="12.75" customHeight="1">
      <c r="A300" s="136"/>
      <c r="B300" s="144" t="s">
        <v>5</v>
      </c>
      <c r="C300" s="138">
        <v>0.5</v>
      </c>
      <c r="D300" s="139">
        <v>8.0</v>
      </c>
      <c r="E300" s="140">
        <v>1.0</v>
      </c>
      <c r="F300" s="140">
        <f>'1RM'!$C$5*C300</f>
        <v>50</v>
      </c>
      <c r="G300" s="141"/>
      <c r="H300" s="142"/>
      <c r="I300" s="141">
        <f t="shared" si="342"/>
        <v>8</v>
      </c>
      <c r="J300" s="142">
        <f t="shared" si="343"/>
        <v>400</v>
      </c>
      <c r="K300" s="141"/>
      <c r="L300" s="42"/>
      <c r="M300" s="5"/>
      <c r="N300" s="5"/>
      <c r="O300" s="5"/>
      <c r="P300" s="5"/>
      <c r="Q300" s="5"/>
      <c r="R300" s="143">
        <f t="shared" si="344"/>
        <v>8</v>
      </c>
      <c r="S300" s="143" t="str">
        <f t="shared" si="345"/>
        <v> </v>
      </c>
      <c r="T300" s="143" t="str">
        <f t="shared" si="346"/>
        <v> </v>
      </c>
      <c r="U300" s="143" t="str">
        <f t="shared" si="347"/>
        <v> </v>
      </c>
      <c r="V300" s="143" t="str">
        <f t="shared" si="348"/>
        <v> </v>
      </c>
      <c r="W300" s="5"/>
      <c r="X300" s="5"/>
      <c r="Y300" s="5"/>
      <c r="Z300" s="5"/>
      <c r="AA300" s="5"/>
    </row>
    <row r="301" ht="12.75" customHeight="1">
      <c r="A301" s="145">
        <v>3.0</v>
      </c>
      <c r="B301" s="146" t="s">
        <v>4</v>
      </c>
      <c r="C301" s="147">
        <v>0.5</v>
      </c>
      <c r="D301" s="148">
        <v>4.0</v>
      </c>
      <c r="E301" s="149">
        <v>1.0</v>
      </c>
      <c r="F301" s="149">
        <f>'1RM'!$C$4*C301</f>
        <v>50</v>
      </c>
      <c r="G301" s="141">
        <f t="shared" ref="G301:G303" si="349">D301*E301</f>
        <v>4</v>
      </c>
      <c r="H301" s="142">
        <f t="shared" ref="H301:H303" si="350">F301*G301</f>
        <v>200</v>
      </c>
      <c r="I301" s="141"/>
      <c r="J301" s="142"/>
      <c r="K301" s="141"/>
      <c r="L301" s="42"/>
      <c r="M301" s="150">
        <f t="shared" ref="M301:M303" si="351">IF(ISNUMBER(SEARCH("Sentadilla",$B301)),IF($C301&gt;=0.5,IF($C301&lt;0.6,$D301*$E301," ")," ")," ")</f>
        <v>4</v>
      </c>
      <c r="N301" s="150" t="str">
        <f t="shared" ref="N301:N303" si="352">IF(ISNUMBER(SEARCH("Sentadilla",$B301)),IF($C301&gt;=0.6,IF($C301&lt;0.7,$D301*$E301," ")," ")," ")</f>
        <v> </v>
      </c>
      <c r="O301" s="150" t="str">
        <f t="shared" ref="O301:O303" si="353">IF(ISNUMBER(SEARCH("Sentadilla",$B301)),IF($C301&gt;=0.7,IF($C301&lt;0.8,$D301*$E301," ")," ")," ")</f>
        <v> </v>
      </c>
      <c r="P301" s="150" t="str">
        <f t="shared" ref="P301:P303" si="354">IF(ISNUMBER(SEARCH("Sentadilla",$B301)),IF($C301&gt;=0.8,IF($C301&lt;0.9,$D301*$E301," ")," ")," ")</f>
        <v> </v>
      </c>
      <c r="Q301" s="150" t="str">
        <f t="shared" ref="Q301:Q303" si="355">IF(ISNUMBER(SEARCH("Sentadilla",$B301)),IF($C301&gt;=0.9,$D301*$E301," ")," ")</f>
        <v> </v>
      </c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2.75" customHeight="1">
      <c r="A302" s="145"/>
      <c r="B302" s="151" t="s">
        <v>4</v>
      </c>
      <c r="C302" s="147">
        <v>0.6</v>
      </c>
      <c r="D302" s="148">
        <v>4.0</v>
      </c>
      <c r="E302" s="149">
        <v>1.0</v>
      </c>
      <c r="F302" s="149">
        <f>'1RM'!$C$4*C302</f>
        <v>60</v>
      </c>
      <c r="G302" s="141">
        <f t="shared" si="349"/>
        <v>4</v>
      </c>
      <c r="H302" s="142">
        <f t="shared" si="350"/>
        <v>240</v>
      </c>
      <c r="I302" s="141"/>
      <c r="J302" s="142"/>
      <c r="K302" s="141"/>
      <c r="L302" s="42"/>
      <c r="M302" s="150" t="str">
        <f t="shared" si="351"/>
        <v> </v>
      </c>
      <c r="N302" s="150">
        <f t="shared" si="352"/>
        <v>4</v>
      </c>
      <c r="O302" s="150" t="str">
        <f t="shared" si="353"/>
        <v> </v>
      </c>
      <c r="P302" s="150" t="str">
        <f t="shared" si="354"/>
        <v> </v>
      </c>
      <c r="Q302" s="150" t="str">
        <f t="shared" si="355"/>
        <v> </v>
      </c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2.75" customHeight="1">
      <c r="A303" s="145"/>
      <c r="B303" s="151" t="s">
        <v>4</v>
      </c>
      <c r="C303" s="147">
        <v>0.7</v>
      </c>
      <c r="D303" s="148">
        <v>5.0</v>
      </c>
      <c r="E303" s="149">
        <v>4.0</v>
      </c>
      <c r="F303" s="149">
        <f>'1RM'!$C$4*C303</f>
        <v>70</v>
      </c>
      <c r="G303" s="141">
        <f t="shared" si="349"/>
        <v>20</v>
      </c>
      <c r="H303" s="142">
        <f t="shared" si="350"/>
        <v>1400</v>
      </c>
      <c r="I303" s="141"/>
      <c r="J303" s="142"/>
      <c r="K303" s="141"/>
      <c r="L303" s="42"/>
      <c r="M303" s="150" t="str">
        <f t="shared" si="351"/>
        <v> </v>
      </c>
      <c r="N303" s="150" t="str">
        <f t="shared" si="352"/>
        <v> </v>
      </c>
      <c r="O303" s="150">
        <f t="shared" si="353"/>
        <v>20</v>
      </c>
      <c r="P303" s="150" t="str">
        <f t="shared" si="354"/>
        <v> </v>
      </c>
      <c r="Q303" s="150" t="str">
        <f t="shared" si="355"/>
        <v> </v>
      </c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2.75" customHeight="1">
      <c r="A304" s="152">
        <v>4.0</v>
      </c>
      <c r="B304" s="153" t="s">
        <v>55</v>
      </c>
      <c r="C304" s="154"/>
      <c r="D304" s="155">
        <v>10.0</v>
      </c>
      <c r="E304" s="156">
        <v>5.0</v>
      </c>
      <c r="F304" s="156"/>
      <c r="G304" s="141"/>
      <c r="H304" s="142"/>
      <c r="I304" s="141"/>
      <c r="J304" s="142"/>
      <c r="K304" s="141"/>
      <c r="L304" s="42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2.75" customHeight="1">
      <c r="A305" s="152">
        <v>5.0</v>
      </c>
      <c r="B305" s="153" t="s">
        <v>56</v>
      </c>
      <c r="C305" s="154"/>
      <c r="D305" s="155">
        <v>10.0</v>
      </c>
      <c r="E305" s="156">
        <v>3.0</v>
      </c>
      <c r="F305" s="156"/>
      <c r="G305" s="141"/>
      <c r="H305" s="142"/>
      <c r="I305" s="141"/>
      <c r="J305" s="142"/>
      <c r="K305" s="141"/>
      <c r="L305" s="42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2.75" customHeight="1">
      <c r="A306" s="33"/>
      <c r="B306" s="134"/>
      <c r="C306" s="135"/>
      <c r="D306" s="45"/>
      <c r="E306" s="45"/>
      <c r="F306" s="45"/>
      <c r="G306" s="141"/>
      <c r="H306" s="142"/>
      <c r="I306" s="141"/>
      <c r="J306" s="142"/>
      <c r="K306" s="141"/>
      <c r="L306" s="42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2.75" customHeight="1">
      <c r="A307" s="33" t="s">
        <v>66</v>
      </c>
      <c r="B307" s="134"/>
      <c r="C307" s="135" t="s">
        <v>20</v>
      </c>
      <c r="D307" s="45" t="s">
        <v>51</v>
      </c>
      <c r="E307" s="45" t="s">
        <v>52</v>
      </c>
      <c r="F307" s="45" t="s">
        <v>53</v>
      </c>
      <c r="G307" s="141"/>
      <c r="H307" s="142"/>
      <c r="I307" s="141"/>
      <c r="J307" s="142"/>
      <c r="K307" s="141"/>
      <c r="L307" s="42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2.75" customHeight="1">
      <c r="A308" s="157">
        <v>1.0</v>
      </c>
      <c r="B308" s="158" t="s">
        <v>98</v>
      </c>
      <c r="C308" s="159">
        <v>0.5</v>
      </c>
      <c r="D308" s="160">
        <v>3.0</v>
      </c>
      <c r="E308" s="161">
        <v>1.0</v>
      </c>
      <c r="F308" s="161">
        <f>'1RM'!$C$6*C308</f>
        <v>50</v>
      </c>
      <c r="G308" s="141"/>
      <c r="H308" s="142"/>
      <c r="I308" s="141"/>
      <c r="J308" s="142"/>
      <c r="K308" s="141">
        <f t="shared" ref="K308:K311" si="356">D308*E308</f>
        <v>3</v>
      </c>
      <c r="L308" s="42">
        <f t="shared" ref="L308:L311" si="357">F308*K308</f>
        <v>150</v>
      </c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162">
        <f t="shared" ref="W308:W311" si="358">IF(ISNUMBER(SEARCH("Peso muerto",$B308)),IF($C308&gt;=0.5,IF($C308&lt;0.6,$D308*$E308," ")," ")," ")</f>
        <v>3</v>
      </c>
      <c r="X308" s="162" t="str">
        <f t="shared" ref="X308:X311" si="359">IF(ISNUMBER(SEARCH("Peso muerto",$B308)),IF($C308&gt;=0.6,IF($C308&lt;0.7,$D308*$E308," ")," ")," ")</f>
        <v> </v>
      </c>
      <c r="Y308" s="162" t="str">
        <f t="shared" ref="Y308:Y311" si="360">IF(ISNUMBER(SEARCH("Peso muerto",$B308)),IF($C308&gt;=0.7,IF($C308&lt;0.8,$D308*$E308," ")," ")," ")</f>
        <v> </v>
      </c>
      <c r="Z308" s="162" t="str">
        <f t="shared" ref="Z308:Z311" si="361">IF(ISNUMBER(SEARCH("Peso muerto",$B308)),IF($C308&gt;=0.8,IF($C308&lt;0.9,$D308*$E308," ")," ")," ")</f>
        <v> </v>
      </c>
      <c r="AA308" s="162" t="str">
        <f t="shared" ref="AA308:AA311" si="362">IF(ISNUMBER(SEARCH("Peso muerto",$B308)),IF($C308&gt;=0.9,$D308*$E308," ")," ")</f>
        <v> </v>
      </c>
    </row>
    <row r="309" ht="12.75" customHeight="1">
      <c r="A309" s="157"/>
      <c r="B309" s="163" t="s">
        <v>98</v>
      </c>
      <c r="C309" s="159">
        <v>0.6</v>
      </c>
      <c r="D309" s="160">
        <v>3.0</v>
      </c>
      <c r="E309" s="161">
        <v>1.0</v>
      </c>
      <c r="F309" s="161">
        <f>'1RM'!$C$6*C309</f>
        <v>60</v>
      </c>
      <c r="G309" s="141"/>
      <c r="H309" s="142"/>
      <c r="I309" s="141"/>
      <c r="J309" s="142"/>
      <c r="K309" s="141">
        <f t="shared" si="356"/>
        <v>3</v>
      </c>
      <c r="L309" s="42">
        <f t="shared" si="357"/>
        <v>180</v>
      </c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162" t="str">
        <f t="shared" si="358"/>
        <v> </v>
      </c>
      <c r="X309" s="162">
        <f t="shared" si="359"/>
        <v>3</v>
      </c>
      <c r="Y309" s="162" t="str">
        <f t="shared" si="360"/>
        <v> </v>
      </c>
      <c r="Z309" s="162" t="str">
        <f t="shared" si="361"/>
        <v> </v>
      </c>
      <c r="AA309" s="162" t="str">
        <f t="shared" si="362"/>
        <v> </v>
      </c>
    </row>
    <row r="310" ht="12.75" customHeight="1">
      <c r="A310" s="157"/>
      <c r="B310" s="163" t="s">
        <v>98</v>
      </c>
      <c r="C310" s="159">
        <v>0.7</v>
      </c>
      <c r="D310" s="160">
        <v>3.0</v>
      </c>
      <c r="E310" s="161">
        <v>1.0</v>
      </c>
      <c r="F310" s="161">
        <f>'1RM'!$C$6*C310</f>
        <v>70</v>
      </c>
      <c r="G310" s="141"/>
      <c r="H310" s="142"/>
      <c r="I310" s="141"/>
      <c r="J310" s="142"/>
      <c r="K310" s="141">
        <f t="shared" si="356"/>
        <v>3</v>
      </c>
      <c r="L310" s="42">
        <f t="shared" si="357"/>
        <v>210</v>
      </c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162" t="str">
        <f t="shared" si="358"/>
        <v> </v>
      </c>
      <c r="X310" s="162" t="str">
        <f t="shared" si="359"/>
        <v> </v>
      </c>
      <c r="Y310" s="162">
        <f t="shared" si="360"/>
        <v>3</v>
      </c>
      <c r="Z310" s="162" t="str">
        <f t="shared" si="361"/>
        <v> </v>
      </c>
      <c r="AA310" s="162" t="str">
        <f t="shared" si="362"/>
        <v> </v>
      </c>
    </row>
    <row r="311" ht="12.75" customHeight="1">
      <c r="A311" s="157"/>
      <c r="B311" s="163" t="s">
        <v>98</v>
      </c>
      <c r="C311" s="159">
        <v>0.75</v>
      </c>
      <c r="D311" s="160">
        <v>2.0</v>
      </c>
      <c r="E311" s="161">
        <v>4.0</v>
      </c>
      <c r="F311" s="161">
        <f>'1RM'!$C$6*C311</f>
        <v>75</v>
      </c>
      <c r="G311" s="141"/>
      <c r="H311" s="142"/>
      <c r="I311" s="141"/>
      <c r="J311" s="142"/>
      <c r="K311" s="141">
        <f t="shared" si="356"/>
        <v>8</v>
      </c>
      <c r="L311" s="42">
        <f t="shared" si="357"/>
        <v>600</v>
      </c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162" t="str">
        <f t="shared" si="358"/>
        <v> </v>
      </c>
      <c r="X311" s="162" t="str">
        <f t="shared" si="359"/>
        <v> </v>
      </c>
      <c r="Y311" s="162">
        <f t="shared" si="360"/>
        <v>8</v>
      </c>
      <c r="Z311" s="162" t="str">
        <f t="shared" si="361"/>
        <v> </v>
      </c>
      <c r="AA311" s="162" t="str">
        <f t="shared" si="362"/>
        <v> </v>
      </c>
    </row>
    <row r="312" ht="12.75" customHeight="1">
      <c r="A312" s="152">
        <v>2.0</v>
      </c>
      <c r="B312" s="153" t="s">
        <v>99</v>
      </c>
      <c r="C312" s="154"/>
      <c r="D312" s="155">
        <v>8.0</v>
      </c>
      <c r="E312" s="156">
        <v>5.0</v>
      </c>
      <c r="F312" s="156"/>
      <c r="G312" s="141"/>
      <c r="H312" s="142"/>
      <c r="I312" s="141"/>
      <c r="J312" s="142"/>
      <c r="K312" s="141"/>
      <c r="L312" s="4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2.75" customHeight="1">
      <c r="A313" s="157">
        <v>3.0</v>
      </c>
      <c r="B313" s="158" t="s">
        <v>100</v>
      </c>
      <c r="C313" s="159">
        <v>0.5</v>
      </c>
      <c r="D313" s="160">
        <v>4.0</v>
      </c>
      <c r="E313" s="161">
        <v>1.0</v>
      </c>
      <c r="F313" s="161">
        <f>'1RM'!$C$6*C313</f>
        <v>50</v>
      </c>
      <c r="G313" s="141"/>
      <c r="H313" s="142"/>
      <c r="I313" s="141"/>
      <c r="J313" s="142"/>
      <c r="K313" s="141">
        <f t="shared" ref="K313:K316" si="363">D313*E313</f>
        <v>4</v>
      </c>
      <c r="L313" s="42">
        <f t="shared" ref="L313:L316" si="364">F313*K313</f>
        <v>200</v>
      </c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162">
        <f t="shared" ref="W313:W316" si="365">IF(ISNUMBER(SEARCH("Peso muerto",$B313)),IF($C313&gt;=0.5,IF($C313&lt;0.6,$D313*$E313," ")," ")," ")</f>
        <v>4</v>
      </c>
      <c r="X313" s="162" t="str">
        <f t="shared" ref="X313:X316" si="366">IF(ISNUMBER(SEARCH("Peso muerto",$B313)),IF($C313&gt;=0.6,IF($C313&lt;0.7,$D313*$E313," ")," ")," ")</f>
        <v> </v>
      </c>
      <c r="Y313" s="162" t="str">
        <f t="shared" ref="Y313:Y316" si="367">IF(ISNUMBER(SEARCH("Peso muerto",$B313)),IF($C313&gt;=0.7,IF($C313&lt;0.8,$D313*$E313," ")," ")," ")</f>
        <v> </v>
      </c>
      <c r="Z313" s="162" t="str">
        <f t="shared" ref="Z313:Z316" si="368">IF(ISNUMBER(SEARCH("Peso muerto",$B313)),IF($C313&gt;=0.8,IF($C313&lt;0.9,$D313*$E313," ")," ")," ")</f>
        <v> </v>
      </c>
      <c r="AA313" s="162" t="str">
        <f t="shared" ref="AA313:AA316" si="369">IF(ISNUMBER(SEARCH("Peso muerto",$B313)),IF($C313&gt;=0.9,$D313*$E313," ")," ")</f>
        <v> </v>
      </c>
    </row>
    <row r="314" ht="12.75" customHeight="1">
      <c r="A314" s="157"/>
      <c r="B314" s="163" t="s">
        <v>100</v>
      </c>
      <c r="C314" s="159">
        <v>0.6</v>
      </c>
      <c r="D314" s="160">
        <v>4.0</v>
      </c>
      <c r="E314" s="161">
        <v>1.0</v>
      </c>
      <c r="F314" s="161">
        <f>'1RM'!$C$6*C314</f>
        <v>60</v>
      </c>
      <c r="G314" s="141"/>
      <c r="H314" s="142"/>
      <c r="I314" s="141"/>
      <c r="J314" s="142"/>
      <c r="K314" s="141">
        <f t="shared" si="363"/>
        <v>4</v>
      </c>
      <c r="L314" s="42">
        <f t="shared" si="364"/>
        <v>240</v>
      </c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162" t="str">
        <f t="shared" si="365"/>
        <v> </v>
      </c>
      <c r="X314" s="162">
        <f t="shared" si="366"/>
        <v>4</v>
      </c>
      <c r="Y314" s="162" t="str">
        <f t="shared" si="367"/>
        <v> </v>
      </c>
      <c r="Z314" s="162" t="str">
        <f t="shared" si="368"/>
        <v> </v>
      </c>
      <c r="AA314" s="162" t="str">
        <f t="shared" si="369"/>
        <v> </v>
      </c>
    </row>
    <row r="315" ht="12.75" customHeight="1">
      <c r="A315" s="157"/>
      <c r="B315" s="163" t="s">
        <v>100</v>
      </c>
      <c r="C315" s="159">
        <v>0.7</v>
      </c>
      <c r="D315" s="160">
        <v>4.0</v>
      </c>
      <c r="E315" s="161">
        <v>1.0</v>
      </c>
      <c r="F315" s="161">
        <f>'1RM'!$C$6*C315</f>
        <v>70</v>
      </c>
      <c r="G315" s="141"/>
      <c r="H315" s="142"/>
      <c r="I315" s="141"/>
      <c r="J315" s="142"/>
      <c r="K315" s="141">
        <f t="shared" si="363"/>
        <v>4</v>
      </c>
      <c r="L315" s="42">
        <f t="shared" si="364"/>
        <v>280</v>
      </c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162" t="str">
        <f t="shared" si="365"/>
        <v> </v>
      </c>
      <c r="X315" s="162" t="str">
        <f t="shared" si="366"/>
        <v> </v>
      </c>
      <c r="Y315" s="162">
        <f t="shared" si="367"/>
        <v>4</v>
      </c>
      <c r="Z315" s="162" t="str">
        <f t="shared" si="368"/>
        <v> </v>
      </c>
      <c r="AA315" s="162" t="str">
        <f t="shared" si="369"/>
        <v> </v>
      </c>
    </row>
    <row r="316" ht="12.75" customHeight="1">
      <c r="A316" s="157"/>
      <c r="B316" s="163" t="s">
        <v>100</v>
      </c>
      <c r="C316" s="159">
        <v>0.75</v>
      </c>
      <c r="D316" s="160">
        <v>4.0</v>
      </c>
      <c r="E316" s="161">
        <v>4.0</v>
      </c>
      <c r="F316" s="161">
        <f>'1RM'!$C$6*C316</f>
        <v>75</v>
      </c>
      <c r="G316" s="141"/>
      <c r="H316" s="142"/>
      <c r="I316" s="141"/>
      <c r="J316" s="142"/>
      <c r="K316" s="141">
        <f t="shared" si="363"/>
        <v>16</v>
      </c>
      <c r="L316" s="42">
        <f t="shared" si="364"/>
        <v>1200</v>
      </c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162" t="str">
        <f t="shared" si="365"/>
        <v> </v>
      </c>
      <c r="X316" s="162" t="str">
        <f t="shared" si="366"/>
        <v> </v>
      </c>
      <c r="Y316" s="162">
        <f t="shared" si="367"/>
        <v>16</v>
      </c>
      <c r="Z316" s="162" t="str">
        <f t="shared" si="368"/>
        <v> </v>
      </c>
      <c r="AA316" s="162" t="str">
        <f t="shared" si="369"/>
        <v> </v>
      </c>
    </row>
    <row r="317" ht="12.75" customHeight="1">
      <c r="A317" s="152">
        <v>4.0</v>
      </c>
      <c r="B317" s="153" t="s">
        <v>60</v>
      </c>
      <c r="C317" s="154"/>
      <c r="D317" s="155">
        <v>10.0</v>
      </c>
      <c r="E317" s="156">
        <v>5.0</v>
      </c>
      <c r="F317" s="156"/>
      <c r="G317" s="141"/>
      <c r="H317" s="142"/>
      <c r="I317" s="141"/>
      <c r="J317" s="142"/>
      <c r="K317" s="141"/>
      <c r="L317" s="42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2.75" customHeight="1">
      <c r="A318" s="152">
        <v>5.0</v>
      </c>
      <c r="B318" s="153" t="s">
        <v>65</v>
      </c>
      <c r="C318" s="154"/>
      <c r="D318" s="155">
        <v>8.0</v>
      </c>
      <c r="E318" s="156">
        <v>4.0</v>
      </c>
      <c r="F318" s="156"/>
      <c r="G318" s="141"/>
      <c r="H318" s="142"/>
      <c r="I318" s="141"/>
      <c r="J318" s="142"/>
      <c r="K318" s="141"/>
      <c r="L318" s="42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2.75" customHeight="1">
      <c r="A319" s="169"/>
      <c r="B319" s="170"/>
      <c r="C319" s="171"/>
      <c r="D319" s="172"/>
      <c r="E319" s="172"/>
      <c r="F319" s="172"/>
      <c r="G319" s="173">
        <f t="shared" ref="G319:AA319" si="370">SUM(G250:G318)</f>
        <v>117</v>
      </c>
      <c r="H319" s="174">
        <f t="shared" si="370"/>
        <v>7920</v>
      </c>
      <c r="I319" s="173">
        <f t="shared" si="370"/>
        <v>152</v>
      </c>
      <c r="J319" s="174">
        <f t="shared" si="370"/>
        <v>10290</v>
      </c>
      <c r="K319" s="173">
        <f t="shared" si="370"/>
        <v>90</v>
      </c>
      <c r="L319" s="172">
        <f t="shared" si="370"/>
        <v>6225</v>
      </c>
      <c r="M319" s="5">
        <f t="shared" si="370"/>
        <v>14</v>
      </c>
      <c r="N319" s="5">
        <f t="shared" si="370"/>
        <v>13</v>
      </c>
      <c r="O319" s="5">
        <f t="shared" si="370"/>
        <v>90</v>
      </c>
      <c r="P319" s="5">
        <f t="shared" si="370"/>
        <v>0</v>
      </c>
      <c r="Q319" s="5">
        <f t="shared" si="370"/>
        <v>0</v>
      </c>
      <c r="R319" s="34">
        <f t="shared" si="370"/>
        <v>35</v>
      </c>
      <c r="S319" s="34">
        <f t="shared" si="370"/>
        <v>28</v>
      </c>
      <c r="T319" s="34">
        <f t="shared" si="370"/>
        <v>36</v>
      </c>
      <c r="U319" s="34">
        <f t="shared" si="370"/>
        <v>53</v>
      </c>
      <c r="V319" s="34">
        <f t="shared" si="370"/>
        <v>0</v>
      </c>
      <c r="W319" s="175">
        <f t="shared" si="370"/>
        <v>14</v>
      </c>
      <c r="X319" s="175">
        <f t="shared" si="370"/>
        <v>14</v>
      </c>
      <c r="Y319" s="175">
        <f t="shared" si="370"/>
        <v>50</v>
      </c>
      <c r="Z319" s="175">
        <f t="shared" si="370"/>
        <v>12</v>
      </c>
      <c r="AA319" s="175">
        <f t="shared" si="370"/>
        <v>0</v>
      </c>
    </row>
    <row r="320" ht="12.75" customHeight="1">
      <c r="A320" s="33" t="s">
        <v>40</v>
      </c>
      <c r="B320" s="33"/>
      <c r="C320" s="133"/>
      <c r="D320" s="42"/>
      <c r="E320" s="42"/>
      <c r="F320" s="42"/>
      <c r="G320" s="141"/>
      <c r="H320" s="142"/>
      <c r="I320" s="141"/>
      <c r="J320" s="142"/>
      <c r="K320" s="141"/>
      <c r="L320" s="42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2.75" customHeight="1">
      <c r="A321" s="33" t="s">
        <v>50</v>
      </c>
      <c r="B321" s="134"/>
      <c r="C321" s="135" t="s">
        <v>20</v>
      </c>
      <c r="D321" s="45" t="s">
        <v>51</v>
      </c>
      <c r="E321" s="45" t="s">
        <v>52</v>
      </c>
      <c r="F321" s="45" t="s">
        <v>53</v>
      </c>
      <c r="G321" s="141"/>
      <c r="H321" s="142"/>
      <c r="I321" s="141"/>
      <c r="J321" s="142"/>
      <c r="K321" s="141"/>
      <c r="L321" s="42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2.75" customHeight="1">
      <c r="A322" s="145">
        <v>1.0</v>
      </c>
      <c r="B322" s="146" t="s">
        <v>4</v>
      </c>
      <c r="C322" s="147">
        <v>0.5</v>
      </c>
      <c r="D322" s="148">
        <v>5.0</v>
      </c>
      <c r="E322" s="149">
        <v>1.0</v>
      </c>
      <c r="F322" s="149">
        <f>'1RM'!$C$4*C322</f>
        <v>50</v>
      </c>
      <c r="G322" s="141">
        <f t="shared" ref="G322:G325" si="371">D322*E322</f>
        <v>5</v>
      </c>
      <c r="H322" s="142">
        <f t="shared" ref="H322:H325" si="372">F322*G322</f>
        <v>250</v>
      </c>
      <c r="I322" s="141"/>
      <c r="J322" s="142"/>
      <c r="K322" s="141"/>
      <c r="L322" s="42"/>
      <c r="M322" s="150">
        <f t="shared" ref="M322:M325" si="373">IF(ISNUMBER(SEARCH("Sentadilla",$B322)),IF($C322&gt;=0.5,IF($C322&lt;0.6,$D322*$E322," ")," ")," ")</f>
        <v>5</v>
      </c>
      <c r="N322" s="150" t="str">
        <f t="shared" ref="N322:N325" si="374">IF(ISNUMBER(SEARCH("Sentadilla",$B322)),IF($C322&gt;=0.6,IF($C322&lt;0.7,$D322*$E322," ")," ")," ")</f>
        <v> </v>
      </c>
      <c r="O322" s="150" t="str">
        <f t="shared" ref="O322:O325" si="375">IF(ISNUMBER(SEARCH("Sentadilla",$B322)),IF($C322&gt;=0.7,IF($C322&lt;0.8,$D322*$E322," ")," ")," ")</f>
        <v> </v>
      </c>
      <c r="P322" s="150" t="str">
        <f t="shared" ref="P322:P325" si="376">IF(ISNUMBER(SEARCH("Sentadilla",$B322)),IF($C322&gt;=0.8,IF($C322&lt;0.9,$D322*$E322," ")," ")," ")</f>
        <v> </v>
      </c>
      <c r="Q322" s="150" t="str">
        <f t="shared" ref="Q322:Q325" si="377">IF(ISNUMBER(SEARCH("Sentadilla",$B322)),IF($C322&gt;=0.9,$D322*$E322," ")," ")</f>
        <v> </v>
      </c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2.75" customHeight="1">
      <c r="A323" s="145"/>
      <c r="B323" s="151" t="s">
        <v>4</v>
      </c>
      <c r="C323" s="147">
        <v>0.6</v>
      </c>
      <c r="D323" s="148">
        <v>4.0</v>
      </c>
      <c r="E323" s="149">
        <v>1.0</v>
      </c>
      <c r="F323" s="149">
        <f>'1RM'!$C$4*C323</f>
        <v>60</v>
      </c>
      <c r="G323" s="141">
        <f t="shared" si="371"/>
        <v>4</v>
      </c>
      <c r="H323" s="142">
        <f t="shared" si="372"/>
        <v>240</v>
      </c>
      <c r="I323" s="141"/>
      <c r="J323" s="142"/>
      <c r="K323" s="141"/>
      <c r="L323" s="42"/>
      <c r="M323" s="150" t="str">
        <f t="shared" si="373"/>
        <v> </v>
      </c>
      <c r="N323" s="150">
        <f t="shared" si="374"/>
        <v>4</v>
      </c>
      <c r="O323" s="150" t="str">
        <f t="shared" si="375"/>
        <v> </v>
      </c>
      <c r="P323" s="150" t="str">
        <f t="shared" si="376"/>
        <v> </v>
      </c>
      <c r="Q323" s="150" t="str">
        <f t="shared" si="377"/>
        <v> </v>
      </c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2.75" customHeight="1">
      <c r="A324" s="145"/>
      <c r="B324" s="151" t="s">
        <v>4</v>
      </c>
      <c r="C324" s="147">
        <v>0.7</v>
      </c>
      <c r="D324" s="148">
        <v>3.0</v>
      </c>
      <c r="E324" s="149">
        <v>1.0</v>
      </c>
      <c r="F324" s="149">
        <f>'1RM'!$C$4*C324</f>
        <v>70</v>
      </c>
      <c r="G324" s="141">
        <f t="shared" si="371"/>
        <v>3</v>
      </c>
      <c r="H324" s="142">
        <f t="shared" si="372"/>
        <v>210</v>
      </c>
      <c r="I324" s="141"/>
      <c r="J324" s="142"/>
      <c r="K324" s="141"/>
      <c r="L324" s="42"/>
      <c r="M324" s="150" t="str">
        <f t="shared" si="373"/>
        <v> </v>
      </c>
      <c r="N324" s="150" t="str">
        <f t="shared" si="374"/>
        <v> </v>
      </c>
      <c r="O324" s="150">
        <f t="shared" si="375"/>
        <v>3</v>
      </c>
      <c r="P324" s="150" t="str">
        <f t="shared" si="376"/>
        <v> </v>
      </c>
      <c r="Q324" s="150" t="str">
        <f t="shared" si="377"/>
        <v> </v>
      </c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2.75" customHeight="1">
      <c r="A325" s="145"/>
      <c r="B325" s="151" t="s">
        <v>4</v>
      </c>
      <c r="C325" s="147">
        <v>0.8</v>
      </c>
      <c r="D325" s="148">
        <v>5.0</v>
      </c>
      <c r="E325" s="149">
        <v>5.0</v>
      </c>
      <c r="F325" s="149">
        <f>'1RM'!$C$4*C325</f>
        <v>80</v>
      </c>
      <c r="G325" s="141">
        <f t="shared" si="371"/>
        <v>25</v>
      </c>
      <c r="H325" s="142">
        <f t="shared" si="372"/>
        <v>2000</v>
      </c>
      <c r="I325" s="141"/>
      <c r="J325" s="142"/>
      <c r="K325" s="141"/>
      <c r="L325" s="42"/>
      <c r="M325" s="150" t="str">
        <f t="shared" si="373"/>
        <v> </v>
      </c>
      <c r="N325" s="150" t="str">
        <f t="shared" si="374"/>
        <v> </v>
      </c>
      <c r="O325" s="150" t="str">
        <f t="shared" si="375"/>
        <v> </v>
      </c>
      <c r="P325" s="150">
        <f t="shared" si="376"/>
        <v>25</v>
      </c>
      <c r="Q325" s="150" t="str">
        <f t="shared" si="377"/>
        <v> </v>
      </c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2.75" customHeight="1">
      <c r="A326" s="136">
        <v>2.0</v>
      </c>
      <c r="B326" s="137" t="s">
        <v>5</v>
      </c>
      <c r="C326" s="138">
        <v>0.5</v>
      </c>
      <c r="D326" s="139">
        <v>5.0</v>
      </c>
      <c r="E326" s="140">
        <v>1.0</v>
      </c>
      <c r="F326" s="140">
        <f>'1RM'!$C$5*C326</f>
        <v>50</v>
      </c>
      <c r="G326" s="141"/>
      <c r="H326" s="142"/>
      <c r="I326" s="141">
        <f t="shared" ref="I326:I329" si="378">D326*E326</f>
        <v>5</v>
      </c>
      <c r="J326" s="142">
        <f t="shared" ref="J326:J329" si="379">F326*I326</f>
        <v>250</v>
      </c>
      <c r="K326" s="141"/>
      <c r="L326" s="42"/>
      <c r="M326" s="5"/>
      <c r="N326" s="5"/>
      <c r="O326" s="5"/>
      <c r="P326" s="5"/>
      <c r="Q326" s="5"/>
      <c r="R326" s="143">
        <f t="shared" ref="R326:R329" si="380">IF(ISNUMBER(SEARCH("Press de banca",$B326)),IF($C326&gt;=0.5,IF($C326&lt;0.6,$D326*$E326," ")," ")," ")</f>
        <v>5</v>
      </c>
      <c r="S326" s="143" t="str">
        <f t="shared" ref="S326:S329" si="381">IF(ISNUMBER(SEARCH("Press de banca",$B326)),IF($C326&gt;=0.6,IF($C326&lt;0.7,$D326*$E326," ")," ")," ")</f>
        <v> </v>
      </c>
      <c r="T326" s="143" t="str">
        <f t="shared" ref="T326:T329" si="382">IF(ISNUMBER(SEARCH("Press de banca",$B326)),IF($C326&gt;=0.7,IF($C326&lt;0.8,$D326*$E326," ")," ")," ")</f>
        <v> </v>
      </c>
      <c r="U326" s="143" t="str">
        <f t="shared" ref="U326:U329" si="383">IF(ISNUMBER(SEARCH("Press de banca",$B326)),IF($C326&gt;=0.8,IF($C326&lt;0.9,$D326*$E326," ")," ")," ")</f>
        <v> </v>
      </c>
      <c r="V326" s="143" t="str">
        <f t="shared" ref="V326:V329" si="384">IF(ISNUMBER(SEARCH("Press de banca",$B326)),IF($C326&gt;=0.9,$D326*$E326," ")," ")</f>
        <v> </v>
      </c>
      <c r="W326" s="5"/>
      <c r="X326" s="5"/>
      <c r="Y326" s="5"/>
      <c r="Z326" s="5"/>
      <c r="AA326" s="5"/>
    </row>
    <row r="327" ht="12.75" customHeight="1">
      <c r="A327" s="136"/>
      <c r="B327" s="144" t="s">
        <v>5</v>
      </c>
      <c r="C327" s="138">
        <v>0.6</v>
      </c>
      <c r="D327" s="139">
        <v>4.0</v>
      </c>
      <c r="E327" s="140">
        <v>1.0</v>
      </c>
      <c r="F327" s="140">
        <f>'1RM'!$C$5*C327</f>
        <v>60</v>
      </c>
      <c r="G327" s="141"/>
      <c r="H327" s="142"/>
      <c r="I327" s="141">
        <f t="shared" si="378"/>
        <v>4</v>
      </c>
      <c r="J327" s="142">
        <f t="shared" si="379"/>
        <v>240</v>
      </c>
      <c r="K327" s="141"/>
      <c r="L327" s="42"/>
      <c r="M327" s="5"/>
      <c r="N327" s="5"/>
      <c r="O327" s="5"/>
      <c r="P327" s="5"/>
      <c r="Q327" s="5"/>
      <c r="R327" s="143" t="str">
        <f t="shared" si="380"/>
        <v> </v>
      </c>
      <c r="S327" s="143">
        <f t="shared" si="381"/>
        <v>4</v>
      </c>
      <c r="T327" s="143" t="str">
        <f t="shared" si="382"/>
        <v> </v>
      </c>
      <c r="U327" s="143" t="str">
        <f t="shared" si="383"/>
        <v> </v>
      </c>
      <c r="V327" s="143" t="str">
        <f t="shared" si="384"/>
        <v> </v>
      </c>
      <c r="W327" s="5"/>
      <c r="X327" s="5"/>
      <c r="Y327" s="5"/>
      <c r="Z327" s="5"/>
      <c r="AA327" s="5"/>
    </row>
    <row r="328" ht="12.75" customHeight="1">
      <c r="A328" s="136"/>
      <c r="B328" s="144" t="s">
        <v>5</v>
      </c>
      <c r="C328" s="138">
        <v>0.7</v>
      </c>
      <c r="D328" s="139">
        <v>3.0</v>
      </c>
      <c r="E328" s="140">
        <v>1.0</v>
      </c>
      <c r="F328" s="140">
        <f>'1RM'!$C$5*C328</f>
        <v>70</v>
      </c>
      <c r="G328" s="141"/>
      <c r="H328" s="142"/>
      <c r="I328" s="141">
        <f t="shared" si="378"/>
        <v>3</v>
      </c>
      <c r="J328" s="142">
        <f t="shared" si="379"/>
        <v>210</v>
      </c>
      <c r="K328" s="141"/>
      <c r="L328" s="42"/>
      <c r="M328" s="5"/>
      <c r="N328" s="5"/>
      <c r="O328" s="5"/>
      <c r="P328" s="5"/>
      <c r="Q328" s="5"/>
      <c r="R328" s="143" t="str">
        <f t="shared" si="380"/>
        <v> </v>
      </c>
      <c r="S328" s="143" t="str">
        <f t="shared" si="381"/>
        <v> </v>
      </c>
      <c r="T328" s="143">
        <f t="shared" si="382"/>
        <v>3</v>
      </c>
      <c r="U328" s="143" t="str">
        <f t="shared" si="383"/>
        <v> </v>
      </c>
      <c r="V328" s="143" t="str">
        <f t="shared" si="384"/>
        <v> </v>
      </c>
      <c r="W328" s="5"/>
      <c r="X328" s="5"/>
      <c r="Y328" s="5"/>
      <c r="Z328" s="5"/>
      <c r="AA328" s="5"/>
    </row>
    <row r="329" ht="12.75" customHeight="1">
      <c r="A329" s="136"/>
      <c r="B329" s="144" t="s">
        <v>5</v>
      </c>
      <c r="C329" s="138">
        <v>0.8</v>
      </c>
      <c r="D329" s="139">
        <v>5.0</v>
      </c>
      <c r="E329" s="140">
        <v>5.0</v>
      </c>
      <c r="F329" s="140">
        <f>'1RM'!$C$5*C329</f>
        <v>80</v>
      </c>
      <c r="G329" s="141"/>
      <c r="H329" s="142"/>
      <c r="I329" s="141">
        <f t="shared" si="378"/>
        <v>25</v>
      </c>
      <c r="J329" s="142">
        <f t="shared" si="379"/>
        <v>2000</v>
      </c>
      <c r="K329" s="141"/>
      <c r="L329" s="42"/>
      <c r="M329" s="5"/>
      <c r="N329" s="5"/>
      <c r="O329" s="5"/>
      <c r="P329" s="5"/>
      <c r="Q329" s="5"/>
      <c r="R329" s="143" t="str">
        <f t="shared" si="380"/>
        <v> </v>
      </c>
      <c r="S329" s="143" t="str">
        <f t="shared" si="381"/>
        <v> </v>
      </c>
      <c r="T329" s="143" t="str">
        <f t="shared" si="382"/>
        <v> </v>
      </c>
      <c r="U329" s="143">
        <f t="shared" si="383"/>
        <v>25</v>
      </c>
      <c r="V329" s="143" t="str">
        <f t="shared" si="384"/>
        <v> </v>
      </c>
      <c r="W329" s="5"/>
      <c r="X329" s="5"/>
      <c r="Y329" s="5"/>
      <c r="Z329" s="5"/>
      <c r="AA329" s="5"/>
    </row>
    <row r="330" ht="12.75" customHeight="1">
      <c r="A330" s="152">
        <v>3.0</v>
      </c>
      <c r="B330" s="153" t="s">
        <v>55</v>
      </c>
      <c r="C330" s="154"/>
      <c r="D330" s="155">
        <v>10.0</v>
      </c>
      <c r="E330" s="156">
        <v>5.0</v>
      </c>
      <c r="F330" s="156"/>
      <c r="G330" s="141"/>
      <c r="H330" s="142"/>
      <c r="I330" s="141"/>
      <c r="J330" s="142"/>
      <c r="K330" s="141"/>
      <c r="L330" s="42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2.75" customHeight="1">
      <c r="A331" s="164">
        <v>4.0</v>
      </c>
      <c r="B331" s="165" t="s">
        <v>65</v>
      </c>
      <c r="C331" s="166"/>
      <c r="D331" s="167">
        <v>8.0</v>
      </c>
      <c r="E331" s="168">
        <v>4.0</v>
      </c>
      <c r="F331" s="168"/>
      <c r="G331" s="141"/>
      <c r="H331" s="142"/>
      <c r="I331" s="141"/>
      <c r="J331" s="142"/>
      <c r="K331" s="141"/>
      <c r="L331" s="42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2.75" customHeight="1">
      <c r="A332" s="33"/>
      <c r="B332" s="134"/>
      <c r="C332" s="133"/>
      <c r="D332" s="42"/>
      <c r="E332" s="42"/>
      <c r="F332" s="42"/>
      <c r="G332" s="141"/>
      <c r="H332" s="142"/>
      <c r="I332" s="141"/>
      <c r="J332" s="142"/>
      <c r="K332" s="141"/>
      <c r="L332" s="42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2.75" customHeight="1">
      <c r="A333" s="33" t="s">
        <v>57</v>
      </c>
      <c r="B333" s="134"/>
      <c r="C333" s="135" t="s">
        <v>20</v>
      </c>
      <c r="D333" s="45" t="s">
        <v>51</v>
      </c>
      <c r="E333" s="45" t="s">
        <v>52</v>
      </c>
      <c r="F333" s="45" t="s">
        <v>53</v>
      </c>
      <c r="G333" s="141"/>
      <c r="H333" s="142"/>
      <c r="I333" s="141"/>
      <c r="J333" s="142"/>
      <c r="K333" s="141"/>
      <c r="L333" s="42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2.75" customHeight="1">
      <c r="A334" s="157">
        <v>1.0</v>
      </c>
      <c r="B334" s="158" t="s">
        <v>67</v>
      </c>
      <c r="C334" s="159">
        <v>0.5</v>
      </c>
      <c r="D334" s="160">
        <v>4.0</v>
      </c>
      <c r="E334" s="161">
        <v>1.0</v>
      </c>
      <c r="F334" s="161">
        <f>'1RM'!$C$6*C334</f>
        <v>50</v>
      </c>
      <c r="G334" s="141"/>
      <c r="H334" s="142"/>
      <c r="I334" s="141"/>
      <c r="J334" s="142"/>
      <c r="K334" s="141">
        <f t="shared" ref="K334:K336" si="385">D334*E334</f>
        <v>4</v>
      </c>
      <c r="L334" s="42">
        <f t="shared" ref="L334:L336" si="386">F334*K334</f>
        <v>200</v>
      </c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162">
        <f t="shared" ref="W334:W336" si="387">IF(ISNUMBER(SEARCH("Peso muerto",$B334)),IF($C334&gt;=0.5,IF($C334&lt;0.6,$D334*$E334," ")," ")," ")</f>
        <v>4</v>
      </c>
      <c r="X334" s="162" t="str">
        <f t="shared" ref="X334:X336" si="388">IF(ISNUMBER(SEARCH("Peso muerto",$B334)),IF($C334&gt;=0.6,IF($C334&lt;0.7,$D334*$E334," ")," ")," ")</f>
        <v> </v>
      </c>
      <c r="Y334" s="162" t="str">
        <f t="shared" ref="Y334:Y336" si="389">IF(ISNUMBER(SEARCH("Peso muerto",$B334)),IF($C334&gt;=0.7,IF($C334&lt;0.8,$D334*$E334," ")," ")," ")</f>
        <v> </v>
      </c>
      <c r="Z334" s="162" t="str">
        <f t="shared" ref="Z334:Z336" si="390">IF(ISNUMBER(SEARCH("Peso muerto",$B334)),IF($C334&gt;=0.8,IF($C334&lt;0.9,$D334*$E334," ")," ")," ")</f>
        <v> </v>
      </c>
      <c r="AA334" s="162" t="str">
        <f t="shared" ref="AA334:AA336" si="391">IF(ISNUMBER(SEARCH("Peso muerto",$B334)),IF($C334&gt;=0.9,$D334*$E334," ")," ")</f>
        <v> </v>
      </c>
    </row>
    <row r="335" ht="12.75" customHeight="1">
      <c r="A335" s="157"/>
      <c r="B335" s="163" t="s">
        <v>67</v>
      </c>
      <c r="C335" s="159">
        <v>0.6</v>
      </c>
      <c r="D335" s="160">
        <v>4.0</v>
      </c>
      <c r="E335" s="161">
        <v>1.0</v>
      </c>
      <c r="F335" s="161">
        <f>'1RM'!$C$6*C335</f>
        <v>60</v>
      </c>
      <c r="G335" s="141"/>
      <c r="H335" s="142"/>
      <c r="I335" s="141"/>
      <c r="J335" s="142"/>
      <c r="K335" s="141">
        <f t="shared" si="385"/>
        <v>4</v>
      </c>
      <c r="L335" s="42">
        <f t="shared" si="386"/>
        <v>240</v>
      </c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162" t="str">
        <f t="shared" si="387"/>
        <v> </v>
      </c>
      <c r="X335" s="162">
        <f t="shared" si="388"/>
        <v>4</v>
      </c>
      <c r="Y335" s="162" t="str">
        <f t="shared" si="389"/>
        <v> </v>
      </c>
      <c r="Z335" s="162" t="str">
        <f t="shared" si="390"/>
        <v> </v>
      </c>
      <c r="AA335" s="162" t="str">
        <f t="shared" si="391"/>
        <v> </v>
      </c>
    </row>
    <row r="336" ht="12.75" customHeight="1">
      <c r="A336" s="157"/>
      <c r="B336" s="163" t="s">
        <v>67</v>
      </c>
      <c r="C336" s="159">
        <v>0.65</v>
      </c>
      <c r="D336" s="160">
        <v>3.0</v>
      </c>
      <c r="E336" s="161">
        <v>2.0</v>
      </c>
      <c r="F336" s="161">
        <f>'1RM'!$C$6*C336</f>
        <v>65</v>
      </c>
      <c r="G336" s="141"/>
      <c r="H336" s="142"/>
      <c r="I336" s="141"/>
      <c r="J336" s="142"/>
      <c r="K336" s="141">
        <f t="shared" si="385"/>
        <v>6</v>
      </c>
      <c r="L336" s="42">
        <f t="shared" si="386"/>
        <v>390</v>
      </c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162" t="str">
        <f t="shared" si="387"/>
        <v> </v>
      </c>
      <c r="X336" s="162">
        <f t="shared" si="388"/>
        <v>6</v>
      </c>
      <c r="Y336" s="162" t="str">
        <f t="shared" si="389"/>
        <v> </v>
      </c>
      <c r="Z336" s="162" t="str">
        <f t="shared" si="390"/>
        <v> </v>
      </c>
      <c r="AA336" s="162" t="str">
        <f t="shared" si="391"/>
        <v> </v>
      </c>
    </row>
    <row r="337" ht="12.75" customHeight="1">
      <c r="A337" s="136">
        <v>2.0</v>
      </c>
      <c r="B337" s="137" t="s">
        <v>5</v>
      </c>
      <c r="C337" s="138">
        <v>0.5</v>
      </c>
      <c r="D337" s="139">
        <v>5.0</v>
      </c>
      <c r="E337" s="140">
        <v>1.0</v>
      </c>
      <c r="F337" s="140">
        <f>'1RM'!$C$5*C337</f>
        <v>50</v>
      </c>
      <c r="G337" s="141"/>
      <c r="H337" s="142"/>
      <c r="I337" s="141">
        <f t="shared" ref="I337:I345" si="392">D337*E337</f>
        <v>5</v>
      </c>
      <c r="J337" s="142">
        <f t="shared" ref="J337:J345" si="393">F337*I337</f>
        <v>250</v>
      </c>
      <c r="K337" s="141"/>
      <c r="L337" s="42"/>
      <c r="M337" s="5"/>
      <c r="N337" s="5"/>
      <c r="O337" s="5"/>
      <c r="P337" s="5"/>
      <c r="Q337" s="5"/>
      <c r="R337" s="143">
        <f t="shared" ref="R337:R345" si="394">IF(ISNUMBER(SEARCH("Press de banca",$B337)),IF($C337&gt;=0.5,IF($C337&lt;0.6,$D337*$E337," ")," ")," ")</f>
        <v>5</v>
      </c>
      <c r="S337" s="143" t="str">
        <f t="shared" ref="S337:S345" si="395">IF(ISNUMBER(SEARCH("Press de banca",$B337)),IF($C337&gt;=0.6,IF($C337&lt;0.7,$D337*$E337," ")," ")," ")</f>
        <v> </v>
      </c>
      <c r="T337" s="143" t="str">
        <f t="shared" ref="T337:T345" si="396">IF(ISNUMBER(SEARCH("Press de banca",$B337)),IF($C337&gt;=0.7,IF($C337&lt;0.8,$D337*$E337," ")," ")," ")</f>
        <v> </v>
      </c>
      <c r="U337" s="143" t="str">
        <f t="shared" ref="U337:U345" si="397">IF(ISNUMBER(SEARCH("Press de banca",$B337)),IF($C337&gt;=0.8,IF($C337&lt;0.9,$D337*$E337," ")," ")," ")</f>
        <v> </v>
      </c>
      <c r="V337" s="143" t="str">
        <f t="shared" ref="V337:V345" si="398">IF(ISNUMBER(SEARCH("Press de banca",$B337)),IF($C337&gt;=0.9,$D337*$E337," ")," ")</f>
        <v> </v>
      </c>
      <c r="W337" s="5"/>
      <c r="X337" s="5"/>
      <c r="Y337" s="5"/>
      <c r="Z337" s="5"/>
      <c r="AA337" s="5"/>
    </row>
    <row r="338" ht="12.75" customHeight="1">
      <c r="A338" s="136"/>
      <c r="B338" s="144" t="s">
        <v>5</v>
      </c>
      <c r="C338" s="138">
        <v>0.6</v>
      </c>
      <c r="D338" s="139">
        <v>5.0</v>
      </c>
      <c r="E338" s="140">
        <v>1.0</v>
      </c>
      <c r="F338" s="140">
        <f>'1RM'!$C$5*C338</f>
        <v>60</v>
      </c>
      <c r="G338" s="141"/>
      <c r="H338" s="142"/>
      <c r="I338" s="141">
        <f t="shared" si="392"/>
        <v>5</v>
      </c>
      <c r="J338" s="142">
        <f t="shared" si="393"/>
        <v>300</v>
      </c>
      <c r="K338" s="141"/>
      <c r="L338" s="42"/>
      <c r="M338" s="5"/>
      <c r="N338" s="5"/>
      <c r="O338" s="5"/>
      <c r="P338" s="5"/>
      <c r="Q338" s="5"/>
      <c r="R338" s="143" t="str">
        <f t="shared" si="394"/>
        <v> </v>
      </c>
      <c r="S338" s="143">
        <f t="shared" si="395"/>
        <v>5</v>
      </c>
      <c r="T338" s="143" t="str">
        <f t="shared" si="396"/>
        <v> </v>
      </c>
      <c r="U338" s="143" t="str">
        <f t="shared" si="397"/>
        <v> </v>
      </c>
      <c r="V338" s="143" t="str">
        <f t="shared" si="398"/>
        <v> </v>
      </c>
      <c r="W338" s="5"/>
      <c r="X338" s="5"/>
      <c r="Y338" s="5"/>
      <c r="Z338" s="5"/>
      <c r="AA338" s="5"/>
    </row>
    <row r="339" ht="12.75" customHeight="1">
      <c r="A339" s="136"/>
      <c r="B339" s="144" t="s">
        <v>5</v>
      </c>
      <c r="C339" s="138">
        <v>0.7</v>
      </c>
      <c r="D339" s="139">
        <v>5.0</v>
      </c>
      <c r="E339" s="140">
        <v>1.0</v>
      </c>
      <c r="F339" s="140">
        <f>'1RM'!$C$5*C339</f>
        <v>70</v>
      </c>
      <c r="G339" s="141"/>
      <c r="H339" s="142"/>
      <c r="I339" s="141">
        <f t="shared" si="392"/>
        <v>5</v>
      </c>
      <c r="J339" s="142">
        <f t="shared" si="393"/>
        <v>350</v>
      </c>
      <c r="K339" s="141"/>
      <c r="L339" s="42"/>
      <c r="M339" s="5"/>
      <c r="N339" s="5"/>
      <c r="O339" s="5"/>
      <c r="P339" s="5"/>
      <c r="Q339" s="5"/>
      <c r="R339" s="143" t="str">
        <f t="shared" si="394"/>
        <v> </v>
      </c>
      <c r="S339" s="143" t="str">
        <f t="shared" si="395"/>
        <v> </v>
      </c>
      <c r="T339" s="143">
        <f t="shared" si="396"/>
        <v>5</v>
      </c>
      <c r="U339" s="143" t="str">
        <f t="shared" si="397"/>
        <v> </v>
      </c>
      <c r="V339" s="143" t="str">
        <f t="shared" si="398"/>
        <v> </v>
      </c>
      <c r="W339" s="5"/>
      <c r="X339" s="5"/>
      <c r="Y339" s="5"/>
      <c r="Z339" s="5"/>
      <c r="AA339" s="5"/>
    </row>
    <row r="340" ht="12.75" customHeight="1">
      <c r="A340" s="136"/>
      <c r="B340" s="144" t="s">
        <v>5</v>
      </c>
      <c r="C340" s="138">
        <v>0.7</v>
      </c>
      <c r="D340" s="139">
        <v>8.0</v>
      </c>
      <c r="E340" s="140">
        <v>1.0</v>
      </c>
      <c r="F340" s="140">
        <f>'1RM'!$C$5*C340</f>
        <v>70</v>
      </c>
      <c r="G340" s="141"/>
      <c r="H340" s="142"/>
      <c r="I340" s="141">
        <f t="shared" si="392"/>
        <v>8</v>
      </c>
      <c r="J340" s="142">
        <f t="shared" si="393"/>
        <v>560</v>
      </c>
      <c r="K340" s="141"/>
      <c r="L340" s="42"/>
      <c r="M340" s="5"/>
      <c r="N340" s="5"/>
      <c r="O340" s="5"/>
      <c r="P340" s="5"/>
      <c r="Q340" s="5"/>
      <c r="R340" s="143" t="str">
        <f t="shared" si="394"/>
        <v> </v>
      </c>
      <c r="S340" s="143" t="str">
        <f t="shared" si="395"/>
        <v> </v>
      </c>
      <c r="T340" s="143">
        <f t="shared" si="396"/>
        <v>8</v>
      </c>
      <c r="U340" s="143" t="str">
        <f t="shared" si="397"/>
        <v> </v>
      </c>
      <c r="V340" s="143" t="str">
        <f t="shared" si="398"/>
        <v> </v>
      </c>
      <c r="W340" s="5"/>
      <c r="X340" s="5"/>
      <c r="Y340" s="5"/>
      <c r="Z340" s="5"/>
      <c r="AA340" s="5"/>
    </row>
    <row r="341" ht="12.75" customHeight="1">
      <c r="A341" s="136"/>
      <c r="B341" s="144" t="s">
        <v>5</v>
      </c>
      <c r="C341" s="138">
        <v>0.7</v>
      </c>
      <c r="D341" s="139">
        <v>5.0</v>
      </c>
      <c r="E341" s="140">
        <v>1.0</v>
      </c>
      <c r="F341" s="140">
        <f>'1RM'!$C$5*C341</f>
        <v>70</v>
      </c>
      <c r="G341" s="141"/>
      <c r="H341" s="142"/>
      <c r="I341" s="141">
        <f t="shared" si="392"/>
        <v>5</v>
      </c>
      <c r="J341" s="142">
        <f t="shared" si="393"/>
        <v>350</v>
      </c>
      <c r="K341" s="141"/>
      <c r="L341" s="42"/>
      <c r="M341" s="5"/>
      <c r="N341" s="5"/>
      <c r="O341" s="5"/>
      <c r="P341" s="5"/>
      <c r="Q341" s="5"/>
      <c r="R341" s="143" t="str">
        <f t="shared" si="394"/>
        <v> </v>
      </c>
      <c r="S341" s="143" t="str">
        <f t="shared" si="395"/>
        <v> </v>
      </c>
      <c r="T341" s="143">
        <f t="shared" si="396"/>
        <v>5</v>
      </c>
      <c r="U341" s="143" t="str">
        <f t="shared" si="397"/>
        <v> </v>
      </c>
      <c r="V341" s="143" t="str">
        <f t="shared" si="398"/>
        <v> </v>
      </c>
      <c r="W341" s="5"/>
      <c r="X341" s="5"/>
      <c r="Y341" s="5"/>
      <c r="Z341" s="5"/>
      <c r="AA341" s="5"/>
    </row>
    <row r="342" ht="12.75" customHeight="1">
      <c r="A342" s="136"/>
      <c r="B342" s="144" t="s">
        <v>5</v>
      </c>
      <c r="C342" s="138">
        <v>0.7</v>
      </c>
      <c r="D342" s="139">
        <v>8.0</v>
      </c>
      <c r="E342" s="140">
        <v>1.0</v>
      </c>
      <c r="F342" s="140">
        <f>'1RM'!$C$5*C342</f>
        <v>70</v>
      </c>
      <c r="G342" s="141"/>
      <c r="H342" s="142"/>
      <c r="I342" s="141">
        <f t="shared" si="392"/>
        <v>8</v>
      </c>
      <c r="J342" s="142">
        <f t="shared" si="393"/>
        <v>560</v>
      </c>
      <c r="K342" s="141"/>
      <c r="L342" s="42"/>
      <c r="M342" s="5"/>
      <c r="N342" s="5"/>
      <c r="O342" s="5"/>
      <c r="P342" s="5"/>
      <c r="Q342" s="5"/>
      <c r="R342" s="143" t="str">
        <f t="shared" si="394"/>
        <v> </v>
      </c>
      <c r="S342" s="143" t="str">
        <f t="shared" si="395"/>
        <v> </v>
      </c>
      <c r="T342" s="143">
        <f t="shared" si="396"/>
        <v>8</v>
      </c>
      <c r="U342" s="143" t="str">
        <f t="shared" si="397"/>
        <v> </v>
      </c>
      <c r="V342" s="143" t="str">
        <f t="shared" si="398"/>
        <v> </v>
      </c>
      <c r="W342" s="5"/>
      <c r="X342" s="5"/>
      <c r="Y342" s="5"/>
      <c r="Z342" s="5"/>
      <c r="AA342" s="5"/>
    </row>
    <row r="343" ht="12.75" customHeight="1">
      <c r="A343" s="136"/>
      <c r="B343" s="144" t="s">
        <v>5</v>
      </c>
      <c r="C343" s="138">
        <v>0.7</v>
      </c>
      <c r="D343" s="139">
        <v>5.0</v>
      </c>
      <c r="E343" s="140">
        <v>1.0</v>
      </c>
      <c r="F343" s="140">
        <f>'1RM'!$C$5*C343</f>
        <v>70</v>
      </c>
      <c r="G343" s="141"/>
      <c r="H343" s="142"/>
      <c r="I343" s="141">
        <f t="shared" si="392"/>
        <v>5</v>
      </c>
      <c r="J343" s="142">
        <f t="shared" si="393"/>
        <v>350</v>
      </c>
      <c r="K343" s="141"/>
      <c r="L343" s="42"/>
      <c r="M343" s="5"/>
      <c r="N343" s="5"/>
      <c r="O343" s="5"/>
      <c r="P343" s="5"/>
      <c r="Q343" s="5"/>
      <c r="R343" s="143" t="str">
        <f t="shared" si="394"/>
        <v> </v>
      </c>
      <c r="S343" s="143" t="str">
        <f t="shared" si="395"/>
        <v> </v>
      </c>
      <c r="T343" s="143">
        <f t="shared" si="396"/>
        <v>5</v>
      </c>
      <c r="U343" s="143" t="str">
        <f t="shared" si="397"/>
        <v> </v>
      </c>
      <c r="V343" s="143" t="str">
        <f t="shared" si="398"/>
        <v> </v>
      </c>
      <c r="W343" s="5"/>
      <c r="X343" s="5"/>
      <c r="Y343" s="5"/>
      <c r="Z343" s="5"/>
      <c r="AA343" s="5"/>
    </row>
    <row r="344" ht="12.75" customHeight="1">
      <c r="A344" s="136"/>
      <c r="B344" s="144" t="s">
        <v>5</v>
      </c>
      <c r="C344" s="138">
        <v>0.7</v>
      </c>
      <c r="D344" s="139">
        <v>8.0</v>
      </c>
      <c r="E344" s="140">
        <v>1.0</v>
      </c>
      <c r="F344" s="140">
        <f>'1RM'!$C$5*C344</f>
        <v>70</v>
      </c>
      <c r="G344" s="141"/>
      <c r="H344" s="142"/>
      <c r="I344" s="141">
        <f t="shared" si="392"/>
        <v>8</v>
      </c>
      <c r="J344" s="142">
        <f t="shared" si="393"/>
        <v>560</v>
      </c>
      <c r="K344" s="141"/>
      <c r="L344" s="42"/>
      <c r="M344" s="5"/>
      <c r="N344" s="5"/>
      <c r="O344" s="5"/>
      <c r="P344" s="5"/>
      <c r="Q344" s="5"/>
      <c r="R344" s="143" t="str">
        <f t="shared" si="394"/>
        <v> </v>
      </c>
      <c r="S344" s="143" t="str">
        <f t="shared" si="395"/>
        <v> </v>
      </c>
      <c r="T344" s="143">
        <f t="shared" si="396"/>
        <v>8</v>
      </c>
      <c r="U344" s="143" t="str">
        <f t="shared" si="397"/>
        <v> </v>
      </c>
      <c r="V344" s="143" t="str">
        <f t="shared" si="398"/>
        <v> </v>
      </c>
      <c r="W344" s="5"/>
      <c r="X344" s="5"/>
      <c r="Y344" s="5"/>
      <c r="Z344" s="5"/>
      <c r="AA344" s="5"/>
    </row>
    <row r="345" ht="12.75" customHeight="1">
      <c r="A345" s="136"/>
      <c r="B345" s="144" t="s">
        <v>5</v>
      </c>
      <c r="C345" s="138">
        <v>0.7</v>
      </c>
      <c r="D345" s="139">
        <v>5.0</v>
      </c>
      <c r="E345" s="140">
        <v>1.0</v>
      </c>
      <c r="F345" s="140">
        <f>'1RM'!$C$5*C345</f>
        <v>70</v>
      </c>
      <c r="G345" s="141"/>
      <c r="H345" s="142"/>
      <c r="I345" s="141">
        <f t="shared" si="392"/>
        <v>5</v>
      </c>
      <c r="J345" s="142">
        <f t="shared" si="393"/>
        <v>350</v>
      </c>
      <c r="K345" s="141"/>
      <c r="L345" s="42"/>
      <c r="M345" s="5"/>
      <c r="N345" s="5"/>
      <c r="O345" s="5"/>
      <c r="P345" s="5"/>
      <c r="Q345" s="5"/>
      <c r="R345" s="143" t="str">
        <f t="shared" si="394"/>
        <v> </v>
      </c>
      <c r="S345" s="143" t="str">
        <f t="shared" si="395"/>
        <v> </v>
      </c>
      <c r="T345" s="143">
        <f t="shared" si="396"/>
        <v>5</v>
      </c>
      <c r="U345" s="143" t="str">
        <f t="shared" si="397"/>
        <v> </v>
      </c>
      <c r="V345" s="143" t="str">
        <f t="shared" si="398"/>
        <v> </v>
      </c>
      <c r="W345" s="5"/>
      <c r="X345" s="5"/>
      <c r="Y345" s="5"/>
      <c r="Z345" s="5"/>
      <c r="AA345" s="5"/>
    </row>
    <row r="346" ht="12.75" customHeight="1">
      <c r="A346" s="157">
        <v>3.0</v>
      </c>
      <c r="B346" s="158" t="s">
        <v>6</v>
      </c>
      <c r="C346" s="159">
        <v>0.5</v>
      </c>
      <c r="D346" s="160">
        <v>3.0</v>
      </c>
      <c r="E346" s="161">
        <v>1.0</v>
      </c>
      <c r="F346" s="161">
        <f>'1RM'!$C$6*C346</f>
        <v>50</v>
      </c>
      <c r="G346" s="141"/>
      <c r="H346" s="142"/>
      <c r="I346" s="141"/>
      <c r="J346" s="142"/>
      <c r="K346" s="141">
        <f t="shared" ref="K346:K349" si="399">D346*E346</f>
        <v>3</v>
      </c>
      <c r="L346" s="42">
        <f t="shared" ref="L346:L349" si="400">F346*K346</f>
        <v>150</v>
      </c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162">
        <f t="shared" ref="W346:W349" si="401">IF(ISNUMBER(SEARCH("Peso muerto",$B346)),IF($C346&gt;=0.5,IF($C346&lt;0.6,$D346*$E346," ")," ")," ")</f>
        <v>3</v>
      </c>
      <c r="X346" s="162" t="str">
        <f t="shared" ref="X346:X349" si="402">IF(ISNUMBER(SEARCH("Peso muerto",$B346)),IF($C346&gt;=0.6,IF($C346&lt;0.7,$D346*$E346," ")," ")," ")</f>
        <v> </v>
      </c>
      <c r="Y346" s="162" t="str">
        <f t="shared" ref="Y346:Y349" si="403">IF(ISNUMBER(SEARCH("Peso muerto",$B346)),IF($C346&gt;=0.7,IF($C346&lt;0.8,$D346*$E346," ")," ")," ")</f>
        <v> </v>
      </c>
      <c r="Z346" s="162" t="str">
        <f t="shared" ref="Z346:Z349" si="404">IF(ISNUMBER(SEARCH("Peso muerto",$B346)),IF($C346&gt;=0.8,IF($C346&lt;0.9,$D346*$E346," ")," ")," ")</f>
        <v> </v>
      </c>
      <c r="AA346" s="162" t="str">
        <f t="shared" ref="AA346:AA349" si="405">IF(ISNUMBER(SEARCH("Peso muerto",$B346)),IF($C346&gt;=0.9,$D346*$E346," ")," ")</f>
        <v> </v>
      </c>
    </row>
    <row r="347" ht="12.75" customHeight="1">
      <c r="A347" s="157"/>
      <c r="B347" s="163" t="s">
        <v>6</v>
      </c>
      <c r="C347" s="159">
        <v>0.6</v>
      </c>
      <c r="D347" s="160">
        <v>3.0</v>
      </c>
      <c r="E347" s="161">
        <v>1.0</v>
      </c>
      <c r="F347" s="161">
        <f>'1RM'!$C$6*C347</f>
        <v>60</v>
      </c>
      <c r="G347" s="141"/>
      <c r="H347" s="142"/>
      <c r="I347" s="141"/>
      <c r="J347" s="142"/>
      <c r="K347" s="141">
        <f t="shared" si="399"/>
        <v>3</v>
      </c>
      <c r="L347" s="42">
        <f t="shared" si="400"/>
        <v>180</v>
      </c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162" t="str">
        <f t="shared" si="401"/>
        <v> </v>
      </c>
      <c r="X347" s="162">
        <f t="shared" si="402"/>
        <v>3</v>
      </c>
      <c r="Y347" s="162" t="str">
        <f t="shared" si="403"/>
        <v> </v>
      </c>
      <c r="Z347" s="162" t="str">
        <f t="shared" si="404"/>
        <v> </v>
      </c>
      <c r="AA347" s="162" t="str">
        <f t="shared" si="405"/>
        <v> </v>
      </c>
    </row>
    <row r="348" ht="12.75" customHeight="1">
      <c r="A348" s="157"/>
      <c r="B348" s="163" t="s">
        <v>6</v>
      </c>
      <c r="C348" s="159">
        <v>0.7</v>
      </c>
      <c r="D348" s="160">
        <v>3.0</v>
      </c>
      <c r="E348" s="161">
        <v>1.0</v>
      </c>
      <c r="F348" s="161">
        <f>'1RM'!$C$6*C348</f>
        <v>70</v>
      </c>
      <c r="G348" s="141"/>
      <c r="H348" s="142"/>
      <c r="I348" s="141"/>
      <c r="J348" s="142"/>
      <c r="K348" s="141">
        <f t="shared" si="399"/>
        <v>3</v>
      </c>
      <c r="L348" s="42">
        <f t="shared" si="400"/>
        <v>210</v>
      </c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162" t="str">
        <f t="shared" si="401"/>
        <v> </v>
      </c>
      <c r="X348" s="162" t="str">
        <f t="shared" si="402"/>
        <v> </v>
      </c>
      <c r="Y348" s="162">
        <f t="shared" si="403"/>
        <v>3</v>
      </c>
      <c r="Z348" s="162" t="str">
        <f t="shared" si="404"/>
        <v> </v>
      </c>
      <c r="AA348" s="162" t="str">
        <f t="shared" si="405"/>
        <v> </v>
      </c>
    </row>
    <row r="349" ht="12.75" customHeight="1">
      <c r="A349" s="157"/>
      <c r="B349" s="163" t="s">
        <v>6</v>
      </c>
      <c r="C349" s="159">
        <v>0.8</v>
      </c>
      <c r="D349" s="160">
        <v>5.0</v>
      </c>
      <c r="E349" s="161">
        <v>5.0</v>
      </c>
      <c r="F349" s="161">
        <f>'1RM'!$C$6*C349</f>
        <v>80</v>
      </c>
      <c r="G349" s="141"/>
      <c r="H349" s="142"/>
      <c r="I349" s="141"/>
      <c r="J349" s="142"/>
      <c r="K349" s="141">
        <f t="shared" si="399"/>
        <v>25</v>
      </c>
      <c r="L349" s="42">
        <f t="shared" si="400"/>
        <v>2000</v>
      </c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162" t="str">
        <f t="shared" si="401"/>
        <v> </v>
      </c>
      <c r="X349" s="162" t="str">
        <f t="shared" si="402"/>
        <v> </v>
      </c>
      <c r="Y349" s="162" t="str">
        <f t="shared" si="403"/>
        <v> </v>
      </c>
      <c r="Z349" s="162">
        <f t="shared" si="404"/>
        <v>25</v>
      </c>
      <c r="AA349" s="162" t="str">
        <f t="shared" si="405"/>
        <v> </v>
      </c>
    </row>
    <row r="350" ht="12.75" customHeight="1">
      <c r="A350" s="152">
        <v>4.0</v>
      </c>
      <c r="B350" s="153" t="s">
        <v>74</v>
      </c>
      <c r="C350" s="154"/>
      <c r="D350" s="156">
        <v>10.0</v>
      </c>
      <c r="E350" s="156">
        <v>5.0</v>
      </c>
      <c r="F350" s="156"/>
      <c r="G350" s="141"/>
      <c r="H350" s="142"/>
      <c r="I350" s="141"/>
      <c r="J350" s="142"/>
      <c r="K350" s="141"/>
      <c r="L350" s="42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2.75" customHeight="1">
      <c r="A351" s="152">
        <v>5.0</v>
      </c>
      <c r="B351" s="153" t="s">
        <v>60</v>
      </c>
      <c r="C351" s="154"/>
      <c r="D351" s="155">
        <v>10.0</v>
      </c>
      <c r="E351" s="156">
        <v>4.0</v>
      </c>
      <c r="F351" s="156"/>
      <c r="G351" s="141"/>
      <c r="H351" s="142"/>
      <c r="I351" s="141"/>
      <c r="J351" s="142"/>
      <c r="K351" s="141"/>
      <c r="L351" s="42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2.75" customHeight="1">
      <c r="A352" s="33"/>
      <c r="B352" s="134"/>
      <c r="C352" s="133"/>
      <c r="D352" s="42"/>
      <c r="E352" s="42"/>
      <c r="F352" s="42"/>
      <c r="G352" s="141"/>
      <c r="H352" s="142"/>
      <c r="I352" s="141"/>
      <c r="J352" s="142"/>
      <c r="K352" s="141"/>
      <c r="L352" s="42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2.75" customHeight="1">
      <c r="A353" s="33" t="s">
        <v>62</v>
      </c>
      <c r="B353" s="134"/>
      <c r="C353" s="135" t="s">
        <v>20</v>
      </c>
      <c r="D353" s="45" t="s">
        <v>51</v>
      </c>
      <c r="E353" s="45" t="s">
        <v>52</v>
      </c>
      <c r="F353" s="45" t="s">
        <v>53</v>
      </c>
      <c r="G353" s="141"/>
      <c r="H353" s="142"/>
      <c r="I353" s="141"/>
      <c r="J353" s="142"/>
      <c r="K353" s="141"/>
      <c r="L353" s="42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2.75" customHeight="1">
      <c r="A354" s="145">
        <v>1.0</v>
      </c>
      <c r="B354" s="146" t="s">
        <v>4</v>
      </c>
      <c r="C354" s="147">
        <v>0.5</v>
      </c>
      <c r="D354" s="148">
        <v>5.0</v>
      </c>
      <c r="E354" s="149">
        <v>1.0</v>
      </c>
      <c r="F354" s="149">
        <f>'1RM'!$C$4*C354</f>
        <v>50</v>
      </c>
      <c r="G354" s="141">
        <f t="shared" ref="G354:G357" si="406">D354*E354</f>
        <v>5</v>
      </c>
      <c r="H354" s="142">
        <f t="shared" ref="H354:H357" si="407">F354*G354</f>
        <v>250</v>
      </c>
      <c r="I354" s="141"/>
      <c r="J354" s="142"/>
      <c r="K354" s="141"/>
      <c r="L354" s="42"/>
      <c r="M354" s="150">
        <f t="shared" ref="M354:M357" si="408">IF(ISNUMBER(SEARCH("Sentadilla",$B354)),IF($C354&gt;=0.5,IF($C354&lt;0.6,$D354*$E354," ")," ")," ")</f>
        <v>5</v>
      </c>
      <c r="N354" s="150" t="str">
        <f t="shared" ref="N354:N357" si="409">IF(ISNUMBER(SEARCH("Sentadilla",$B354)),IF($C354&gt;=0.6,IF($C354&lt;0.7,$D354*$E354," ")," ")," ")</f>
        <v> </v>
      </c>
      <c r="O354" s="150" t="str">
        <f t="shared" ref="O354:O357" si="410">IF(ISNUMBER(SEARCH("Sentadilla",$B354)),IF($C354&gt;=0.7,IF($C354&lt;0.8,$D354*$E354," ")," ")," ")</f>
        <v> </v>
      </c>
      <c r="P354" s="150" t="str">
        <f t="shared" ref="P354:P357" si="411">IF(ISNUMBER(SEARCH("Sentadilla",$B354)),IF($C354&gt;=0.8,IF($C354&lt;0.9,$D354*$E354," ")," ")," ")</f>
        <v> </v>
      </c>
      <c r="Q354" s="150" t="str">
        <f t="shared" ref="Q354:Q357" si="412">IF(ISNUMBER(SEARCH("Sentadilla",$B354)),IF($C354&gt;=0.9,$D354*$E354," ")," ")</f>
        <v> </v>
      </c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2.75" customHeight="1">
      <c r="A355" s="145"/>
      <c r="B355" s="151" t="s">
        <v>4</v>
      </c>
      <c r="C355" s="147">
        <v>0.6</v>
      </c>
      <c r="D355" s="148">
        <v>4.0</v>
      </c>
      <c r="E355" s="149">
        <v>1.0</v>
      </c>
      <c r="F355" s="149">
        <f>'1RM'!$C$4*C355</f>
        <v>60</v>
      </c>
      <c r="G355" s="141">
        <f t="shared" si="406"/>
        <v>4</v>
      </c>
      <c r="H355" s="142">
        <f t="shared" si="407"/>
        <v>240</v>
      </c>
      <c r="I355" s="141"/>
      <c r="J355" s="142"/>
      <c r="K355" s="141"/>
      <c r="L355" s="42"/>
      <c r="M355" s="150" t="str">
        <f t="shared" si="408"/>
        <v> </v>
      </c>
      <c r="N355" s="150">
        <f t="shared" si="409"/>
        <v>4</v>
      </c>
      <c r="O355" s="150" t="str">
        <f t="shared" si="410"/>
        <v> </v>
      </c>
      <c r="P355" s="150" t="str">
        <f t="shared" si="411"/>
        <v> </v>
      </c>
      <c r="Q355" s="150" t="str">
        <f t="shared" si="412"/>
        <v> </v>
      </c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2.75" customHeight="1">
      <c r="A356" s="145"/>
      <c r="B356" s="151" t="s">
        <v>4</v>
      </c>
      <c r="C356" s="147">
        <v>0.7</v>
      </c>
      <c r="D356" s="148">
        <v>3.0</v>
      </c>
      <c r="E356" s="149">
        <v>1.0</v>
      </c>
      <c r="F356" s="149">
        <f>'1RM'!$C$4*C356</f>
        <v>70</v>
      </c>
      <c r="G356" s="141">
        <f t="shared" si="406"/>
        <v>3</v>
      </c>
      <c r="H356" s="142">
        <f t="shared" si="407"/>
        <v>210</v>
      </c>
      <c r="I356" s="141"/>
      <c r="J356" s="142"/>
      <c r="K356" s="141"/>
      <c r="L356" s="42"/>
      <c r="M356" s="150" t="str">
        <f t="shared" si="408"/>
        <v> </v>
      </c>
      <c r="N356" s="150" t="str">
        <f t="shared" si="409"/>
        <v> </v>
      </c>
      <c r="O356" s="150">
        <f t="shared" si="410"/>
        <v>3</v>
      </c>
      <c r="P356" s="150" t="str">
        <f t="shared" si="411"/>
        <v> </v>
      </c>
      <c r="Q356" s="150" t="str">
        <f t="shared" si="412"/>
        <v> </v>
      </c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2.75" customHeight="1">
      <c r="A357" s="145"/>
      <c r="B357" s="151" t="s">
        <v>4</v>
      </c>
      <c r="C357" s="147">
        <v>0.8</v>
      </c>
      <c r="D357" s="148">
        <v>5.0</v>
      </c>
      <c r="E357" s="149">
        <v>4.0</v>
      </c>
      <c r="F357" s="149">
        <f>'1RM'!$C$4*C357</f>
        <v>80</v>
      </c>
      <c r="G357" s="141">
        <f t="shared" si="406"/>
        <v>20</v>
      </c>
      <c r="H357" s="142">
        <f t="shared" si="407"/>
        <v>1600</v>
      </c>
      <c r="I357" s="141"/>
      <c r="J357" s="142"/>
      <c r="K357" s="141"/>
      <c r="L357" s="42"/>
      <c r="M357" s="150" t="str">
        <f t="shared" si="408"/>
        <v> </v>
      </c>
      <c r="N357" s="150" t="str">
        <f t="shared" si="409"/>
        <v> </v>
      </c>
      <c r="O357" s="150" t="str">
        <f t="shared" si="410"/>
        <v> </v>
      </c>
      <c r="P357" s="150">
        <f t="shared" si="411"/>
        <v>20</v>
      </c>
      <c r="Q357" s="150" t="str">
        <f t="shared" si="412"/>
        <v> </v>
      </c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2.75" customHeight="1">
      <c r="A358" s="136">
        <v>2.0</v>
      </c>
      <c r="B358" s="137" t="s">
        <v>5</v>
      </c>
      <c r="C358" s="138">
        <v>0.5</v>
      </c>
      <c r="D358" s="139">
        <v>5.0</v>
      </c>
      <c r="E358" s="140">
        <v>1.0</v>
      </c>
      <c r="F358" s="140">
        <f>'1RM'!$C$5*C358</f>
        <v>50</v>
      </c>
      <c r="G358" s="141"/>
      <c r="H358" s="142"/>
      <c r="I358" s="141">
        <f t="shared" ref="I358:I361" si="413">D358*E358</f>
        <v>5</v>
      </c>
      <c r="J358" s="142">
        <f t="shared" ref="J358:J361" si="414">F358*I358</f>
        <v>250</v>
      </c>
      <c r="K358" s="141"/>
      <c r="L358" s="42"/>
      <c r="M358" s="5"/>
      <c r="N358" s="5"/>
      <c r="O358" s="5"/>
      <c r="P358" s="5"/>
      <c r="Q358" s="5"/>
      <c r="R358" s="143">
        <f t="shared" ref="R358:R361" si="415">IF(ISNUMBER(SEARCH("Press de banca",$B358)),IF($C358&gt;=0.5,IF($C358&lt;0.6,$D358*$E358," ")," ")," ")</f>
        <v>5</v>
      </c>
      <c r="S358" s="143" t="str">
        <f t="shared" ref="S358:S361" si="416">IF(ISNUMBER(SEARCH("Press de banca",$B358)),IF($C358&gt;=0.6,IF($C358&lt;0.7,$D358*$E358," ")," ")," ")</f>
        <v> </v>
      </c>
      <c r="T358" s="143" t="str">
        <f t="shared" ref="T358:T361" si="417">IF(ISNUMBER(SEARCH("Press de banca",$B358)),IF($C358&gt;=0.7,IF($C358&lt;0.8,$D358*$E358," ")," ")," ")</f>
        <v> </v>
      </c>
      <c r="U358" s="143" t="str">
        <f t="shared" ref="U358:U361" si="418">IF(ISNUMBER(SEARCH("Press de banca",$B358)),IF($C358&gt;=0.8,IF($C358&lt;0.9,$D358*$E358," ")," ")," ")</f>
        <v> </v>
      </c>
      <c r="V358" s="143" t="str">
        <f t="shared" ref="V358:V361" si="419">IF(ISNUMBER(SEARCH("Press de banca",$B358)),IF($C358&gt;=0.9,$D358*$E358," ")," ")</f>
        <v> </v>
      </c>
      <c r="W358" s="5"/>
      <c r="X358" s="5"/>
      <c r="Y358" s="5"/>
      <c r="Z358" s="5"/>
      <c r="AA358" s="5"/>
    </row>
    <row r="359" ht="12.75" customHeight="1">
      <c r="A359" s="136"/>
      <c r="B359" s="144" t="s">
        <v>5</v>
      </c>
      <c r="C359" s="138">
        <v>0.6</v>
      </c>
      <c r="D359" s="139">
        <v>4.0</v>
      </c>
      <c r="E359" s="140">
        <v>1.0</v>
      </c>
      <c r="F359" s="140">
        <f>'1RM'!$C$5*C359</f>
        <v>60</v>
      </c>
      <c r="G359" s="141"/>
      <c r="H359" s="142"/>
      <c r="I359" s="141">
        <f t="shared" si="413"/>
        <v>4</v>
      </c>
      <c r="J359" s="142">
        <f t="shared" si="414"/>
        <v>240</v>
      </c>
      <c r="K359" s="141"/>
      <c r="L359" s="42"/>
      <c r="M359" s="5"/>
      <c r="N359" s="5"/>
      <c r="O359" s="5"/>
      <c r="P359" s="5"/>
      <c r="Q359" s="5"/>
      <c r="R359" s="143" t="str">
        <f t="shared" si="415"/>
        <v> </v>
      </c>
      <c r="S359" s="143">
        <f t="shared" si="416"/>
        <v>4</v>
      </c>
      <c r="T359" s="143" t="str">
        <f t="shared" si="417"/>
        <v> </v>
      </c>
      <c r="U359" s="143" t="str">
        <f t="shared" si="418"/>
        <v> </v>
      </c>
      <c r="V359" s="143" t="str">
        <f t="shared" si="419"/>
        <v> </v>
      </c>
      <c r="W359" s="5"/>
      <c r="X359" s="5"/>
      <c r="Y359" s="5"/>
      <c r="Z359" s="5"/>
      <c r="AA359" s="5"/>
    </row>
    <row r="360" ht="12.75" customHeight="1">
      <c r="A360" s="136"/>
      <c r="B360" s="144" t="s">
        <v>5</v>
      </c>
      <c r="C360" s="138">
        <v>0.7</v>
      </c>
      <c r="D360" s="139">
        <v>3.0</v>
      </c>
      <c r="E360" s="140">
        <v>1.0</v>
      </c>
      <c r="F360" s="140">
        <f>'1RM'!$C$5*C360</f>
        <v>70</v>
      </c>
      <c r="G360" s="141"/>
      <c r="H360" s="142"/>
      <c r="I360" s="141">
        <f t="shared" si="413"/>
        <v>3</v>
      </c>
      <c r="J360" s="142">
        <f t="shared" si="414"/>
        <v>210</v>
      </c>
      <c r="K360" s="141"/>
      <c r="L360" s="42"/>
      <c r="M360" s="5"/>
      <c r="N360" s="5"/>
      <c r="O360" s="5"/>
      <c r="P360" s="5"/>
      <c r="Q360" s="5"/>
      <c r="R360" s="143" t="str">
        <f t="shared" si="415"/>
        <v> </v>
      </c>
      <c r="S360" s="143" t="str">
        <f t="shared" si="416"/>
        <v> </v>
      </c>
      <c r="T360" s="143">
        <f t="shared" si="417"/>
        <v>3</v>
      </c>
      <c r="U360" s="143" t="str">
        <f t="shared" si="418"/>
        <v> </v>
      </c>
      <c r="V360" s="143" t="str">
        <f t="shared" si="419"/>
        <v> </v>
      </c>
      <c r="W360" s="5"/>
      <c r="X360" s="5"/>
      <c r="Y360" s="5"/>
      <c r="Z360" s="5"/>
      <c r="AA360" s="5"/>
    </row>
    <row r="361" ht="12.75" customHeight="1">
      <c r="A361" s="136"/>
      <c r="B361" s="144" t="s">
        <v>5</v>
      </c>
      <c r="C361" s="138">
        <v>0.75</v>
      </c>
      <c r="D361" s="139">
        <v>7.0</v>
      </c>
      <c r="E361" s="140">
        <v>5.0</v>
      </c>
      <c r="F361" s="140">
        <f>'1RM'!$C$5*C361</f>
        <v>75</v>
      </c>
      <c r="G361" s="141"/>
      <c r="H361" s="142"/>
      <c r="I361" s="141">
        <f t="shared" si="413"/>
        <v>35</v>
      </c>
      <c r="J361" s="142">
        <f t="shared" si="414"/>
        <v>2625</v>
      </c>
      <c r="K361" s="141"/>
      <c r="L361" s="42"/>
      <c r="M361" s="5"/>
      <c r="N361" s="5"/>
      <c r="O361" s="5"/>
      <c r="P361" s="5"/>
      <c r="Q361" s="5"/>
      <c r="R361" s="143" t="str">
        <f t="shared" si="415"/>
        <v> </v>
      </c>
      <c r="S361" s="143" t="str">
        <f t="shared" si="416"/>
        <v> </v>
      </c>
      <c r="T361" s="143">
        <f t="shared" si="417"/>
        <v>35</v>
      </c>
      <c r="U361" s="143" t="str">
        <f t="shared" si="418"/>
        <v> </v>
      </c>
      <c r="V361" s="143" t="str">
        <f t="shared" si="419"/>
        <v> </v>
      </c>
      <c r="W361" s="5"/>
      <c r="X361" s="5"/>
      <c r="Y361" s="5"/>
      <c r="Z361" s="5"/>
      <c r="AA361" s="5"/>
    </row>
    <row r="362" ht="12.75" customHeight="1">
      <c r="A362" s="145">
        <v>3.0</v>
      </c>
      <c r="B362" s="146" t="s">
        <v>4</v>
      </c>
      <c r="C362" s="147">
        <v>0.5</v>
      </c>
      <c r="D362" s="148">
        <v>5.0</v>
      </c>
      <c r="E362" s="149">
        <v>1.0</v>
      </c>
      <c r="F362" s="149">
        <f>'1RM'!$C$4*C362</f>
        <v>50</v>
      </c>
      <c r="G362" s="141">
        <f t="shared" ref="G362:G364" si="420">D362*E362</f>
        <v>5</v>
      </c>
      <c r="H362" s="142">
        <f t="shared" ref="H362:H364" si="421">F362*G362</f>
        <v>250</v>
      </c>
      <c r="I362" s="141"/>
      <c r="J362" s="142"/>
      <c r="K362" s="141"/>
      <c r="L362" s="42"/>
      <c r="M362" s="150">
        <f t="shared" ref="M362:M364" si="422">IF(ISNUMBER(SEARCH("Sentadilla",$B362)),IF($C362&gt;=0.5,IF($C362&lt;0.6,$D362*$E362," ")," ")," ")</f>
        <v>5</v>
      </c>
      <c r="N362" s="150" t="str">
        <f t="shared" ref="N362:N364" si="423">IF(ISNUMBER(SEARCH("Sentadilla",$B362)),IF($C362&gt;=0.6,IF($C362&lt;0.7,$D362*$E362," ")," ")," ")</f>
        <v> </v>
      </c>
      <c r="O362" s="150" t="str">
        <f t="shared" ref="O362:O364" si="424">IF(ISNUMBER(SEARCH("Sentadilla",$B362)),IF($C362&gt;=0.7,IF($C362&lt;0.8,$D362*$E362," ")," ")," ")</f>
        <v> </v>
      </c>
      <c r="P362" s="150" t="str">
        <f t="shared" ref="P362:P364" si="425">IF(ISNUMBER(SEARCH("Sentadilla",$B362)),IF($C362&gt;=0.8,IF($C362&lt;0.9,$D362*$E362," ")," ")," ")</f>
        <v> </v>
      </c>
      <c r="Q362" s="150" t="str">
        <f t="shared" ref="Q362:Q364" si="426">IF(ISNUMBER(SEARCH("Sentadilla",$B362)),IF($C362&gt;=0.9,$D362*$E362," ")," ")</f>
        <v> </v>
      </c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2.75" customHeight="1">
      <c r="A363" s="145"/>
      <c r="B363" s="151" t="s">
        <v>4</v>
      </c>
      <c r="C363" s="147">
        <v>0.6</v>
      </c>
      <c r="D363" s="148">
        <v>5.0</v>
      </c>
      <c r="E363" s="149">
        <v>1.0</v>
      </c>
      <c r="F363" s="149">
        <f>'1RM'!$C$4*C363</f>
        <v>60</v>
      </c>
      <c r="G363" s="141">
        <f t="shared" si="420"/>
        <v>5</v>
      </c>
      <c r="H363" s="142">
        <f t="shared" si="421"/>
        <v>300</v>
      </c>
      <c r="I363" s="141"/>
      <c r="J363" s="142"/>
      <c r="K363" s="141"/>
      <c r="L363" s="42"/>
      <c r="M363" s="150" t="str">
        <f t="shared" si="422"/>
        <v> </v>
      </c>
      <c r="N363" s="150">
        <f t="shared" si="423"/>
        <v>5</v>
      </c>
      <c r="O363" s="150" t="str">
        <f t="shared" si="424"/>
        <v> </v>
      </c>
      <c r="P363" s="150" t="str">
        <f t="shared" si="425"/>
        <v> </v>
      </c>
      <c r="Q363" s="150" t="str">
        <f t="shared" si="426"/>
        <v> </v>
      </c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2.75" customHeight="1">
      <c r="A364" s="145"/>
      <c r="B364" s="151" t="s">
        <v>4</v>
      </c>
      <c r="C364" s="147">
        <v>0.7</v>
      </c>
      <c r="D364" s="148">
        <v>6.0</v>
      </c>
      <c r="E364" s="149">
        <v>4.0</v>
      </c>
      <c r="F364" s="149">
        <f>'1RM'!$C$4*C364</f>
        <v>70</v>
      </c>
      <c r="G364" s="141">
        <f t="shared" si="420"/>
        <v>24</v>
      </c>
      <c r="H364" s="142">
        <f t="shared" si="421"/>
        <v>1680</v>
      </c>
      <c r="I364" s="141"/>
      <c r="J364" s="142"/>
      <c r="K364" s="141"/>
      <c r="L364" s="42"/>
      <c r="M364" s="150" t="str">
        <f t="shared" si="422"/>
        <v> </v>
      </c>
      <c r="N364" s="150" t="str">
        <f t="shared" si="423"/>
        <v> </v>
      </c>
      <c r="O364" s="150">
        <f t="shared" si="424"/>
        <v>24</v>
      </c>
      <c r="P364" s="150" t="str">
        <f t="shared" si="425"/>
        <v> </v>
      </c>
      <c r="Q364" s="150" t="str">
        <f t="shared" si="426"/>
        <v> </v>
      </c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2.75" customHeight="1">
      <c r="A365" s="152">
        <v>4.0</v>
      </c>
      <c r="B365" s="153" t="s">
        <v>55</v>
      </c>
      <c r="C365" s="154"/>
      <c r="D365" s="155">
        <v>10.0</v>
      </c>
      <c r="E365" s="156">
        <v>5.0</v>
      </c>
      <c r="F365" s="156"/>
      <c r="G365" s="141"/>
      <c r="H365" s="142"/>
      <c r="I365" s="141"/>
      <c r="J365" s="142"/>
      <c r="K365" s="141"/>
      <c r="L365" s="42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2.75" customHeight="1">
      <c r="A366" s="152">
        <v>5.0</v>
      </c>
      <c r="B366" s="153" t="s">
        <v>56</v>
      </c>
      <c r="C366" s="154"/>
      <c r="D366" s="155">
        <v>8.0</v>
      </c>
      <c r="E366" s="156">
        <v>4.0</v>
      </c>
      <c r="F366" s="156"/>
      <c r="G366" s="141"/>
      <c r="H366" s="142"/>
      <c r="I366" s="141"/>
      <c r="J366" s="142"/>
      <c r="K366" s="141"/>
      <c r="L366" s="42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2.75" customHeight="1">
      <c r="A367" s="33"/>
      <c r="B367" s="134"/>
      <c r="C367" s="135"/>
      <c r="D367" s="45"/>
      <c r="E367" s="45"/>
      <c r="F367" s="45"/>
      <c r="G367" s="141"/>
      <c r="H367" s="142"/>
      <c r="I367" s="141"/>
      <c r="J367" s="142"/>
      <c r="K367" s="141"/>
      <c r="L367" s="42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2.75" customHeight="1">
      <c r="A368" s="33" t="s">
        <v>66</v>
      </c>
      <c r="B368" s="134"/>
      <c r="C368" s="135" t="s">
        <v>20</v>
      </c>
      <c r="D368" s="45" t="s">
        <v>51</v>
      </c>
      <c r="E368" s="45" t="s">
        <v>52</v>
      </c>
      <c r="F368" s="45" t="s">
        <v>53</v>
      </c>
      <c r="G368" s="141"/>
      <c r="H368" s="142"/>
      <c r="I368" s="141"/>
      <c r="J368" s="142"/>
      <c r="K368" s="141"/>
      <c r="L368" s="42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2.75" customHeight="1">
      <c r="A369" s="157">
        <v>1.0</v>
      </c>
      <c r="B369" s="158" t="s">
        <v>96</v>
      </c>
      <c r="C369" s="159">
        <v>0.5</v>
      </c>
      <c r="D369" s="160">
        <v>3.0</v>
      </c>
      <c r="E369" s="161">
        <v>1.0</v>
      </c>
      <c r="F369" s="161">
        <f>'1RM'!$C$6*C369</f>
        <v>50</v>
      </c>
      <c r="G369" s="141"/>
      <c r="H369" s="142"/>
      <c r="I369" s="141"/>
      <c r="J369" s="142"/>
      <c r="K369" s="141">
        <f t="shared" ref="K369:K372" si="427">D369*E369</f>
        <v>3</v>
      </c>
      <c r="L369" s="42">
        <f t="shared" ref="L369:L372" si="428">F369*K369</f>
        <v>150</v>
      </c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162">
        <f t="shared" ref="W369:W372" si="429">IF(ISNUMBER(SEARCH("Peso muerto",$B369)),IF($C369&gt;=0.5,IF($C369&lt;0.6,$D369*$E369," ")," ")," ")</f>
        <v>3</v>
      </c>
      <c r="X369" s="162" t="str">
        <f t="shared" ref="X369:X372" si="430">IF(ISNUMBER(SEARCH("Peso muerto",$B369)),IF($C369&gt;=0.6,IF($C369&lt;0.7,$D369*$E369," ")," ")," ")</f>
        <v> </v>
      </c>
      <c r="Y369" s="162" t="str">
        <f t="shared" ref="Y369:Y372" si="431">IF(ISNUMBER(SEARCH("Peso muerto",$B369)),IF($C369&gt;=0.7,IF($C369&lt;0.8,$D369*$E369," ")," ")," ")</f>
        <v> </v>
      </c>
      <c r="Z369" s="162" t="str">
        <f t="shared" ref="Z369:Z372" si="432">IF(ISNUMBER(SEARCH("Peso muerto",$B369)),IF($C369&gt;=0.8,IF($C369&lt;0.9,$D369*$E369," ")," ")," ")</f>
        <v> </v>
      </c>
      <c r="AA369" s="162" t="str">
        <f t="shared" ref="AA369:AA372" si="433">IF(ISNUMBER(SEARCH("Peso muerto",$B369)),IF($C369&gt;=0.9,$D369*$E369," ")," ")</f>
        <v> </v>
      </c>
    </row>
    <row r="370" ht="12.75" customHeight="1">
      <c r="A370" s="157"/>
      <c r="B370" s="163" t="s">
        <v>96</v>
      </c>
      <c r="C370" s="159">
        <v>0.6</v>
      </c>
      <c r="D370" s="160">
        <v>3.0</v>
      </c>
      <c r="E370" s="161">
        <v>1.0</v>
      </c>
      <c r="F370" s="161">
        <f>'1RM'!$C$6*C370</f>
        <v>60</v>
      </c>
      <c r="G370" s="141"/>
      <c r="H370" s="142"/>
      <c r="I370" s="141"/>
      <c r="J370" s="142"/>
      <c r="K370" s="141">
        <f t="shared" si="427"/>
        <v>3</v>
      </c>
      <c r="L370" s="42">
        <f t="shared" si="428"/>
        <v>180</v>
      </c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162" t="str">
        <f t="shared" si="429"/>
        <v> </v>
      </c>
      <c r="X370" s="162">
        <f t="shared" si="430"/>
        <v>3</v>
      </c>
      <c r="Y370" s="162" t="str">
        <f t="shared" si="431"/>
        <v> </v>
      </c>
      <c r="Z370" s="162" t="str">
        <f t="shared" si="432"/>
        <v> </v>
      </c>
      <c r="AA370" s="162" t="str">
        <f t="shared" si="433"/>
        <v> </v>
      </c>
    </row>
    <row r="371" ht="12.75" customHeight="1">
      <c r="A371" s="157"/>
      <c r="B371" s="163" t="s">
        <v>96</v>
      </c>
      <c r="C371" s="159">
        <v>0.7</v>
      </c>
      <c r="D371" s="160">
        <v>3.0</v>
      </c>
      <c r="E371" s="161">
        <v>1.0</v>
      </c>
      <c r="F371" s="161">
        <f>'1RM'!$C$6*C371</f>
        <v>70</v>
      </c>
      <c r="G371" s="141"/>
      <c r="H371" s="142"/>
      <c r="I371" s="141"/>
      <c r="J371" s="142"/>
      <c r="K371" s="141">
        <f t="shared" si="427"/>
        <v>3</v>
      </c>
      <c r="L371" s="42">
        <f t="shared" si="428"/>
        <v>210</v>
      </c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162" t="str">
        <f t="shared" si="429"/>
        <v> </v>
      </c>
      <c r="X371" s="162" t="str">
        <f t="shared" si="430"/>
        <v> </v>
      </c>
      <c r="Y371" s="162">
        <f t="shared" si="431"/>
        <v>3</v>
      </c>
      <c r="Z371" s="162" t="str">
        <f t="shared" si="432"/>
        <v> </v>
      </c>
      <c r="AA371" s="162" t="str">
        <f t="shared" si="433"/>
        <v> </v>
      </c>
    </row>
    <row r="372" ht="12.75" customHeight="1">
      <c r="A372" s="157"/>
      <c r="B372" s="163" t="s">
        <v>96</v>
      </c>
      <c r="C372" s="159">
        <v>0.75</v>
      </c>
      <c r="D372" s="160">
        <v>3.0</v>
      </c>
      <c r="E372" s="161">
        <v>4.0</v>
      </c>
      <c r="F372" s="161">
        <f>'1RM'!$C$6*C372</f>
        <v>75</v>
      </c>
      <c r="G372" s="141"/>
      <c r="H372" s="142"/>
      <c r="I372" s="141"/>
      <c r="J372" s="142"/>
      <c r="K372" s="141">
        <f t="shared" si="427"/>
        <v>12</v>
      </c>
      <c r="L372" s="42">
        <f t="shared" si="428"/>
        <v>900</v>
      </c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162" t="str">
        <f t="shared" si="429"/>
        <v> </v>
      </c>
      <c r="X372" s="162" t="str">
        <f t="shared" si="430"/>
        <v> </v>
      </c>
      <c r="Y372" s="162">
        <f t="shared" si="431"/>
        <v>12</v>
      </c>
      <c r="Z372" s="162" t="str">
        <f t="shared" si="432"/>
        <v> </v>
      </c>
      <c r="AA372" s="162" t="str">
        <f t="shared" si="433"/>
        <v> </v>
      </c>
    </row>
    <row r="373" ht="12.75" customHeight="1">
      <c r="A373" s="136">
        <v>2.0</v>
      </c>
      <c r="B373" s="137" t="s">
        <v>5</v>
      </c>
      <c r="C373" s="138">
        <v>0.5</v>
      </c>
      <c r="D373" s="139">
        <v>4.0</v>
      </c>
      <c r="E373" s="140">
        <v>1.0</v>
      </c>
      <c r="F373" s="140">
        <f>'1RM'!$C$5*C373</f>
        <v>50</v>
      </c>
      <c r="G373" s="141"/>
      <c r="H373" s="142"/>
      <c r="I373" s="141">
        <f t="shared" ref="I373:I375" si="434">D373*E373</f>
        <v>4</v>
      </c>
      <c r="J373" s="142">
        <f t="shared" ref="J373:J375" si="435">F373*I373</f>
        <v>200</v>
      </c>
      <c r="K373" s="141"/>
      <c r="L373" s="42"/>
      <c r="M373" s="5"/>
      <c r="N373" s="5"/>
      <c r="O373" s="5"/>
      <c r="P373" s="5"/>
      <c r="Q373" s="5"/>
      <c r="R373" s="143">
        <f t="shared" ref="R373:R375" si="436">IF(ISNUMBER(SEARCH("Press de banca",$B373)),IF($C373&gt;=0.5,IF($C373&lt;0.6,$D373*$E373," ")," ")," ")</f>
        <v>4</v>
      </c>
      <c r="S373" s="143" t="str">
        <f t="shared" ref="S373:S375" si="437">IF(ISNUMBER(SEARCH("Press de banca",$B373)),IF($C373&gt;=0.6,IF($C373&lt;0.7,$D373*$E373," ")," ")," ")</f>
        <v> </v>
      </c>
      <c r="T373" s="143" t="str">
        <f t="shared" ref="T373:T375" si="438">IF(ISNUMBER(SEARCH("Press de banca",$B373)),IF($C373&gt;=0.7,IF($C373&lt;0.8,$D373*$E373," ")," ")," ")</f>
        <v> </v>
      </c>
      <c r="U373" s="143" t="str">
        <f t="shared" ref="U373:U375" si="439">IF(ISNUMBER(SEARCH("Press de banca",$B373)),IF($C373&gt;=0.8,IF($C373&lt;0.9,$D373*$E373," ")," ")," ")</f>
        <v> </v>
      </c>
      <c r="V373" s="143" t="str">
        <f t="shared" ref="V373:V375" si="440">IF(ISNUMBER(SEARCH("Press de banca",$B373)),IF($C373&gt;=0.9,$D373*$E373," ")," ")</f>
        <v> </v>
      </c>
      <c r="W373" s="5"/>
      <c r="X373" s="5"/>
      <c r="Y373" s="5"/>
      <c r="Z373" s="5"/>
      <c r="AA373" s="5"/>
    </row>
    <row r="374" ht="12.75" customHeight="1">
      <c r="A374" s="136"/>
      <c r="B374" s="144" t="s">
        <v>5</v>
      </c>
      <c r="C374" s="138">
        <v>0.6</v>
      </c>
      <c r="D374" s="139">
        <v>4.0</v>
      </c>
      <c r="E374" s="140">
        <v>1.0</v>
      </c>
      <c r="F374" s="140">
        <f>'1RM'!$C$5*C374</f>
        <v>60</v>
      </c>
      <c r="G374" s="141"/>
      <c r="H374" s="142"/>
      <c r="I374" s="141">
        <f t="shared" si="434"/>
        <v>4</v>
      </c>
      <c r="J374" s="142">
        <f t="shared" si="435"/>
        <v>240</v>
      </c>
      <c r="K374" s="141"/>
      <c r="L374" s="42"/>
      <c r="M374" s="5"/>
      <c r="N374" s="5"/>
      <c r="O374" s="5"/>
      <c r="P374" s="5"/>
      <c r="Q374" s="5"/>
      <c r="R374" s="143" t="str">
        <f t="shared" si="436"/>
        <v> </v>
      </c>
      <c r="S374" s="143">
        <f t="shared" si="437"/>
        <v>4</v>
      </c>
      <c r="T374" s="143" t="str">
        <f t="shared" si="438"/>
        <v> </v>
      </c>
      <c r="U374" s="143" t="str">
        <f t="shared" si="439"/>
        <v> </v>
      </c>
      <c r="V374" s="143" t="str">
        <f t="shared" si="440"/>
        <v> </v>
      </c>
      <c r="W374" s="5"/>
      <c r="X374" s="5"/>
      <c r="Y374" s="5"/>
      <c r="Z374" s="5"/>
      <c r="AA374" s="5"/>
    </row>
    <row r="375" ht="12.75" customHeight="1">
      <c r="A375" s="136"/>
      <c r="B375" s="144" t="s">
        <v>5</v>
      </c>
      <c r="C375" s="138">
        <v>0.7</v>
      </c>
      <c r="D375" s="139">
        <v>8.0</v>
      </c>
      <c r="E375" s="140">
        <v>4.0</v>
      </c>
      <c r="F375" s="140">
        <f>'1RM'!$C$5*C375</f>
        <v>70</v>
      </c>
      <c r="G375" s="141"/>
      <c r="H375" s="142"/>
      <c r="I375" s="141">
        <f t="shared" si="434"/>
        <v>32</v>
      </c>
      <c r="J375" s="142">
        <f t="shared" si="435"/>
        <v>2240</v>
      </c>
      <c r="K375" s="141"/>
      <c r="L375" s="42"/>
      <c r="M375" s="5"/>
      <c r="N375" s="5"/>
      <c r="O375" s="5"/>
      <c r="P375" s="5"/>
      <c r="Q375" s="5"/>
      <c r="R375" s="143" t="str">
        <f t="shared" si="436"/>
        <v> </v>
      </c>
      <c r="S375" s="143" t="str">
        <f t="shared" si="437"/>
        <v> </v>
      </c>
      <c r="T375" s="143">
        <f t="shared" si="438"/>
        <v>32</v>
      </c>
      <c r="U375" s="143" t="str">
        <f t="shared" si="439"/>
        <v> </v>
      </c>
      <c r="V375" s="143" t="str">
        <f t="shared" si="440"/>
        <v> </v>
      </c>
      <c r="W375" s="5"/>
      <c r="X375" s="5"/>
      <c r="Y375" s="5"/>
      <c r="Z375" s="5"/>
      <c r="AA375" s="5"/>
    </row>
    <row r="376" ht="12.75" customHeight="1">
      <c r="A376" s="157">
        <v>3.0</v>
      </c>
      <c r="B376" s="158" t="s">
        <v>77</v>
      </c>
      <c r="C376" s="159">
        <v>0.5</v>
      </c>
      <c r="D376" s="160">
        <v>3.0</v>
      </c>
      <c r="E376" s="161">
        <v>1.0</v>
      </c>
      <c r="F376" s="161">
        <f>'1RM'!$C$6*C376</f>
        <v>50</v>
      </c>
      <c r="G376" s="141"/>
      <c r="H376" s="142"/>
      <c r="I376" s="141"/>
      <c r="J376" s="142"/>
      <c r="K376" s="141">
        <f t="shared" ref="K376:K379" si="441">D376*E376</f>
        <v>3</v>
      </c>
      <c r="L376" s="42">
        <f t="shared" ref="L376:L379" si="442">F376*K376</f>
        <v>150</v>
      </c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162">
        <f t="shared" ref="W376:W379" si="443">IF(ISNUMBER(SEARCH("Peso muerto",$B376)),IF($C376&gt;=0.5,IF($C376&lt;0.6,$D376*$E376," ")," ")," ")</f>
        <v>3</v>
      </c>
      <c r="X376" s="162" t="str">
        <f t="shared" ref="X376:X379" si="444">IF(ISNUMBER(SEARCH("Peso muerto",$B376)),IF($C376&gt;=0.6,IF($C376&lt;0.7,$D376*$E376," ")," ")," ")</f>
        <v> </v>
      </c>
      <c r="Y376" s="162" t="str">
        <f t="shared" ref="Y376:Y379" si="445">IF(ISNUMBER(SEARCH("Peso muerto",$B376)),IF($C376&gt;=0.7,IF($C376&lt;0.8,$D376*$E376," ")," ")," ")</f>
        <v> </v>
      </c>
      <c r="Z376" s="162" t="str">
        <f t="shared" ref="Z376:Z379" si="446">IF(ISNUMBER(SEARCH("Peso muerto",$B376)),IF($C376&gt;=0.8,IF($C376&lt;0.9,$D376*$E376," ")," ")," ")</f>
        <v> </v>
      </c>
      <c r="AA376" s="162" t="str">
        <f t="shared" ref="AA376:AA379" si="447">IF(ISNUMBER(SEARCH("Peso muerto",$B376)),IF($C376&gt;=0.9,$D376*$E376," ")," ")</f>
        <v> </v>
      </c>
    </row>
    <row r="377" ht="12.75" customHeight="1">
      <c r="A377" s="157"/>
      <c r="B377" s="163" t="s">
        <v>77</v>
      </c>
      <c r="C377" s="159">
        <v>0.6</v>
      </c>
      <c r="D377" s="160">
        <v>3.0</v>
      </c>
      <c r="E377" s="161">
        <v>1.0</v>
      </c>
      <c r="F377" s="161">
        <f>'1RM'!$C$6*C377</f>
        <v>60</v>
      </c>
      <c r="G377" s="141"/>
      <c r="H377" s="142"/>
      <c r="I377" s="141"/>
      <c r="J377" s="142"/>
      <c r="K377" s="141">
        <f t="shared" si="441"/>
        <v>3</v>
      </c>
      <c r="L377" s="42">
        <f t="shared" si="442"/>
        <v>180</v>
      </c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162" t="str">
        <f t="shared" si="443"/>
        <v> </v>
      </c>
      <c r="X377" s="162">
        <f t="shared" si="444"/>
        <v>3</v>
      </c>
      <c r="Y377" s="162" t="str">
        <f t="shared" si="445"/>
        <v> </v>
      </c>
      <c r="Z377" s="162" t="str">
        <f t="shared" si="446"/>
        <v> </v>
      </c>
      <c r="AA377" s="162" t="str">
        <f t="shared" si="447"/>
        <v> </v>
      </c>
    </row>
    <row r="378" ht="12.75" customHeight="1">
      <c r="A378" s="157"/>
      <c r="B378" s="163" t="s">
        <v>77</v>
      </c>
      <c r="C378" s="159">
        <v>0.7</v>
      </c>
      <c r="D378" s="160">
        <v>3.0</v>
      </c>
      <c r="E378" s="161">
        <v>1.0</v>
      </c>
      <c r="F378" s="161">
        <f>'1RM'!$C$6*C378</f>
        <v>70</v>
      </c>
      <c r="G378" s="141"/>
      <c r="H378" s="142"/>
      <c r="I378" s="141"/>
      <c r="J378" s="142"/>
      <c r="K378" s="141">
        <f t="shared" si="441"/>
        <v>3</v>
      </c>
      <c r="L378" s="42">
        <f t="shared" si="442"/>
        <v>210</v>
      </c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162" t="str">
        <f t="shared" si="443"/>
        <v> </v>
      </c>
      <c r="X378" s="162" t="str">
        <f t="shared" si="444"/>
        <v> </v>
      </c>
      <c r="Y378" s="162">
        <f t="shared" si="445"/>
        <v>3</v>
      </c>
      <c r="Z378" s="162" t="str">
        <f t="shared" si="446"/>
        <v> </v>
      </c>
      <c r="AA378" s="162" t="str">
        <f t="shared" si="447"/>
        <v> </v>
      </c>
    </row>
    <row r="379" ht="12.75" customHeight="1">
      <c r="A379" s="157"/>
      <c r="B379" s="163" t="s">
        <v>77</v>
      </c>
      <c r="C379" s="159">
        <v>0.75</v>
      </c>
      <c r="D379" s="160">
        <v>3.0</v>
      </c>
      <c r="E379" s="161">
        <v>4.0</v>
      </c>
      <c r="F379" s="161">
        <f>'1RM'!$C$6*C379</f>
        <v>75</v>
      </c>
      <c r="G379" s="141"/>
      <c r="H379" s="142"/>
      <c r="I379" s="141"/>
      <c r="J379" s="142"/>
      <c r="K379" s="141">
        <f t="shared" si="441"/>
        <v>12</v>
      </c>
      <c r="L379" s="42">
        <f t="shared" si="442"/>
        <v>900</v>
      </c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162" t="str">
        <f t="shared" si="443"/>
        <v> </v>
      </c>
      <c r="X379" s="162" t="str">
        <f t="shared" si="444"/>
        <v> </v>
      </c>
      <c r="Y379" s="162">
        <f t="shared" si="445"/>
        <v>12</v>
      </c>
      <c r="Z379" s="162" t="str">
        <f t="shared" si="446"/>
        <v> </v>
      </c>
      <c r="AA379" s="162" t="str">
        <f t="shared" si="447"/>
        <v> </v>
      </c>
    </row>
    <row r="380" ht="12.75" customHeight="1">
      <c r="A380" s="152">
        <v>4.0</v>
      </c>
      <c r="B380" s="153" t="s">
        <v>69</v>
      </c>
      <c r="C380" s="154"/>
      <c r="D380" s="155">
        <v>10.0</v>
      </c>
      <c r="E380" s="156">
        <v>5.0</v>
      </c>
      <c r="F380" s="156"/>
      <c r="G380" s="141"/>
      <c r="H380" s="142"/>
      <c r="I380" s="141"/>
      <c r="J380" s="142"/>
      <c r="K380" s="141"/>
      <c r="L380" s="42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2.75" customHeight="1">
      <c r="A381" s="152">
        <v>5.0</v>
      </c>
      <c r="B381" s="153" t="s">
        <v>60</v>
      </c>
      <c r="C381" s="154"/>
      <c r="D381" s="155">
        <v>10.0</v>
      </c>
      <c r="E381" s="156">
        <v>5.0</v>
      </c>
      <c r="F381" s="156"/>
      <c r="G381" s="177"/>
      <c r="H381" s="178"/>
      <c r="I381" s="177"/>
      <c r="J381" s="178"/>
      <c r="K381" s="177"/>
      <c r="L381" s="179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2.75" customHeight="1">
      <c r="A382" s="152">
        <v>6.0</v>
      </c>
      <c r="B382" s="153" t="s">
        <v>65</v>
      </c>
      <c r="C382" s="154"/>
      <c r="D382" s="155">
        <v>8.0</v>
      </c>
      <c r="E382" s="156">
        <v>4.0</v>
      </c>
      <c r="F382" s="156"/>
      <c r="G382" s="177"/>
      <c r="H382" s="178"/>
      <c r="I382" s="177"/>
      <c r="J382" s="178"/>
      <c r="K382" s="177"/>
      <c r="L382" s="179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2.75" customHeight="1">
      <c r="A383" s="169"/>
      <c r="B383" s="170"/>
      <c r="C383" s="171"/>
      <c r="D383" s="172"/>
      <c r="E383" s="172"/>
      <c r="F383" s="172"/>
      <c r="G383" s="172">
        <f t="shared" ref="G383:L383" si="448">SUM(G189:G245)</f>
        <v>69</v>
      </c>
      <c r="H383" s="172">
        <f t="shared" si="448"/>
        <v>5000</v>
      </c>
      <c r="I383" s="172">
        <f t="shared" si="448"/>
        <v>103</v>
      </c>
      <c r="J383" s="172">
        <f t="shared" si="448"/>
        <v>7620</v>
      </c>
      <c r="K383" s="172">
        <f t="shared" si="448"/>
        <v>63</v>
      </c>
      <c r="L383" s="172">
        <f t="shared" si="448"/>
        <v>4350</v>
      </c>
      <c r="M383" s="34">
        <f t="shared" ref="M383:AA383" si="449">SUM(M322:M382)</f>
        <v>15</v>
      </c>
      <c r="N383" s="34">
        <f t="shared" si="449"/>
        <v>13</v>
      </c>
      <c r="O383" s="34">
        <f t="shared" si="449"/>
        <v>30</v>
      </c>
      <c r="P383" s="34">
        <f t="shared" si="449"/>
        <v>45</v>
      </c>
      <c r="Q383" s="34">
        <f t="shared" si="449"/>
        <v>0</v>
      </c>
      <c r="R383" s="175">
        <f t="shared" si="449"/>
        <v>19</v>
      </c>
      <c r="S383" s="175">
        <f t="shared" si="449"/>
        <v>17</v>
      </c>
      <c r="T383" s="175">
        <f t="shared" si="449"/>
        <v>117</v>
      </c>
      <c r="U383" s="175">
        <f t="shared" si="449"/>
        <v>25</v>
      </c>
      <c r="V383" s="175">
        <f t="shared" si="449"/>
        <v>0</v>
      </c>
      <c r="W383" s="175">
        <f t="shared" si="449"/>
        <v>13</v>
      </c>
      <c r="X383" s="175">
        <f t="shared" si="449"/>
        <v>19</v>
      </c>
      <c r="Y383" s="175">
        <f t="shared" si="449"/>
        <v>33</v>
      </c>
      <c r="Z383" s="175">
        <f t="shared" si="449"/>
        <v>25</v>
      </c>
      <c r="AA383" s="175">
        <f t="shared" si="449"/>
        <v>0</v>
      </c>
    </row>
    <row r="384" ht="12.75" customHeight="1">
      <c r="A384" s="33"/>
      <c r="B384" s="134"/>
      <c r="C384" s="133"/>
      <c r="D384" s="42"/>
      <c r="E384" s="42"/>
      <c r="F384" s="42"/>
      <c r="G384" s="42"/>
      <c r="H384" s="42"/>
      <c r="I384" s="42"/>
      <c r="J384" s="42"/>
      <c r="K384" s="42"/>
      <c r="L384" s="42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2.75" customHeight="1">
      <c r="A385" s="33"/>
      <c r="B385" s="134"/>
      <c r="C385" s="133"/>
      <c r="D385" s="42"/>
      <c r="E385" s="42"/>
      <c r="F385" s="42"/>
      <c r="G385" s="42"/>
      <c r="H385" s="42"/>
      <c r="I385" s="42"/>
      <c r="J385" s="42"/>
      <c r="K385" s="42"/>
      <c r="L385" s="42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2.75" customHeight="1">
      <c r="A386" s="33"/>
      <c r="B386" s="134"/>
      <c r="C386" s="133"/>
      <c r="D386" s="42"/>
      <c r="E386" s="42"/>
      <c r="F386" s="42"/>
      <c r="G386" s="45">
        <f t="shared" ref="G386:AA386" si="450">SUM(G383+G247+G319+G186+G124+G66)</f>
        <v>533</v>
      </c>
      <c r="H386" s="45">
        <f t="shared" si="450"/>
        <v>37240</v>
      </c>
      <c r="I386" s="45">
        <f t="shared" si="450"/>
        <v>735</v>
      </c>
      <c r="J386" s="45">
        <f t="shared" si="450"/>
        <v>52130</v>
      </c>
      <c r="K386" s="45">
        <f t="shared" si="450"/>
        <v>382</v>
      </c>
      <c r="L386" s="45">
        <f t="shared" si="450"/>
        <v>26640</v>
      </c>
      <c r="M386" s="34">
        <f t="shared" si="450"/>
        <v>76</v>
      </c>
      <c r="N386" s="34">
        <f t="shared" si="450"/>
        <v>67</v>
      </c>
      <c r="O386" s="34">
        <f t="shared" si="450"/>
        <v>251</v>
      </c>
      <c r="P386" s="34">
        <f t="shared" si="450"/>
        <v>173</v>
      </c>
      <c r="Q386" s="34">
        <f t="shared" si="450"/>
        <v>0</v>
      </c>
      <c r="R386" s="45">
        <f t="shared" si="450"/>
        <v>126</v>
      </c>
      <c r="S386" s="45">
        <f t="shared" si="450"/>
        <v>111</v>
      </c>
      <c r="T386" s="45">
        <f t="shared" si="450"/>
        <v>299</v>
      </c>
      <c r="U386" s="45">
        <f t="shared" si="450"/>
        <v>261</v>
      </c>
      <c r="V386" s="45">
        <f t="shared" si="450"/>
        <v>13</v>
      </c>
      <c r="W386" s="45">
        <f t="shared" si="450"/>
        <v>54</v>
      </c>
      <c r="X386" s="45">
        <f t="shared" si="450"/>
        <v>70</v>
      </c>
      <c r="Y386" s="45">
        <f t="shared" si="450"/>
        <v>171</v>
      </c>
      <c r="Z386" s="45">
        <f t="shared" si="450"/>
        <v>103</v>
      </c>
      <c r="AA386" s="45">
        <f t="shared" si="450"/>
        <v>0</v>
      </c>
    </row>
    <row r="387" ht="12.75" customHeight="1">
      <c r="A387" s="33"/>
      <c r="B387" s="134"/>
      <c r="C387" s="133"/>
      <c r="D387" s="42"/>
      <c r="E387" s="42"/>
      <c r="F387" s="42"/>
      <c r="G387" s="42"/>
      <c r="H387" s="42"/>
      <c r="I387" s="42"/>
      <c r="J387" s="42"/>
      <c r="K387" s="42"/>
      <c r="L387" s="42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2.75" customHeight="1">
      <c r="A388" s="33"/>
      <c r="B388" s="134"/>
      <c r="C388" s="133"/>
      <c r="D388" s="42"/>
      <c r="E388" s="42"/>
      <c r="F388" s="42"/>
      <c r="G388" s="42"/>
      <c r="H388" s="42"/>
      <c r="I388" s="42"/>
      <c r="J388" s="42"/>
      <c r="K388" s="42"/>
      <c r="L388" s="42"/>
      <c r="M388" s="181"/>
      <c r="N388" s="181"/>
      <c r="O388" s="181"/>
      <c r="P388" s="181"/>
      <c r="Q388" s="181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2.75" customHeight="1">
      <c r="A389" s="33"/>
      <c r="B389" s="134"/>
      <c r="C389" s="133"/>
      <c r="D389" s="42"/>
      <c r="E389" s="42"/>
      <c r="F389" s="42"/>
      <c r="G389" s="42"/>
      <c r="H389" s="42"/>
      <c r="I389" s="42"/>
      <c r="J389" s="42"/>
      <c r="K389" s="42"/>
      <c r="L389" s="42"/>
      <c r="M389" s="181"/>
      <c r="N389" s="181"/>
      <c r="O389" s="181"/>
      <c r="P389" s="181"/>
      <c r="Q389" s="181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2.75" customHeight="1">
      <c r="A390" s="33"/>
      <c r="B390" s="134"/>
      <c r="C390" s="133"/>
      <c r="D390" s="42"/>
      <c r="E390" s="42"/>
      <c r="F390" s="42"/>
      <c r="G390" s="42"/>
      <c r="H390" s="42"/>
      <c r="I390" s="42"/>
      <c r="J390" s="42"/>
      <c r="K390" s="42"/>
      <c r="L390" s="42"/>
      <c r="M390" s="181"/>
      <c r="N390" s="181"/>
      <c r="O390" s="181"/>
      <c r="P390" s="181"/>
      <c r="Q390" s="181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2.75" customHeight="1">
      <c r="A391" s="33"/>
      <c r="B391" s="134"/>
      <c r="C391" s="133"/>
      <c r="D391" s="42"/>
      <c r="E391" s="42"/>
      <c r="F391" s="42"/>
      <c r="G391" s="42"/>
      <c r="H391" s="42"/>
      <c r="I391" s="42"/>
      <c r="J391" s="42"/>
      <c r="K391" s="42"/>
      <c r="L391" s="42"/>
      <c r="M391" s="181"/>
      <c r="N391" s="181"/>
      <c r="O391" s="181"/>
      <c r="P391" s="181"/>
      <c r="Q391" s="181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2.75" customHeight="1">
      <c r="A392" s="33"/>
      <c r="B392" s="134"/>
      <c r="C392" s="133"/>
      <c r="D392" s="42"/>
      <c r="E392" s="42"/>
      <c r="F392" s="42"/>
      <c r="G392" s="42"/>
      <c r="H392" s="42"/>
      <c r="I392" s="42"/>
      <c r="J392" s="42"/>
      <c r="K392" s="42"/>
      <c r="L392" s="42"/>
      <c r="M392" s="181"/>
      <c r="N392" s="181"/>
      <c r="O392" s="181"/>
      <c r="P392" s="181"/>
      <c r="Q392" s="181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2.75" customHeight="1">
      <c r="A393" s="33"/>
      <c r="B393" s="134"/>
      <c r="C393" s="133"/>
      <c r="D393" s="42"/>
      <c r="E393" s="42"/>
      <c r="F393" s="42"/>
      <c r="G393" s="42"/>
      <c r="H393" s="42"/>
      <c r="I393" s="42"/>
      <c r="J393" s="42"/>
      <c r="K393" s="42"/>
      <c r="L393" s="42"/>
      <c r="M393" s="181"/>
      <c r="N393" s="181"/>
      <c r="O393" s="181"/>
      <c r="P393" s="181"/>
      <c r="Q393" s="181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2.75" customHeight="1">
      <c r="A394" s="33"/>
      <c r="B394" s="134"/>
      <c r="C394" s="133"/>
      <c r="D394" s="42"/>
      <c r="E394" s="42"/>
      <c r="F394" s="42"/>
      <c r="G394" s="42"/>
      <c r="H394" s="42"/>
      <c r="I394" s="42"/>
      <c r="J394" s="42"/>
      <c r="K394" s="42"/>
      <c r="L394" s="42"/>
      <c r="M394" s="181"/>
      <c r="N394" s="181"/>
      <c r="O394" s="181"/>
      <c r="P394" s="181"/>
      <c r="Q394" s="181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2.75" customHeight="1">
      <c r="A395" s="33"/>
      <c r="B395" s="134"/>
      <c r="C395" s="133"/>
      <c r="D395" s="42"/>
      <c r="E395" s="42"/>
      <c r="F395" s="42"/>
      <c r="G395" s="42"/>
      <c r="H395" s="42"/>
      <c r="I395" s="42"/>
      <c r="J395" s="42"/>
      <c r="K395" s="42"/>
      <c r="L395" s="42"/>
      <c r="M395" s="181"/>
      <c r="N395" s="181"/>
      <c r="O395" s="181"/>
      <c r="P395" s="181"/>
      <c r="Q395" s="181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2.75" customHeight="1">
      <c r="A396" s="33"/>
      <c r="B396" s="134"/>
      <c r="C396" s="133"/>
      <c r="D396" s="42"/>
      <c r="E396" s="42"/>
      <c r="F396" s="42"/>
      <c r="G396" s="42"/>
      <c r="H396" s="42"/>
      <c r="I396" s="42"/>
      <c r="J396" s="42"/>
      <c r="K396" s="42"/>
      <c r="L396" s="42"/>
      <c r="M396" s="181"/>
      <c r="N396" s="181"/>
      <c r="O396" s="181"/>
      <c r="P396" s="181"/>
      <c r="Q396" s="181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2.75" customHeight="1">
      <c r="A397" s="33"/>
      <c r="B397" s="134"/>
      <c r="C397" s="133"/>
      <c r="D397" s="42"/>
      <c r="E397" s="42"/>
      <c r="F397" s="42"/>
      <c r="G397" s="42"/>
      <c r="H397" s="42"/>
      <c r="I397" s="42"/>
      <c r="J397" s="42"/>
      <c r="K397" s="42"/>
      <c r="L397" s="42"/>
      <c r="M397" s="181"/>
      <c r="N397" s="181"/>
      <c r="O397" s="181"/>
      <c r="P397" s="181"/>
      <c r="Q397" s="181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2.75" customHeight="1">
      <c r="A398" s="33"/>
      <c r="B398" s="134"/>
      <c r="C398" s="133"/>
      <c r="D398" s="42"/>
      <c r="E398" s="42"/>
      <c r="F398" s="42"/>
      <c r="G398" s="42"/>
      <c r="H398" s="42"/>
      <c r="I398" s="42"/>
      <c r="J398" s="42"/>
      <c r="K398" s="42"/>
      <c r="L398" s="42"/>
      <c r="M398" s="181"/>
      <c r="N398" s="181"/>
      <c r="O398" s="181"/>
      <c r="P398" s="181"/>
      <c r="Q398" s="181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2.75" customHeight="1">
      <c r="A399" s="33"/>
      <c r="B399" s="134"/>
      <c r="C399" s="133"/>
      <c r="D399" s="42"/>
      <c r="E399" s="42"/>
      <c r="F399" s="42"/>
      <c r="G399" s="42"/>
      <c r="H399" s="42"/>
      <c r="I399" s="42"/>
      <c r="J399" s="42"/>
      <c r="K399" s="42"/>
      <c r="L399" s="42"/>
      <c r="M399" s="181"/>
      <c r="N399" s="181"/>
      <c r="O399" s="181"/>
      <c r="P399" s="181"/>
      <c r="Q399" s="181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2.75" customHeight="1">
      <c r="A400" s="33"/>
      <c r="B400" s="134"/>
      <c r="C400" s="133"/>
      <c r="D400" s="42"/>
      <c r="E400" s="42"/>
      <c r="F400" s="42"/>
      <c r="G400" s="42"/>
      <c r="H400" s="42"/>
      <c r="I400" s="42"/>
      <c r="J400" s="42"/>
      <c r="K400" s="42"/>
      <c r="L400" s="42"/>
      <c r="M400" s="181"/>
      <c r="N400" s="181"/>
      <c r="O400" s="181"/>
      <c r="P400" s="181"/>
      <c r="Q400" s="181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2.75" customHeight="1">
      <c r="A401" s="33"/>
      <c r="B401" s="134"/>
      <c r="C401" s="133"/>
      <c r="D401" s="42"/>
      <c r="E401" s="42"/>
      <c r="F401" s="42"/>
      <c r="G401" s="42"/>
      <c r="H401" s="42"/>
      <c r="I401" s="42"/>
      <c r="J401" s="42"/>
      <c r="K401" s="42"/>
      <c r="L401" s="42"/>
      <c r="M401" s="181"/>
      <c r="N401" s="181"/>
      <c r="O401" s="181"/>
      <c r="P401" s="181"/>
      <c r="Q401" s="181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2.75" customHeight="1">
      <c r="A402" s="33"/>
      <c r="B402" s="134"/>
      <c r="C402" s="133"/>
      <c r="D402" s="42"/>
      <c r="E402" s="42"/>
      <c r="F402" s="42"/>
      <c r="G402" s="42"/>
      <c r="H402" s="42"/>
      <c r="I402" s="42"/>
      <c r="J402" s="42"/>
      <c r="K402" s="42"/>
      <c r="L402" s="42"/>
      <c r="M402" s="181"/>
      <c r="N402" s="181"/>
      <c r="O402" s="181"/>
      <c r="P402" s="181"/>
      <c r="Q402" s="181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2.75" customHeight="1">
      <c r="A403" s="33"/>
      <c r="B403" s="134"/>
      <c r="C403" s="133"/>
      <c r="D403" s="42"/>
      <c r="E403" s="42"/>
      <c r="F403" s="42"/>
      <c r="G403" s="42"/>
      <c r="H403" s="42"/>
      <c r="I403" s="42"/>
      <c r="J403" s="42"/>
      <c r="K403" s="42"/>
      <c r="L403" s="42"/>
      <c r="M403" s="181"/>
      <c r="N403" s="181"/>
      <c r="O403" s="181"/>
      <c r="P403" s="181"/>
      <c r="Q403" s="181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2.75" customHeight="1">
      <c r="A404" s="33"/>
      <c r="B404" s="134"/>
      <c r="C404" s="133"/>
      <c r="D404" s="42"/>
      <c r="E404" s="42"/>
      <c r="F404" s="42"/>
      <c r="G404" s="42"/>
      <c r="H404" s="42"/>
      <c r="I404" s="42"/>
      <c r="J404" s="42"/>
      <c r="K404" s="42"/>
      <c r="L404" s="42"/>
      <c r="M404" s="181"/>
      <c r="N404" s="181"/>
      <c r="O404" s="181"/>
      <c r="P404" s="181"/>
      <c r="Q404" s="181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2.75" customHeight="1">
      <c r="A405" s="33"/>
      <c r="B405" s="134"/>
      <c r="C405" s="133"/>
      <c r="D405" s="42"/>
      <c r="E405" s="42"/>
      <c r="F405" s="42"/>
      <c r="G405" s="42"/>
      <c r="H405" s="42"/>
      <c r="I405" s="42"/>
      <c r="J405" s="42"/>
      <c r="K405" s="42"/>
      <c r="L405" s="42"/>
      <c r="M405" s="181"/>
      <c r="N405" s="181"/>
      <c r="O405" s="181"/>
      <c r="P405" s="181"/>
      <c r="Q405" s="181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2.75" customHeight="1">
      <c r="A406" s="33"/>
      <c r="B406" s="134"/>
      <c r="C406" s="133"/>
      <c r="D406" s="42"/>
      <c r="E406" s="42"/>
      <c r="F406" s="42"/>
      <c r="G406" s="42"/>
      <c r="H406" s="42"/>
      <c r="I406" s="42"/>
      <c r="J406" s="42"/>
      <c r="K406" s="42"/>
      <c r="L406" s="42"/>
      <c r="M406" s="181"/>
      <c r="N406" s="181"/>
      <c r="O406" s="181"/>
      <c r="P406" s="181"/>
      <c r="Q406" s="181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2.75" customHeight="1">
      <c r="A407" s="33"/>
      <c r="B407" s="134"/>
      <c r="C407" s="133"/>
      <c r="D407" s="42"/>
      <c r="E407" s="42"/>
      <c r="F407" s="42"/>
      <c r="G407" s="42"/>
      <c r="H407" s="42"/>
      <c r="I407" s="42"/>
      <c r="J407" s="42"/>
      <c r="K407" s="42"/>
      <c r="L407" s="42"/>
      <c r="M407" s="181"/>
      <c r="N407" s="181"/>
      <c r="O407" s="181"/>
      <c r="P407" s="181"/>
      <c r="Q407" s="181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2.75" customHeight="1">
      <c r="A408" s="33"/>
      <c r="B408" s="134"/>
      <c r="C408" s="133"/>
      <c r="D408" s="42"/>
      <c r="E408" s="42"/>
      <c r="F408" s="42"/>
      <c r="G408" s="42"/>
      <c r="H408" s="42"/>
      <c r="I408" s="42"/>
      <c r="J408" s="42"/>
      <c r="K408" s="42"/>
      <c r="L408" s="42"/>
      <c r="M408" s="181"/>
      <c r="N408" s="181"/>
      <c r="O408" s="181"/>
      <c r="P408" s="181"/>
      <c r="Q408" s="181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2.75" customHeight="1">
      <c r="A409" s="33"/>
      <c r="B409" s="134"/>
      <c r="C409" s="133"/>
      <c r="D409" s="42"/>
      <c r="E409" s="42"/>
      <c r="F409" s="42"/>
      <c r="G409" s="42"/>
      <c r="H409" s="42"/>
      <c r="I409" s="42"/>
      <c r="J409" s="42"/>
      <c r="K409" s="42"/>
      <c r="L409" s="42"/>
      <c r="M409" s="181"/>
      <c r="N409" s="181"/>
      <c r="O409" s="181"/>
      <c r="P409" s="181"/>
      <c r="Q409" s="181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2.75" customHeight="1">
      <c r="A410" s="33"/>
      <c r="B410" s="134"/>
      <c r="C410" s="133"/>
      <c r="D410" s="42"/>
      <c r="E410" s="42"/>
      <c r="F410" s="42"/>
      <c r="G410" s="42"/>
      <c r="H410" s="42"/>
      <c r="I410" s="42"/>
      <c r="J410" s="42"/>
      <c r="K410" s="42"/>
      <c r="L410" s="42"/>
      <c r="M410" s="181"/>
      <c r="N410" s="181"/>
      <c r="O410" s="181"/>
      <c r="P410" s="181"/>
      <c r="Q410" s="181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2.75" customHeight="1">
      <c r="A411" s="33"/>
      <c r="B411" s="134"/>
      <c r="C411" s="133"/>
      <c r="D411" s="42"/>
      <c r="E411" s="42"/>
      <c r="F411" s="42"/>
      <c r="G411" s="42"/>
      <c r="H411" s="42"/>
      <c r="I411" s="42"/>
      <c r="J411" s="42"/>
      <c r="K411" s="42"/>
      <c r="L411" s="42"/>
      <c r="M411" s="181"/>
      <c r="N411" s="181"/>
      <c r="O411" s="181"/>
      <c r="P411" s="181"/>
      <c r="Q411" s="181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2.75" customHeight="1">
      <c r="A412" s="33"/>
      <c r="B412" s="134"/>
      <c r="C412" s="133"/>
      <c r="D412" s="42"/>
      <c r="E412" s="42"/>
      <c r="F412" s="42"/>
      <c r="G412" s="42"/>
      <c r="H412" s="42"/>
      <c r="I412" s="42"/>
      <c r="J412" s="42"/>
      <c r="K412" s="42"/>
      <c r="L412" s="42"/>
      <c r="M412" s="181"/>
      <c r="N412" s="181"/>
      <c r="O412" s="181"/>
      <c r="P412" s="181"/>
      <c r="Q412" s="181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2.75" customHeight="1">
      <c r="A413" s="33"/>
      <c r="B413" s="134"/>
      <c r="C413" s="133"/>
      <c r="D413" s="42"/>
      <c r="E413" s="42"/>
      <c r="F413" s="42"/>
      <c r="G413" s="42"/>
      <c r="H413" s="42"/>
      <c r="I413" s="42"/>
      <c r="J413" s="42"/>
      <c r="K413" s="42"/>
      <c r="L413" s="42"/>
      <c r="M413" s="181"/>
      <c r="N413" s="181"/>
      <c r="O413" s="181"/>
      <c r="P413" s="181"/>
      <c r="Q413" s="181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2.75" customHeight="1">
      <c r="A414" s="33"/>
      <c r="B414" s="134"/>
      <c r="C414" s="133"/>
      <c r="D414" s="42"/>
      <c r="E414" s="42"/>
      <c r="F414" s="42"/>
      <c r="G414" s="42"/>
      <c r="H414" s="42"/>
      <c r="I414" s="42"/>
      <c r="J414" s="42"/>
      <c r="K414" s="42"/>
      <c r="L414" s="42"/>
      <c r="M414" s="181"/>
      <c r="N414" s="181"/>
      <c r="O414" s="181"/>
      <c r="P414" s="181"/>
      <c r="Q414" s="181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2.75" customHeight="1">
      <c r="A415" s="33"/>
      <c r="B415" s="134"/>
      <c r="C415" s="133"/>
      <c r="D415" s="42"/>
      <c r="E415" s="42"/>
      <c r="F415" s="42"/>
      <c r="G415" s="42"/>
      <c r="H415" s="42"/>
      <c r="I415" s="42"/>
      <c r="J415" s="42"/>
      <c r="K415" s="42"/>
      <c r="L415" s="42"/>
      <c r="M415" s="181"/>
      <c r="N415" s="181"/>
      <c r="O415" s="181"/>
      <c r="P415" s="181"/>
      <c r="Q415" s="181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2.75" customHeight="1">
      <c r="A416" s="33"/>
      <c r="B416" s="134"/>
      <c r="C416" s="133"/>
      <c r="D416" s="42"/>
      <c r="E416" s="42"/>
      <c r="F416" s="42"/>
      <c r="G416" s="42"/>
      <c r="H416" s="42"/>
      <c r="I416" s="42"/>
      <c r="J416" s="42"/>
      <c r="K416" s="42"/>
      <c r="L416" s="42"/>
      <c r="M416" s="181"/>
      <c r="N416" s="181"/>
      <c r="O416" s="181"/>
      <c r="P416" s="181"/>
      <c r="Q416" s="181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2.75" customHeight="1">
      <c r="A417" s="33"/>
      <c r="B417" s="134"/>
      <c r="C417" s="133"/>
      <c r="D417" s="42"/>
      <c r="E417" s="42"/>
      <c r="F417" s="42"/>
      <c r="G417" s="42"/>
      <c r="H417" s="42"/>
      <c r="I417" s="42"/>
      <c r="J417" s="42"/>
      <c r="K417" s="42"/>
      <c r="L417" s="42"/>
      <c r="M417" s="181"/>
      <c r="N417" s="181"/>
      <c r="O417" s="181"/>
      <c r="P417" s="181"/>
      <c r="Q417" s="181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2.75" customHeight="1">
      <c r="A418" s="33"/>
      <c r="B418" s="134"/>
      <c r="C418" s="133"/>
      <c r="D418" s="42"/>
      <c r="E418" s="42"/>
      <c r="F418" s="42"/>
      <c r="G418" s="42"/>
      <c r="H418" s="42"/>
      <c r="I418" s="42"/>
      <c r="J418" s="42"/>
      <c r="K418" s="42"/>
      <c r="L418" s="42"/>
      <c r="M418" s="181"/>
      <c r="N418" s="181"/>
      <c r="O418" s="181"/>
      <c r="P418" s="181"/>
      <c r="Q418" s="181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2.75" customHeight="1">
      <c r="A419" s="33"/>
      <c r="B419" s="134"/>
      <c r="C419" s="133"/>
      <c r="D419" s="42"/>
      <c r="E419" s="42"/>
      <c r="F419" s="42"/>
      <c r="G419" s="42"/>
      <c r="H419" s="42"/>
      <c r="I419" s="42"/>
      <c r="J419" s="42"/>
      <c r="K419" s="42"/>
      <c r="L419" s="42"/>
      <c r="M419" s="181"/>
      <c r="N419" s="181"/>
      <c r="O419" s="181"/>
      <c r="P419" s="181"/>
      <c r="Q419" s="181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2.75" customHeight="1">
      <c r="A420" s="33"/>
      <c r="B420" s="134"/>
      <c r="C420" s="133"/>
      <c r="D420" s="42"/>
      <c r="E420" s="42"/>
      <c r="F420" s="42"/>
      <c r="G420" s="42"/>
      <c r="H420" s="42"/>
      <c r="I420" s="42"/>
      <c r="J420" s="42"/>
      <c r="K420" s="42"/>
      <c r="L420" s="42"/>
      <c r="M420" s="181"/>
      <c r="N420" s="181"/>
      <c r="O420" s="181"/>
      <c r="P420" s="181"/>
      <c r="Q420" s="181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2.75" customHeight="1">
      <c r="A421" s="33"/>
      <c r="B421" s="134"/>
      <c r="C421" s="133"/>
      <c r="D421" s="42"/>
      <c r="E421" s="42"/>
      <c r="F421" s="42"/>
      <c r="G421" s="42"/>
      <c r="H421" s="42"/>
      <c r="I421" s="42"/>
      <c r="J421" s="42"/>
      <c r="K421" s="42"/>
      <c r="L421" s="42"/>
      <c r="M421" s="181"/>
      <c r="N421" s="181"/>
      <c r="O421" s="181"/>
      <c r="P421" s="181"/>
      <c r="Q421" s="181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2.75" customHeight="1">
      <c r="A422" s="33"/>
      <c r="B422" s="134"/>
      <c r="C422" s="133"/>
      <c r="D422" s="42"/>
      <c r="E422" s="42"/>
      <c r="F422" s="42"/>
      <c r="G422" s="42"/>
      <c r="H422" s="42"/>
      <c r="I422" s="42"/>
      <c r="J422" s="42"/>
      <c r="K422" s="42"/>
      <c r="L422" s="42"/>
      <c r="M422" s="181"/>
      <c r="N422" s="181"/>
      <c r="O422" s="181"/>
      <c r="P422" s="181"/>
      <c r="Q422" s="181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2.75" customHeight="1">
      <c r="A423" s="33"/>
      <c r="B423" s="134"/>
      <c r="C423" s="133"/>
      <c r="D423" s="42"/>
      <c r="E423" s="42"/>
      <c r="F423" s="42"/>
      <c r="G423" s="42"/>
      <c r="H423" s="42"/>
      <c r="I423" s="42"/>
      <c r="J423" s="42"/>
      <c r="K423" s="42"/>
      <c r="L423" s="42"/>
      <c r="M423" s="181"/>
      <c r="N423" s="181"/>
      <c r="O423" s="181"/>
      <c r="P423" s="181"/>
      <c r="Q423" s="181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2.75" customHeight="1">
      <c r="A424" s="33"/>
      <c r="B424" s="134"/>
      <c r="C424" s="133"/>
      <c r="D424" s="42"/>
      <c r="E424" s="42"/>
      <c r="F424" s="42"/>
      <c r="G424" s="42"/>
      <c r="H424" s="42"/>
      <c r="I424" s="42"/>
      <c r="J424" s="42"/>
      <c r="K424" s="42"/>
      <c r="L424" s="42"/>
      <c r="M424" s="181"/>
      <c r="N424" s="181"/>
      <c r="O424" s="181"/>
      <c r="P424" s="181"/>
      <c r="Q424" s="181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2.75" customHeight="1">
      <c r="A425" s="33"/>
      <c r="B425" s="134"/>
      <c r="C425" s="133"/>
      <c r="D425" s="42"/>
      <c r="E425" s="42"/>
      <c r="F425" s="42"/>
      <c r="G425" s="42"/>
      <c r="H425" s="42"/>
      <c r="I425" s="42"/>
      <c r="J425" s="42"/>
      <c r="K425" s="42"/>
      <c r="L425" s="42"/>
      <c r="M425" s="181"/>
      <c r="N425" s="181"/>
      <c r="O425" s="181"/>
      <c r="P425" s="181"/>
      <c r="Q425" s="181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2.75" customHeight="1">
      <c r="A426" s="33"/>
      <c r="B426" s="134"/>
      <c r="C426" s="133"/>
      <c r="D426" s="42"/>
      <c r="E426" s="42"/>
      <c r="F426" s="42"/>
      <c r="G426" s="42"/>
      <c r="H426" s="42"/>
      <c r="I426" s="42"/>
      <c r="J426" s="42"/>
      <c r="K426" s="42"/>
      <c r="L426" s="42"/>
      <c r="M426" s="181"/>
      <c r="N426" s="181"/>
      <c r="O426" s="181"/>
      <c r="P426" s="181"/>
      <c r="Q426" s="181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2.75" customHeight="1">
      <c r="A427" s="33"/>
      <c r="B427" s="134"/>
      <c r="C427" s="133"/>
      <c r="D427" s="42"/>
      <c r="E427" s="42"/>
      <c r="F427" s="42"/>
      <c r="G427" s="42"/>
      <c r="H427" s="42"/>
      <c r="I427" s="42"/>
      <c r="J427" s="42"/>
      <c r="K427" s="42"/>
      <c r="L427" s="42"/>
      <c r="M427" s="181"/>
      <c r="N427" s="181"/>
      <c r="O427" s="181"/>
      <c r="P427" s="181"/>
      <c r="Q427" s="181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2.75" customHeight="1">
      <c r="A428" s="33"/>
      <c r="B428" s="134"/>
      <c r="C428" s="133"/>
      <c r="D428" s="42"/>
      <c r="E428" s="42"/>
      <c r="F428" s="42"/>
      <c r="G428" s="42"/>
      <c r="H428" s="42"/>
      <c r="I428" s="42"/>
      <c r="J428" s="42"/>
      <c r="K428" s="42"/>
      <c r="L428" s="42"/>
      <c r="M428" s="181"/>
      <c r="N428" s="181"/>
      <c r="O428" s="181"/>
      <c r="P428" s="181"/>
      <c r="Q428" s="181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2.75" customHeight="1">
      <c r="A429" s="33"/>
      <c r="B429" s="134"/>
      <c r="C429" s="133"/>
      <c r="D429" s="42"/>
      <c r="E429" s="42"/>
      <c r="F429" s="42"/>
      <c r="G429" s="42"/>
      <c r="H429" s="42"/>
      <c r="I429" s="42"/>
      <c r="J429" s="42"/>
      <c r="K429" s="42"/>
      <c r="L429" s="42"/>
      <c r="M429" s="181"/>
      <c r="N429" s="181"/>
      <c r="O429" s="181"/>
      <c r="P429" s="181"/>
      <c r="Q429" s="181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2.75" customHeight="1">
      <c r="A430" s="33"/>
      <c r="B430" s="134"/>
      <c r="C430" s="133"/>
      <c r="D430" s="42"/>
      <c r="E430" s="42"/>
      <c r="F430" s="42"/>
      <c r="G430" s="42"/>
      <c r="H430" s="42"/>
      <c r="I430" s="42"/>
      <c r="J430" s="42"/>
      <c r="K430" s="42"/>
      <c r="L430" s="42"/>
      <c r="M430" s="181"/>
      <c r="N430" s="181"/>
      <c r="O430" s="181"/>
      <c r="P430" s="181"/>
      <c r="Q430" s="181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2.75" customHeight="1">
      <c r="A431" s="33"/>
      <c r="B431" s="134"/>
      <c r="C431" s="133"/>
      <c r="D431" s="42"/>
      <c r="E431" s="42"/>
      <c r="F431" s="42"/>
      <c r="G431" s="42"/>
      <c r="H431" s="42"/>
      <c r="I431" s="42"/>
      <c r="J431" s="42"/>
      <c r="K431" s="42"/>
      <c r="L431" s="42"/>
      <c r="M431" s="181"/>
      <c r="N431" s="181"/>
      <c r="O431" s="181"/>
      <c r="P431" s="181"/>
      <c r="Q431" s="181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2.75" customHeight="1">
      <c r="A432" s="33"/>
      <c r="B432" s="134"/>
      <c r="C432" s="133"/>
      <c r="D432" s="42"/>
      <c r="E432" s="42"/>
      <c r="F432" s="42"/>
      <c r="G432" s="42"/>
      <c r="H432" s="42"/>
      <c r="I432" s="42"/>
      <c r="J432" s="42"/>
      <c r="K432" s="42"/>
      <c r="L432" s="42"/>
      <c r="M432" s="181"/>
      <c r="N432" s="181"/>
      <c r="O432" s="181"/>
      <c r="P432" s="181"/>
      <c r="Q432" s="181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2.75" customHeight="1">
      <c r="A433" s="33"/>
      <c r="B433" s="134"/>
      <c r="C433" s="133"/>
      <c r="D433" s="42"/>
      <c r="E433" s="42"/>
      <c r="F433" s="42"/>
      <c r="G433" s="42"/>
      <c r="H433" s="42"/>
      <c r="I433" s="42"/>
      <c r="J433" s="42"/>
      <c r="K433" s="42"/>
      <c r="L433" s="42"/>
      <c r="M433" s="181"/>
      <c r="N433" s="181"/>
      <c r="O433" s="181"/>
      <c r="P433" s="181"/>
      <c r="Q433" s="181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2.75" customHeight="1">
      <c r="A434" s="33"/>
      <c r="B434" s="134"/>
      <c r="C434" s="133"/>
      <c r="D434" s="42"/>
      <c r="E434" s="42"/>
      <c r="F434" s="42"/>
      <c r="G434" s="42"/>
      <c r="H434" s="42"/>
      <c r="I434" s="42"/>
      <c r="J434" s="42"/>
      <c r="K434" s="42"/>
      <c r="L434" s="42"/>
      <c r="M434" s="181"/>
      <c r="N434" s="181"/>
      <c r="O434" s="181"/>
      <c r="P434" s="181"/>
      <c r="Q434" s="181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2.75" customHeight="1">
      <c r="A435" s="33"/>
      <c r="B435" s="134"/>
      <c r="C435" s="133"/>
      <c r="D435" s="42"/>
      <c r="E435" s="42"/>
      <c r="F435" s="42"/>
      <c r="G435" s="42"/>
      <c r="H435" s="42"/>
      <c r="I435" s="42"/>
      <c r="J435" s="42"/>
      <c r="K435" s="42"/>
      <c r="L435" s="42"/>
      <c r="M435" s="181"/>
      <c r="N435" s="181"/>
      <c r="O435" s="181"/>
      <c r="P435" s="181"/>
      <c r="Q435" s="181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2.75" customHeight="1">
      <c r="A436" s="33"/>
      <c r="B436" s="134"/>
      <c r="C436" s="133"/>
      <c r="D436" s="42"/>
      <c r="E436" s="42"/>
      <c r="F436" s="42"/>
      <c r="G436" s="42"/>
      <c r="H436" s="42"/>
      <c r="I436" s="42"/>
      <c r="J436" s="42"/>
      <c r="K436" s="42"/>
      <c r="L436" s="42"/>
      <c r="M436" s="181"/>
      <c r="N436" s="181"/>
      <c r="O436" s="181"/>
      <c r="P436" s="181"/>
      <c r="Q436" s="181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2.75" customHeight="1">
      <c r="A437" s="33"/>
      <c r="B437" s="134"/>
      <c r="C437" s="133"/>
      <c r="D437" s="42"/>
      <c r="E437" s="42"/>
      <c r="F437" s="42"/>
      <c r="G437" s="42"/>
      <c r="H437" s="42"/>
      <c r="I437" s="42"/>
      <c r="J437" s="42"/>
      <c r="K437" s="42"/>
      <c r="L437" s="42"/>
      <c r="M437" s="181"/>
      <c r="N437" s="181"/>
      <c r="O437" s="181"/>
      <c r="P437" s="181"/>
      <c r="Q437" s="181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2.75" customHeight="1">
      <c r="A438" s="33"/>
      <c r="B438" s="134"/>
      <c r="C438" s="133"/>
      <c r="D438" s="42"/>
      <c r="E438" s="42"/>
      <c r="F438" s="42"/>
      <c r="G438" s="42"/>
      <c r="H438" s="42"/>
      <c r="I438" s="42"/>
      <c r="J438" s="42"/>
      <c r="K438" s="42"/>
      <c r="L438" s="42"/>
      <c r="M438" s="181"/>
      <c r="N438" s="181"/>
      <c r="O438" s="181"/>
      <c r="P438" s="181"/>
      <c r="Q438" s="181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2.75" customHeight="1">
      <c r="A439" s="33"/>
      <c r="B439" s="134"/>
      <c r="C439" s="133"/>
      <c r="D439" s="42"/>
      <c r="E439" s="42"/>
      <c r="F439" s="42"/>
      <c r="G439" s="42"/>
      <c r="H439" s="42"/>
      <c r="I439" s="42"/>
      <c r="J439" s="42"/>
      <c r="K439" s="42"/>
      <c r="L439" s="42"/>
      <c r="M439" s="181"/>
      <c r="N439" s="181"/>
      <c r="O439" s="181"/>
      <c r="P439" s="181"/>
      <c r="Q439" s="181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2.75" customHeight="1">
      <c r="A440" s="33"/>
      <c r="B440" s="134"/>
      <c r="C440" s="133"/>
      <c r="D440" s="42"/>
      <c r="E440" s="42"/>
      <c r="F440" s="42"/>
      <c r="G440" s="42"/>
      <c r="H440" s="42"/>
      <c r="I440" s="42"/>
      <c r="J440" s="42"/>
      <c r="K440" s="42"/>
      <c r="L440" s="42"/>
      <c r="M440" s="181"/>
      <c r="N440" s="181"/>
      <c r="O440" s="181"/>
      <c r="P440" s="181"/>
      <c r="Q440" s="181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2.75" customHeight="1">
      <c r="A441" s="33"/>
      <c r="B441" s="134"/>
      <c r="C441" s="133"/>
      <c r="D441" s="42"/>
      <c r="E441" s="42"/>
      <c r="F441" s="42"/>
      <c r="G441" s="42"/>
      <c r="H441" s="42"/>
      <c r="I441" s="42"/>
      <c r="J441" s="42"/>
      <c r="K441" s="42"/>
      <c r="L441" s="42"/>
      <c r="M441" s="181"/>
      <c r="N441" s="181"/>
      <c r="O441" s="181"/>
      <c r="P441" s="181"/>
      <c r="Q441" s="181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2.75" customHeight="1">
      <c r="A442" s="33"/>
      <c r="B442" s="134"/>
      <c r="C442" s="133"/>
      <c r="D442" s="42"/>
      <c r="E442" s="42"/>
      <c r="F442" s="42"/>
      <c r="G442" s="42"/>
      <c r="H442" s="42"/>
      <c r="I442" s="42"/>
      <c r="J442" s="42"/>
      <c r="K442" s="42"/>
      <c r="L442" s="42"/>
      <c r="M442" s="181"/>
      <c r="N442" s="181"/>
      <c r="O442" s="181"/>
      <c r="P442" s="181"/>
      <c r="Q442" s="181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2.75" customHeight="1">
      <c r="A443" s="33"/>
      <c r="B443" s="134"/>
      <c r="C443" s="133"/>
      <c r="D443" s="42"/>
      <c r="E443" s="42"/>
      <c r="F443" s="42"/>
      <c r="G443" s="42"/>
      <c r="H443" s="42"/>
      <c r="I443" s="42"/>
      <c r="J443" s="42"/>
      <c r="K443" s="42"/>
      <c r="L443" s="42"/>
      <c r="M443" s="181"/>
      <c r="N443" s="181"/>
      <c r="O443" s="181"/>
      <c r="P443" s="181"/>
      <c r="Q443" s="181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2.75" customHeight="1">
      <c r="A444" s="33"/>
      <c r="B444" s="134"/>
      <c r="C444" s="133"/>
      <c r="D444" s="42"/>
      <c r="E444" s="42"/>
      <c r="F444" s="42"/>
      <c r="G444" s="42"/>
      <c r="H444" s="42"/>
      <c r="I444" s="42"/>
      <c r="J444" s="42"/>
      <c r="K444" s="42"/>
      <c r="L444" s="42"/>
      <c r="M444" s="181"/>
      <c r="N444" s="181"/>
      <c r="O444" s="181"/>
      <c r="P444" s="181"/>
      <c r="Q444" s="181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2.75" customHeight="1">
      <c r="A445" s="33"/>
      <c r="B445" s="134"/>
      <c r="C445" s="133"/>
      <c r="D445" s="42"/>
      <c r="E445" s="42"/>
      <c r="F445" s="42"/>
      <c r="G445" s="42"/>
      <c r="H445" s="42"/>
      <c r="I445" s="42"/>
      <c r="J445" s="42"/>
      <c r="K445" s="42"/>
      <c r="L445" s="42"/>
      <c r="M445" s="181"/>
      <c r="N445" s="181"/>
      <c r="O445" s="181"/>
      <c r="P445" s="181"/>
      <c r="Q445" s="181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2.75" customHeight="1">
      <c r="A446" s="33"/>
      <c r="B446" s="134"/>
      <c r="C446" s="133"/>
      <c r="D446" s="42"/>
      <c r="E446" s="42"/>
      <c r="F446" s="42"/>
      <c r="G446" s="42"/>
      <c r="H446" s="42"/>
      <c r="I446" s="42"/>
      <c r="J446" s="42"/>
      <c r="K446" s="42"/>
      <c r="L446" s="42"/>
      <c r="M446" s="181"/>
      <c r="N446" s="181"/>
      <c r="O446" s="181"/>
      <c r="P446" s="181"/>
      <c r="Q446" s="181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2.75" customHeight="1">
      <c r="A447" s="33"/>
      <c r="B447" s="134"/>
      <c r="C447" s="133"/>
      <c r="D447" s="42"/>
      <c r="E447" s="42"/>
      <c r="F447" s="42"/>
      <c r="G447" s="42"/>
      <c r="H447" s="42"/>
      <c r="I447" s="42"/>
      <c r="J447" s="42"/>
      <c r="K447" s="42"/>
      <c r="L447" s="42"/>
      <c r="M447" s="181"/>
      <c r="N447" s="181"/>
      <c r="O447" s="181"/>
      <c r="P447" s="181"/>
      <c r="Q447" s="181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2.75" customHeight="1">
      <c r="A448" s="33"/>
      <c r="B448" s="134"/>
      <c r="C448" s="133"/>
      <c r="D448" s="42"/>
      <c r="E448" s="42"/>
      <c r="F448" s="42"/>
      <c r="G448" s="42"/>
      <c r="H448" s="42"/>
      <c r="I448" s="42"/>
      <c r="J448" s="42"/>
      <c r="K448" s="42"/>
      <c r="L448" s="42"/>
      <c r="M448" s="181"/>
      <c r="N448" s="181"/>
      <c r="O448" s="181"/>
      <c r="P448" s="181"/>
      <c r="Q448" s="181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2.75" customHeight="1">
      <c r="A449" s="33"/>
      <c r="B449" s="134"/>
      <c r="C449" s="133"/>
      <c r="D449" s="42"/>
      <c r="E449" s="42"/>
      <c r="F449" s="42"/>
      <c r="G449" s="42"/>
      <c r="H449" s="42"/>
      <c r="I449" s="42"/>
      <c r="J449" s="42"/>
      <c r="K449" s="42"/>
      <c r="L449" s="42"/>
      <c r="M449" s="181"/>
      <c r="N449" s="181"/>
      <c r="O449" s="181"/>
      <c r="P449" s="181"/>
      <c r="Q449" s="181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2.75" customHeight="1">
      <c r="A450" s="33"/>
      <c r="B450" s="134"/>
      <c r="C450" s="133"/>
      <c r="D450" s="42"/>
      <c r="E450" s="42"/>
      <c r="F450" s="42"/>
      <c r="G450" s="42"/>
      <c r="H450" s="42"/>
      <c r="I450" s="42"/>
      <c r="J450" s="42"/>
      <c r="K450" s="42"/>
      <c r="L450" s="42"/>
      <c r="M450" s="181"/>
      <c r="N450" s="181"/>
      <c r="O450" s="181"/>
      <c r="P450" s="181"/>
      <c r="Q450" s="181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2.75" customHeight="1">
      <c r="A451" s="33"/>
      <c r="B451" s="134"/>
      <c r="C451" s="133"/>
      <c r="D451" s="42"/>
      <c r="E451" s="42"/>
      <c r="F451" s="42"/>
      <c r="G451" s="42"/>
      <c r="H451" s="42"/>
      <c r="I451" s="42"/>
      <c r="J451" s="42"/>
      <c r="K451" s="42"/>
      <c r="L451" s="42"/>
      <c r="M451" s="181"/>
      <c r="N451" s="181"/>
      <c r="O451" s="181"/>
      <c r="P451" s="181"/>
      <c r="Q451" s="181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2.75" customHeight="1">
      <c r="A452" s="33"/>
      <c r="B452" s="134"/>
      <c r="C452" s="133"/>
      <c r="D452" s="42"/>
      <c r="E452" s="42"/>
      <c r="F452" s="42"/>
      <c r="G452" s="42"/>
      <c r="H452" s="42"/>
      <c r="I452" s="42"/>
      <c r="J452" s="42"/>
      <c r="K452" s="42"/>
      <c r="L452" s="42"/>
      <c r="M452" s="181"/>
      <c r="N452" s="181"/>
      <c r="O452" s="181"/>
      <c r="P452" s="181"/>
      <c r="Q452" s="181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2.75" customHeight="1">
      <c r="A453" s="33"/>
      <c r="B453" s="134"/>
      <c r="C453" s="133"/>
      <c r="D453" s="42"/>
      <c r="E453" s="42"/>
      <c r="F453" s="42"/>
      <c r="G453" s="42"/>
      <c r="H453" s="42"/>
      <c r="I453" s="42"/>
      <c r="J453" s="42"/>
      <c r="K453" s="42"/>
      <c r="L453" s="42"/>
      <c r="M453" s="181"/>
      <c r="N453" s="181"/>
      <c r="O453" s="181"/>
      <c r="P453" s="181"/>
      <c r="Q453" s="181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2.75" customHeight="1">
      <c r="A454" s="33"/>
      <c r="B454" s="134"/>
      <c r="C454" s="133"/>
      <c r="D454" s="42"/>
      <c r="E454" s="42"/>
      <c r="F454" s="42"/>
      <c r="G454" s="42"/>
      <c r="H454" s="42"/>
      <c r="I454" s="42"/>
      <c r="J454" s="42"/>
      <c r="K454" s="42"/>
      <c r="L454" s="42"/>
      <c r="M454" s="181"/>
      <c r="N454" s="181"/>
      <c r="O454" s="181"/>
      <c r="P454" s="181"/>
      <c r="Q454" s="181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2.75" customHeight="1">
      <c r="A455" s="33"/>
      <c r="B455" s="134"/>
      <c r="C455" s="133"/>
      <c r="D455" s="42"/>
      <c r="E455" s="42"/>
      <c r="F455" s="42"/>
      <c r="G455" s="42"/>
      <c r="H455" s="42"/>
      <c r="I455" s="42"/>
      <c r="J455" s="42"/>
      <c r="K455" s="42"/>
      <c r="L455" s="42"/>
      <c r="M455" s="181"/>
      <c r="N455" s="181"/>
      <c r="O455" s="181"/>
      <c r="P455" s="181"/>
      <c r="Q455" s="181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2.75" customHeight="1">
      <c r="A456" s="33"/>
      <c r="B456" s="134"/>
      <c r="C456" s="133"/>
      <c r="D456" s="42"/>
      <c r="E456" s="42"/>
      <c r="F456" s="42"/>
      <c r="G456" s="42"/>
      <c r="H456" s="42"/>
      <c r="I456" s="42"/>
      <c r="J456" s="42"/>
      <c r="K456" s="42"/>
      <c r="L456" s="42"/>
      <c r="M456" s="181"/>
      <c r="N456" s="181"/>
      <c r="O456" s="181"/>
      <c r="P456" s="181"/>
      <c r="Q456" s="181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2.75" customHeight="1">
      <c r="A457" s="33"/>
      <c r="B457" s="134"/>
      <c r="C457" s="133"/>
      <c r="D457" s="42"/>
      <c r="E457" s="42"/>
      <c r="F457" s="42"/>
      <c r="G457" s="42"/>
      <c r="H457" s="42"/>
      <c r="I457" s="42"/>
      <c r="J457" s="42"/>
      <c r="K457" s="42"/>
      <c r="L457" s="42"/>
      <c r="M457" s="181"/>
      <c r="N457" s="181"/>
      <c r="O457" s="181"/>
      <c r="P457" s="181"/>
      <c r="Q457" s="181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2.75" customHeight="1">
      <c r="A458" s="33"/>
      <c r="B458" s="134"/>
      <c r="C458" s="133"/>
      <c r="D458" s="42"/>
      <c r="E458" s="42"/>
      <c r="F458" s="42"/>
      <c r="G458" s="42"/>
      <c r="H458" s="42"/>
      <c r="I458" s="42"/>
      <c r="J458" s="42"/>
      <c r="K458" s="42"/>
      <c r="L458" s="42"/>
      <c r="M458" s="181"/>
      <c r="N458" s="181"/>
      <c r="O458" s="181"/>
      <c r="P458" s="181"/>
      <c r="Q458" s="181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2.75" customHeight="1">
      <c r="A459" s="33"/>
      <c r="B459" s="134"/>
      <c r="C459" s="133"/>
      <c r="D459" s="42"/>
      <c r="E459" s="42"/>
      <c r="F459" s="42"/>
      <c r="G459" s="42"/>
      <c r="H459" s="42"/>
      <c r="I459" s="42"/>
      <c r="J459" s="42"/>
      <c r="K459" s="42"/>
      <c r="L459" s="42"/>
      <c r="M459" s="181"/>
      <c r="N459" s="181"/>
      <c r="O459" s="181"/>
      <c r="P459" s="181"/>
      <c r="Q459" s="181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2.75" customHeight="1">
      <c r="A460" s="33"/>
      <c r="B460" s="134"/>
      <c r="C460" s="133"/>
      <c r="D460" s="42"/>
      <c r="E460" s="42"/>
      <c r="F460" s="42"/>
      <c r="G460" s="42"/>
      <c r="H460" s="42"/>
      <c r="I460" s="42"/>
      <c r="J460" s="42"/>
      <c r="K460" s="42"/>
      <c r="L460" s="42"/>
      <c r="M460" s="181"/>
      <c r="N460" s="181"/>
      <c r="O460" s="181"/>
      <c r="P460" s="181"/>
      <c r="Q460" s="181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2.75" customHeight="1">
      <c r="A461" s="33"/>
      <c r="B461" s="134"/>
      <c r="C461" s="133"/>
      <c r="D461" s="42"/>
      <c r="E461" s="42"/>
      <c r="F461" s="42"/>
      <c r="G461" s="42"/>
      <c r="H461" s="42"/>
      <c r="I461" s="42"/>
      <c r="J461" s="42"/>
      <c r="K461" s="42"/>
      <c r="L461" s="42"/>
      <c r="M461" s="181"/>
      <c r="N461" s="181"/>
      <c r="O461" s="181"/>
      <c r="P461" s="181"/>
      <c r="Q461" s="181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2.75" customHeight="1">
      <c r="A462" s="33"/>
      <c r="B462" s="134"/>
      <c r="C462" s="133"/>
      <c r="D462" s="42"/>
      <c r="E462" s="42"/>
      <c r="F462" s="42"/>
      <c r="G462" s="42"/>
      <c r="H462" s="42"/>
      <c r="I462" s="42"/>
      <c r="J462" s="42"/>
      <c r="K462" s="42"/>
      <c r="L462" s="42"/>
      <c r="M462" s="181"/>
      <c r="N462" s="181"/>
      <c r="O462" s="181"/>
      <c r="P462" s="181"/>
      <c r="Q462" s="181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2.75" customHeight="1">
      <c r="A463" s="33"/>
      <c r="B463" s="134"/>
      <c r="C463" s="133"/>
      <c r="D463" s="42"/>
      <c r="E463" s="42"/>
      <c r="F463" s="42"/>
      <c r="G463" s="42"/>
      <c r="H463" s="42"/>
      <c r="I463" s="42"/>
      <c r="J463" s="42"/>
      <c r="K463" s="42"/>
      <c r="L463" s="42"/>
      <c r="M463" s="181"/>
      <c r="N463" s="181"/>
      <c r="O463" s="181"/>
      <c r="P463" s="181"/>
      <c r="Q463" s="181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2.75" customHeight="1">
      <c r="A464" s="33"/>
      <c r="B464" s="134"/>
      <c r="C464" s="133"/>
      <c r="D464" s="42"/>
      <c r="E464" s="42"/>
      <c r="F464" s="42"/>
      <c r="G464" s="42"/>
      <c r="H464" s="42"/>
      <c r="I464" s="42"/>
      <c r="J464" s="42"/>
      <c r="K464" s="42"/>
      <c r="L464" s="42"/>
      <c r="M464" s="181"/>
      <c r="N464" s="181"/>
      <c r="O464" s="181"/>
      <c r="P464" s="181"/>
      <c r="Q464" s="181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2.75" customHeight="1">
      <c r="A465" s="33"/>
      <c r="B465" s="134"/>
      <c r="C465" s="133"/>
      <c r="D465" s="42"/>
      <c r="E465" s="42"/>
      <c r="F465" s="42"/>
      <c r="G465" s="42"/>
      <c r="H465" s="42"/>
      <c r="I465" s="42"/>
      <c r="J465" s="42"/>
      <c r="K465" s="42"/>
      <c r="L465" s="42"/>
      <c r="M465" s="181"/>
      <c r="N465" s="181"/>
      <c r="O465" s="181"/>
      <c r="P465" s="181"/>
      <c r="Q465" s="181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2.75" customHeight="1">
      <c r="A466" s="33"/>
      <c r="B466" s="134"/>
      <c r="C466" s="133"/>
      <c r="D466" s="42"/>
      <c r="E466" s="42"/>
      <c r="F466" s="42"/>
      <c r="G466" s="42"/>
      <c r="H466" s="42"/>
      <c r="I466" s="42"/>
      <c r="J466" s="42"/>
      <c r="K466" s="42"/>
      <c r="L466" s="42"/>
      <c r="M466" s="181"/>
      <c r="N466" s="181"/>
      <c r="O466" s="181"/>
      <c r="P466" s="181"/>
      <c r="Q466" s="181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2.75" customHeight="1">
      <c r="A467" s="33"/>
      <c r="B467" s="134"/>
      <c r="C467" s="133"/>
      <c r="D467" s="42"/>
      <c r="E467" s="42"/>
      <c r="F467" s="42"/>
      <c r="G467" s="42"/>
      <c r="H467" s="42"/>
      <c r="I467" s="42"/>
      <c r="J467" s="42"/>
      <c r="K467" s="42"/>
      <c r="L467" s="42"/>
      <c r="M467" s="181"/>
      <c r="N467" s="181"/>
      <c r="O467" s="181"/>
      <c r="P467" s="181"/>
      <c r="Q467" s="181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2.75" customHeight="1">
      <c r="A468" s="33"/>
      <c r="B468" s="134"/>
      <c r="C468" s="133"/>
      <c r="D468" s="42"/>
      <c r="E468" s="42"/>
      <c r="F468" s="42"/>
      <c r="G468" s="42"/>
      <c r="H468" s="42"/>
      <c r="I468" s="42"/>
      <c r="J468" s="42"/>
      <c r="K468" s="42"/>
      <c r="L468" s="42"/>
      <c r="M468" s="181"/>
      <c r="N468" s="181"/>
      <c r="O468" s="181"/>
      <c r="P468" s="181"/>
      <c r="Q468" s="181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2.75" customHeight="1">
      <c r="A469" s="33"/>
      <c r="B469" s="134"/>
      <c r="C469" s="133"/>
      <c r="D469" s="42"/>
      <c r="E469" s="42"/>
      <c r="F469" s="42"/>
      <c r="G469" s="42"/>
      <c r="H469" s="42"/>
      <c r="I469" s="42"/>
      <c r="J469" s="42"/>
      <c r="K469" s="42"/>
      <c r="L469" s="42"/>
      <c r="M469" s="181"/>
      <c r="N469" s="181"/>
      <c r="O469" s="181"/>
      <c r="P469" s="181"/>
      <c r="Q469" s="181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2.75" customHeight="1">
      <c r="A470" s="33"/>
      <c r="B470" s="134"/>
      <c r="C470" s="133"/>
      <c r="D470" s="42"/>
      <c r="E470" s="42"/>
      <c r="F470" s="42"/>
      <c r="G470" s="42"/>
      <c r="H470" s="42"/>
      <c r="I470" s="42"/>
      <c r="J470" s="42"/>
      <c r="K470" s="42"/>
      <c r="L470" s="42"/>
      <c r="M470" s="181"/>
      <c r="N470" s="181"/>
      <c r="O470" s="181"/>
      <c r="P470" s="181"/>
      <c r="Q470" s="181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2.75" customHeight="1">
      <c r="A471" s="33"/>
      <c r="B471" s="134"/>
      <c r="C471" s="133"/>
      <c r="D471" s="42"/>
      <c r="E471" s="42"/>
      <c r="F471" s="42"/>
      <c r="G471" s="42"/>
      <c r="H471" s="42"/>
      <c r="I471" s="42"/>
      <c r="J471" s="42"/>
      <c r="K471" s="42"/>
      <c r="L471" s="42"/>
      <c r="M471" s="181"/>
      <c r="N471" s="181"/>
      <c r="O471" s="181"/>
      <c r="P471" s="181"/>
      <c r="Q471" s="181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2.75" customHeight="1">
      <c r="A472" s="33"/>
      <c r="B472" s="134"/>
      <c r="C472" s="133"/>
      <c r="D472" s="42"/>
      <c r="E472" s="42"/>
      <c r="F472" s="42"/>
      <c r="G472" s="42"/>
      <c r="H472" s="42"/>
      <c r="I472" s="42"/>
      <c r="J472" s="42"/>
      <c r="K472" s="42"/>
      <c r="L472" s="42"/>
      <c r="M472" s="181"/>
      <c r="N472" s="181"/>
      <c r="O472" s="181"/>
      <c r="P472" s="181"/>
      <c r="Q472" s="181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2.75" customHeight="1">
      <c r="A473" s="33"/>
      <c r="B473" s="134"/>
      <c r="C473" s="133"/>
      <c r="D473" s="42"/>
      <c r="E473" s="42"/>
      <c r="F473" s="42"/>
      <c r="G473" s="42"/>
      <c r="H473" s="42"/>
      <c r="I473" s="42"/>
      <c r="J473" s="42"/>
      <c r="K473" s="42"/>
      <c r="L473" s="42"/>
      <c r="M473" s="181"/>
      <c r="N473" s="181"/>
      <c r="O473" s="181"/>
      <c r="P473" s="181"/>
      <c r="Q473" s="181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2.75" customHeight="1">
      <c r="A474" s="33"/>
      <c r="B474" s="134"/>
      <c r="C474" s="133"/>
      <c r="D474" s="42"/>
      <c r="E474" s="42"/>
      <c r="F474" s="42"/>
      <c r="G474" s="42"/>
      <c r="H474" s="42"/>
      <c r="I474" s="42"/>
      <c r="J474" s="42"/>
      <c r="K474" s="42"/>
      <c r="L474" s="42"/>
      <c r="M474" s="181"/>
      <c r="N474" s="181"/>
      <c r="O474" s="181"/>
      <c r="P474" s="181"/>
      <c r="Q474" s="181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2.75" customHeight="1">
      <c r="A475" s="33"/>
      <c r="B475" s="134"/>
      <c r="C475" s="133"/>
      <c r="D475" s="42"/>
      <c r="E475" s="42"/>
      <c r="F475" s="42"/>
      <c r="G475" s="42"/>
      <c r="H475" s="42"/>
      <c r="I475" s="42"/>
      <c r="J475" s="42"/>
      <c r="K475" s="42"/>
      <c r="L475" s="42"/>
      <c r="M475" s="181"/>
      <c r="N475" s="181"/>
      <c r="O475" s="181"/>
      <c r="P475" s="181"/>
      <c r="Q475" s="181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2.75" customHeight="1">
      <c r="A476" s="33"/>
      <c r="B476" s="134"/>
      <c r="C476" s="133"/>
      <c r="D476" s="42"/>
      <c r="E476" s="42"/>
      <c r="F476" s="42"/>
      <c r="G476" s="42"/>
      <c r="H476" s="42"/>
      <c r="I476" s="42"/>
      <c r="J476" s="42"/>
      <c r="K476" s="42"/>
      <c r="L476" s="42"/>
      <c r="M476" s="181"/>
      <c r="N476" s="181"/>
      <c r="O476" s="181"/>
      <c r="P476" s="181"/>
      <c r="Q476" s="181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2.75" customHeight="1">
      <c r="A477" s="33"/>
      <c r="B477" s="134"/>
      <c r="C477" s="133"/>
      <c r="D477" s="42"/>
      <c r="E477" s="42"/>
      <c r="F477" s="42"/>
      <c r="G477" s="42"/>
      <c r="H477" s="42"/>
      <c r="I477" s="42"/>
      <c r="J477" s="42"/>
      <c r="K477" s="42"/>
      <c r="L477" s="42"/>
      <c r="M477" s="181"/>
      <c r="N477" s="181"/>
      <c r="O477" s="181"/>
      <c r="P477" s="181"/>
      <c r="Q477" s="181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2.75" customHeight="1">
      <c r="A478" s="33"/>
      <c r="B478" s="134"/>
      <c r="C478" s="133"/>
      <c r="D478" s="42"/>
      <c r="E478" s="42"/>
      <c r="F478" s="42"/>
      <c r="G478" s="42"/>
      <c r="H478" s="42"/>
      <c r="I478" s="42"/>
      <c r="J478" s="42"/>
      <c r="K478" s="42"/>
      <c r="L478" s="42"/>
      <c r="M478" s="181"/>
      <c r="N478" s="181"/>
      <c r="O478" s="181"/>
      <c r="P478" s="181"/>
      <c r="Q478" s="181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2.75" customHeight="1">
      <c r="A479" s="33"/>
      <c r="B479" s="134"/>
      <c r="C479" s="133"/>
      <c r="D479" s="42"/>
      <c r="E479" s="42"/>
      <c r="F479" s="42"/>
      <c r="G479" s="42"/>
      <c r="H479" s="42"/>
      <c r="I479" s="42"/>
      <c r="J479" s="42"/>
      <c r="K479" s="42"/>
      <c r="L479" s="42"/>
      <c r="M479" s="181"/>
      <c r="N479" s="181"/>
      <c r="O479" s="181"/>
      <c r="P479" s="181"/>
      <c r="Q479" s="181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2.75" customHeight="1">
      <c r="A480" s="33"/>
      <c r="B480" s="134"/>
      <c r="C480" s="133"/>
      <c r="D480" s="42"/>
      <c r="E480" s="42"/>
      <c r="F480" s="42"/>
      <c r="G480" s="42"/>
      <c r="H480" s="42"/>
      <c r="I480" s="42"/>
      <c r="J480" s="42"/>
      <c r="K480" s="42"/>
      <c r="L480" s="42"/>
      <c r="M480" s="181"/>
      <c r="N480" s="181"/>
      <c r="O480" s="181"/>
      <c r="P480" s="181"/>
      <c r="Q480" s="181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2.75" customHeight="1">
      <c r="A481" s="33"/>
      <c r="B481" s="134"/>
      <c r="C481" s="133"/>
      <c r="D481" s="42"/>
      <c r="E481" s="42"/>
      <c r="F481" s="42"/>
      <c r="G481" s="42"/>
      <c r="H481" s="42"/>
      <c r="I481" s="42"/>
      <c r="J481" s="42"/>
      <c r="K481" s="42"/>
      <c r="L481" s="42"/>
      <c r="M481" s="181"/>
      <c r="N481" s="181"/>
      <c r="O481" s="181"/>
      <c r="P481" s="181"/>
      <c r="Q481" s="181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2.75" customHeight="1">
      <c r="A482" s="33"/>
      <c r="B482" s="134"/>
      <c r="C482" s="133"/>
      <c r="D482" s="42"/>
      <c r="E482" s="42"/>
      <c r="F482" s="42"/>
      <c r="G482" s="42"/>
      <c r="H482" s="42"/>
      <c r="I482" s="42"/>
      <c r="J482" s="42"/>
      <c r="K482" s="42"/>
      <c r="L482" s="42"/>
      <c r="M482" s="181"/>
      <c r="N482" s="181"/>
      <c r="O482" s="181"/>
      <c r="P482" s="181"/>
      <c r="Q482" s="181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2.75" customHeight="1">
      <c r="A483" s="33"/>
      <c r="B483" s="134"/>
      <c r="C483" s="133"/>
      <c r="D483" s="42"/>
      <c r="E483" s="42"/>
      <c r="F483" s="42"/>
      <c r="G483" s="42"/>
      <c r="H483" s="42"/>
      <c r="I483" s="42"/>
      <c r="J483" s="42"/>
      <c r="K483" s="42"/>
      <c r="L483" s="42"/>
      <c r="M483" s="181"/>
      <c r="N483" s="181"/>
      <c r="O483" s="181"/>
      <c r="P483" s="181"/>
      <c r="Q483" s="181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2.75" customHeight="1">
      <c r="A484" s="33"/>
      <c r="B484" s="134"/>
      <c r="C484" s="133"/>
      <c r="D484" s="42"/>
      <c r="E484" s="42"/>
      <c r="F484" s="42"/>
      <c r="G484" s="42"/>
      <c r="H484" s="42"/>
      <c r="I484" s="42"/>
      <c r="J484" s="42"/>
      <c r="K484" s="42"/>
      <c r="L484" s="42"/>
      <c r="M484" s="181"/>
      <c r="N484" s="181"/>
      <c r="O484" s="181"/>
      <c r="P484" s="181"/>
      <c r="Q484" s="181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2.75" customHeight="1">
      <c r="A485" s="33"/>
      <c r="B485" s="134"/>
      <c r="C485" s="133"/>
      <c r="D485" s="42"/>
      <c r="E485" s="42"/>
      <c r="F485" s="42"/>
      <c r="G485" s="42"/>
      <c r="H485" s="42"/>
      <c r="I485" s="42"/>
      <c r="J485" s="42"/>
      <c r="K485" s="42"/>
      <c r="L485" s="42"/>
      <c r="M485" s="181"/>
      <c r="N485" s="181"/>
      <c r="O485" s="181"/>
      <c r="P485" s="181"/>
      <c r="Q485" s="181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2.75" customHeight="1">
      <c r="A486" s="33"/>
      <c r="B486" s="134"/>
      <c r="C486" s="133"/>
      <c r="D486" s="42"/>
      <c r="E486" s="42"/>
      <c r="F486" s="42"/>
      <c r="G486" s="42"/>
      <c r="H486" s="42"/>
      <c r="I486" s="42"/>
      <c r="J486" s="42"/>
      <c r="K486" s="42"/>
      <c r="L486" s="42"/>
      <c r="M486" s="181"/>
      <c r="N486" s="181"/>
      <c r="O486" s="181"/>
      <c r="P486" s="181"/>
      <c r="Q486" s="181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2.75" customHeight="1">
      <c r="A487" s="33"/>
      <c r="B487" s="134"/>
      <c r="C487" s="133"/>
      <c r="D487" s="42"/>
      <c r="E487" s="42"/>
      <c r="F487" s="42"/>
      <c r="G487" s="42"/>
      <c r="H487" s="42"/>
      <c r="I487" s="42"/>
      <c r="J487" s="42"/>
      <c r="K487" s="42"/>
      <c r="L487" s="42"/>
      <c r="M487" s="181"/>
      <c r="N487" s="181"/>
      <c r="O487" s="181"/>
      <c r="P487" s="181"/>
      <c r="Q487" s="181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2.75" customHeight="1">
      <c r="A488" s="33"/>
      <c r="B488" s="134"/>
      <c r="C488" s="133"/>
      <c r="D488" s="42"/>
      <c r="E488" s="42"/>
      <c r="F488" s="42"/>
      <c r="G488" s="42"/>
      <c r="H488" s="42"/>
      <c r="I488" s="42"/>
      <c r="J488" s="42"/>
      <c r="K488" s="42"/>
      <c r="L488" s="42"/>
      <c r="M488" s="181"/>
      <c r="N488" s="181"/>
      <c r="O488" s="181"/>
      <c r="P488" s="181"/>
      <c r="Q488" s="181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2.75" customHeight="1">
      <c r="A489" s="33"/>
      <c r="B489" s="134"/>
      <c r="C489" s="133"/>
      <c r="D489" s="42"/>
      <c r="E489" s="42"/>
      <c r="F489" s="42"/>
      <c r="G489" s="42"/>
      <c r="H489" s="42"/>
      <c r="I489" s="42"/>
      <c r="J489" s="42"/>
      <c r="K489" s="42"/>
      <c r="L489" s="42"/>
      <c r="M489" s="181"/>
      <c r="N489" s="181"/>
      <c r="O489" s="181"/>
      <c r="P489" s="181"/>
      <c r="Q489" s="181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2.75" customHeight="1">
      <c r="A490" s="33"/>
      <c r="B490" s="134"/>
      <c r="C490" s="133"/>
      <c r="D490" s="42"/>
      <c r="E490" s="42"/>
      <c r="F490" s="42"/>
      <c r="G490" s="42"/>
      <c r="H490" s="42"/>
      <c r="I490" s="42"/>
      <c r="J490" s="42"/>
      <c r="K490" s="42"/>
      <c r="L490" s="42"/>
      <c r="M490" s="181"/>
      <c r="N490" s="181"/>
      <c r="O490" s="181"/>
      <c r="P490" s="181"/>
      <c r="Q490" s="181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2.75" customHeight="1">
      <c r="A491" s="33"/>
      <c r="B491" s="134"/>
      <c r="C491" s="133"/>
      <c r="D491" s="42"/>
      <c r="E491" s="42"/>
      <c r="F491" s="42"/>
      <c r="G491" s="42"/>
      <c r="H491" s="42"/>
      <c r="I491" s="42"/>
      <c r="J491" s="42"/>
      <c r="K491" s="42"/>
      <c r="L491" s="42"/>
      <c r="M491" s="181"/>
      <c r="N491" s="181"/>
      <c r="O491" s="181"/>
      <c r="P491" s="181"/>
      <c r="Q491" s="181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2.75" customHeight="1">
      <c r="A492" s="33"/>
      <c r="B492" s="134"/>
      <c r="C492" s="133"/>
      <c r="D492" s="42"/>
      <c r="E492" s="42"/>
      <c r="F492" s="42"/>
      <c r="G492" s="42"/>
      <c r="H492" s="42"/>
      <c r="I492" s="42"/>
      <c r="J492" s="42"/>
      <c r="K492" s="42"/>
      <c r="L492" s="42"/>
      <c r="M492" s="181"/>
      <c r="N492" s="181"/>
      <c r="O492" s="181"/>
      <c r="P492" s="181"/>
      <c r="Q492" s="181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2.75" customHeight="1">
      <c r="A493" s="33"/>
      <c r="B493" s="134"/>
      <c r="C493" s="133"/>
      <c r="D493" s="42"/>
      <c r="E493" s="42"/>
      <c r="F493" s="42"/>
      <c r="G493" s="42"/>
      <c r="H493" s="42"/>
      <c r="I493" s="42"/>
      <c r="J493" s="42"/>
      <c r="K493" s="42"/>
      <c r="L493" s="42"/>
      <c r="M493" s="181"/>
      <c r="N493" s="181"/>
      <c r="O493" s="181"/>
      <c r="P493" s="181"/>
      <c r="Q493" s="181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2.75" customHeight="1">
      <c r="A494" s="33"/>
      <c r="B494" s="134"/>
      <c r="C494" s="133"/>
      <c r="D494" s="42"/>
      <c r="E494" s="42"/>
      <c r="F494" s="42"/>
      <c r="G494" s="42"/>
      <c r="H494" s="42"/>
      <c r="I494" s="42"/>
      <c r="J494" s="42"/>
      <c r="K494" s="42"/>
      <c r="L494" s="42"/>
      <c r="M494" s="181"/>
      <c r="N494" s="181"/>
      <c r="O494" s="181"/>
      <c r="P494" s="181"/>
      <c r="Q494" s="181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2.75" customHeight="1">
      <c r="A495" s="33"/>
      <c r="B495" s="134"/>
      <c r="C495" s="133"/>
      <c r="D495" s="42"/>
      <c r="E495" s="42"/>
      <c r="F495" s="42"/>
      <c r="G495" s="42"/>
      <c r="H495" s="42"/>
      <c r="I495" s="42"/>
      <c r="J495" s="42"/>
      <c r="K495" s="42"/>
      <c r="L495" s="42"/>
      <c r="M495" s="181"/>
      <c r="N495" s="181"/>
      <c r="O495" s="181"/>
      <c r="P495" s="181"/>
      <c r="Q495" s="181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2.75" customHeight="1">
      <c r="A496" s="33"/>
      <c r="B496" s="134"/>
      <c r="C496" s="133"/>
      <c r="D496" s="42"/>
      <c r="E496" s="42"/>
      <c r="F496" s="42"/>
      <c r="G496" s="42"/>
      <c r="H496" s="42"/>
      <c r="I496" s="42"/>
      <c r="J496" s="42"/>
      <c r="K496" s="42"/>
      <c r="L496" s="42"/>
      <c r="M496" s="181"/>
      <c r="N496" s="181"/>
      <c r="O496" s="181"/>
      <c r="P496" s="181"/>
      <c r="Q496" s="181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2.75" customHeight="1">
      <c r="A497" s="33"/>
      <c r="B497" s="134"/>
      <c r="C497" s="133"/>
      <c r="D497" s="42"/>
      <c r="E497" s="42"/>
      <c r="F497" s="42"/>
      <c r="G497" s="42"/>
      <c r="H497" s="42"/>
      <c r="I497" s="42"/>
      <c r="J497" s="42"/>
      <c r="K497" s="42"/>
      <c r="L497" s="42"/>
      <c r="M497" s="181"/>
      <c r="N497" s="181"/>
      <c r="O497" s="181"/>
      <c r="P497" s="181"/>
      <c r="Q497" s="181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2.75" customHeight="1">
      <c r="A498" s="33"/>
      <c r="B498" s="134"/>
      <c r="C498" s="133"/>
      <c r="D498" s="42"/>
      <c r="E498" s="42"/>
      <c r="F498" s="42"/>
      <c r="G498" s="42"/>
      <c r="H498" s="42"/>
      <c r="I498" s="42"/>
      <c r="J498" s="42"/>
      <c r="K498" s="42"/>
      <c r="L498" s="42"/>
      <c r="M498" s="181"/>
      <c r="N498" s="181"/>
      <c r="O498" s="181"/>
      <c r="P498" s="181"/>
      <c r="Q498" s="181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2.75" customHeight="1">
      <c r="A499" s="33"/>
      <c r="B499" s="134"/>
      <c r="C499" s="133"/>
      <c r="D499" s="42"/>
      <c r="E499" s="42"/>
      <c r="F499" s="42"/>
      <c r="G499" s="42"/>
      <c r="H499" s="42"/>
      <c r="I499" s="42"/>
      <c r="J499" s="42"/>
      <c r="K499" s="42"/>
      <c r="L499" s="42"/>
      <c r="M499" s="181"/>
      <c r="N499" s="181"/>
      <c r="O499" s="181"/>
      <c r="P499" s="181"/>
      <c r="Q499" s="181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2.75" customHeight="1">
      <c r="A500" s="33"/>
      <c r="B500" s="134"/>
      <c r="C500" s="133"/>
      <c r="D500" s="42"/>
      <c r="E500" s="42"/>
      <c r="F500" s="42"/>
      <c r="G500" s="42"/>
      <c r="H500" s="42"/>
      <c r="I500" s="42"/>
      <c r="J500" s="42"/>
      <c r="K500" s="42"/>
      <c r="L500" s="42"/>
      <c r="M500" s="181"/>
      <c r="N500" s="181"/>
      <c r="O500" s="181"/>
      <c r="P500" s="181"/>
      <c r="Q500" s="181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2.75" customHeight="1">
      <c r="A501" s="33"/>
      <c r="B501" s="134"/>
      <c r="C501" s="133"/>
      <c r="D501" s="42"/>
      <c r="E501" s="42"/>
      <c r="F501" s="42"/>
      <c r="G501" s="42"/>
      <c r="H501" s="42"/>
      <c r="I501" s="42"/>
      <c r="J501" s="42"/>
      <c r="K501" s="42"/>
      <c r="L501" s="42"/>
      <c r="M501" s="181"/>
      <c r="N501" s="181"/>
      <c r="O501" s="181"/>
      <c r="P501" s="181"/>
      <c r="Q501" s="181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2.75" customHeight="1">
      <c r="A502" s="33"/>
      <c r="B502" s="134"/>
      <c r="C502" s="133"/>
      <c r="D502" s="42"/>
      <c r="E502" s="42"/>
      <c r="F502" s="42"/>
      <c r="G502" s="42"/>
      <c r="H502" s="42"/>
      <c r="I502" s="42"/>
      <c r="J502" s="42"/>
      <c r="K502" s="42"/>
      <c r="L502" s="42"/>
      <c r="M502" s="181"/>
      <c r="N502" s="181"/>
      <c r="O502" s="181"/>
      <c r="P502" s="181"/>
      <c r="Q502" s="181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2.75" customHeight="1">
      <c r="A503" s="33"/>
      <c r="B503" s="134"/>
      <c r="C503" s="133"/>
      <c r="D503" s="42"/>
      <c r="E503" s="42"/>
      <c r="F503" s="42"/>
      <c r="G503" s="42"/>
      <c r="H503" s="42"/>
      <c r="I503" s="42"/>
      <c r="J503" s="42"/>
      <c r="K503" s="42"/>
      <c r="L503" s="42"/>
      <c r="M503" s="181"/>
      <c r="N503" s="181"/>
      <c r="O503" s="181"/>
      <c r="P503" s="181"/>
      <c r="Q503" s="181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2.75" customHeight="1">
      <c r="A504" s="33"/>
      <c r="B504" s="134"/>
      <c r="C504" s="133"/>
      <c r="D504" s="42"/>
      <c r="E504" s="42"/>
      <c r="F504" s="42"/>
      <c r="G504" s="42"/>
      <c r="H504" s="42"/>
      <c r="I504" s="42"/>
      <c r="J504" s="42"/>
      <c r="K504" s="42"/>
      <c r="L504" s="42"/>
      <c r="M504" s="181"/>
      <c r="N504" s="181"/>
      <c r="O504" s="181"/>
      <c r="P504" s="181"/>
      <c r="Q504" s="181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2.75" customHeight="1">
      <c r="A505" s="33"/>
      <c r="B505" s="134"/>
      <c r="C505" s="133"/>
      <c r="D505" s="42"/>
      <c r="E505" s="42"/>
      <c r="F505" s="42"/>
      <c r="G505" s="42"/>
      <c r="H505" s="42"/>
      <c r="I505" s="42"/>
      <c r="J505" s="42"/>
      <c r="K505" s="42"/>
      <c r="L505" s="42"/>
      <c r="M505" s="181"/>
      <c r="N505" s="181"/>
      <c r="O505" s="181"/>
      <c r="P505" s="181"/>
      <c r="Q505" s="181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2.75" customHeight="1">
      <c r="A506" s="33"/>
      <c r="B506" s="134"/>
      <c r="C506" s="133"/>
      <c r="D506" s="42"/>
      <c r="E506" s="42"/>
      <c r="F506" s="42"/>
      <c r="G506" s="42"/>
      <c r="H506" s="42"/>
      <c r="I506" s="42"/>
      <c r="J506" s="42"/>
      <c r="K506" s="42"/>
      <c r="L506" s="42"/>
      <c r="M506" s="181"/>
      <c r="N506" s="181"/>
      <c r="O506" s="181"/>
      <c r="P506" s="181"/>
      <c r="Q506" s="181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2.75" customHeight="1">
      <c r="A507" s="33"/>
      <c r="B507" s="134"/>
      <c r="C507" s="133"/>
      <c r="D507" s="42"/>
      <c r="E507" s="42"/>
      <c r="F507" s="42"/>
      <c r="G507" s="42"/>
      <c r="H507" s="42"/>
      <c r="I507" s="42"/>
      <c r="J507" s="42"/>
      <c r="K507" s="42"/>
      <c r="L507" s="42"/>
      <c r="M507" s="181"/>
      <c r="N507" s="181"/>
      <c r="O507" s="181"/>
      <c r="P507" s="181"/>
      <c r="Q507" s="181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2.75" customHeight="1">
      <c r="A508" s="33"/>
      <c r="B508" s="134"/>
      <c r="C508" s="133"/>
      <c r="D508" s="42"/>
      <c r="E508" s="42"/>
      <c r="F508" s="42"/>
      <c r="G508" s="42"/>
      <c r="H508" s="42"/>
      <c r="I508" s="42"/>
      <c r="J508" s="42"/>
      <c r="K508" s="42"/>
      <c r="L508" s="42"/>
      <c r="M508" s="181"/>
      <c r="N508" s="181"/>
      <c r="O508" s="181"/>
      <c r="P508" s="181"/>
      <c r="Q508" s="181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2.75" customHeight="1">
      <c r="A509" s="33"/>
      <c r="B509" s="134"/>
      <c r="C509" s="133"/>
      <c r="D509" s="42"/>
      <c r="E509" s="42"/>
      <c r="F509" s="42"/>
      <c r="G509" s="42"/>
      <c r="H509" s="42"/>
      <c r="I509" s="42"/>
      <c r="J509" s="42"/>
      <c r="K509" s="42"/>
      <c r="L509" s="42"/>
      <c r="M509" s="181"/>
      <c r="N509" s="181"/>
      <c r="O509" s="181"/>
      <c r="P509" s="181"/>
      <c r="Q509" s="181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2.75" customHeight="1">
      <c r="A510" s="33"/>
      <c r="B510" s="134"/>
      <c r="C510" s="133"/>
      <c r="D510" s="42"/>
      <c r="E510" s="42"/>
      <c r="F510" s="42"/>
      <c r="G510" s="42"/>
      <c r="H510" s="42"/>
      <c r="I510" s="42"/>
      <c r="J510" s="42"/>
      <c r="K510" s="42"/>
      <c r="L510" s="42"/>
      <c r="M510" s="181"/>
      <c r="N510" s="181"/>
      <c r="O510" s="181"/>
      <c r="P510" s="181"/>
      <c r="Q510" s="181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2.75" customHeight="1">
      <c r="A511" s="33"/>
      <c r="B511" s="134"/>
      <c r="C511" s="133"/>
      <c r="D511" s="42"/>
      <c r="E511" s="42"/>
      <c r="F511" s="42"/>
      <c r="G511" s="42"/>
      <c r="H511" s="42"/>
      <c r="I511" s="42"/>
      <c r="J511" s="42"/>
      <c r="K511" s="42"/>
      <c r="L511" s="42"/>
      <c r="M511" s="181"/>
      <c r="N511" s="181"/>
      <c r="O511" s="181"/>
      <c r="P511" s="181"/>
      <c r="Q511" s="181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2.75" customHeight="1">
      <c r="A512" s="33"/>
      <c r="B512" s="134"/>
      <c r="C512" s="133"/>
      <c r="D512" s="42"/>
      <c r="E512" s="42"/>
      <c r="F512" s="42"/>
      <c r="G512" s="42"/>
      <c r="H512" s="42"/>
      <c r="I512" s="42"/>
      <c r="J512" s="42"/>
      <c r="K512" s="42"/>
      <c r="L512" s="42"/>
      <c r="M512" s="181"/>
      <c r="N512" s="181"/>
      <c r="O512" s="181"/>
      <c r="P512" s="181"/>
      <c r="Q512" s="181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2.75" customHeight="1">
      <c r="A513" s="33"/>
      <c r="B513" s="134"/>
      <c r="C513" s="133"/>
      <c r="D513" s="42"/>
      <c r="E513" s="42"/>
      <c r="F513" s="42"/>
      <c r="G513" s="42"/>
      <c r="H513" s="42"/>
      <c r="I513" s="42"/>
      <c r="J513" s="42"/>
      <c r="K513" s="42"/>
      <c r="L513" s="42"/>
      <c r="M513" s="181"/>
      <c r="N513" s="181"/>
      <c r="O513" s="181"/>
      <c r="P513" s="181"/>
      <c r="Q513" s="181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2.75" customHeight="1">
      <c r="A514" s="33"/>
      <c r="B514" s="134"/>
      <c r="C514" s="133"/>
      <c r="D514" s="42"/>
      <c r="E514" s="42"/>
      <c r="F514" s="42"/>
      <c r="G514" s="42"/>
      <c r="H514" s="42"/>
      <c r="I514" s="42"/>
      <c r="J514" s="42"/>
      <c r="K514" s="42"/>
      <c r="L514" s="42"/>
      <c r="M514" s="181"/>
      <c r="N514" s="181"/>
      <c r="O514" s="181"/>
      <c r="P514" s="181"/>
      <c r="Q514" s="181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2.75" customHeight="1">
      <c r="A515" s="33"/>
      <c r="B515" s="134"/>
      <c r="C515" s="133"/>
      <c r="D515" s="42"/>
      <c r="E515" s="42"/>
      <c r="F515" s="42"/>
      <c r="G515" s="42"/>
      <c r="H515" s="42"/>
      <c r="I515" s="42"/>
      <c r="J515" s="42"/>
      <c r="K515" s="42"/>
      <c r="L515" s="42"/>
      <c r="M515" s="181"/>
      <c r="N515" s="181"/>
      <c r="O515" s="181"/>
      <c r="P515" s="181"/>
      <c r="Q515" s="181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2.75" customHeight="1">
      <c r="A516" s="33"/>
      <c r="B516" s="134"/>
      <c r="C516" s="133"/>
      <c r="D516" s="42"/>
      <c r="E516" s="42"/>
      <c r="F516" s="42"/>
      <c r="G516" s="42"/>
      <c r="H516" s="42"/>
      <c r="I516" s="42"/>
      <c r="J516" s="42"/>
      <c r="K516" s="42"/>
      <c r="L516" s="42"/>
      <c r="M516" s="181"/>
      <c r="N516" s="181"/>
      <c r="O516" s="181"/>
      <c r="P516" s="181"/>
      <c r="Q516" s="181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2.75" customHeight="1">
      <c r="A517" s="33"/>
      <c r="B517" s="134"/>
      <c r="C517" s="133"/>
      <c r="D517" s="42"/>
      <c r="E517" s="42"/>
      <c r="F517" s="42"/>
      <c r="G517" s="42"/>
      <c r="H517" s="42"/>
      <c r="I517" s="42"/>
      <c r="J517" s="42"/>
      <c r="K517" s="42"/>
      <c r="L517" s="42"/>
      <c r="M517" s="181"/>
      <c r="N517" s="181"/>
      <c r="O517" s="181"/>
      <c r="P517" s="181"/>
      <c r="Q517" s="181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2.75" customHeight="1">
      <c r="A518" s="33"/>
      <c r="B518" s="134"/>
      <c r="C518" s="133"/>
      <c r="D518" s="42"/>
      <c r="E518" s="42"/>
      <c r="F518" s="42"/>
      <c r="G518" s="42"/>
      <c r="H518" s="42"/>
      <c r="I518" s="42"/>
      <c r="J518" s="42"/>
      <c r="K518" s="42"/>
      <c r="L518" s="42"/>
      <c r="M518" s="181"/>
      <c r="N518" s="181"/>
      <c r="O518" s="181"/>
      <c r="P518" s="181"/>
      <c r="Q518" s="181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2.75" customHeight="1">
      <c r="A519" s="33"/>
      <c r="B519" s="134"/>
      <c r="C519" s="133"/>
      <c r="D519" s="42"/>
      <c r="E519" s="42"/>
      <c r="F519" s="42"/>
      <c r="G519" s="42"/>
      <c r="H519" s="42"/>
      <c r="I519" s="42"/>
      <c r="J519" s="42"/>
      <c r="K519" s="42"/>
      <c r="L519" s="42"/>
      <c r="M519" s="181"/>
      <c r="N519" s="181"/>
      <c r="O519" s="181"/>
      <c r="P519" s="181"/>
      <c r="Q519" s="181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2.75" customHeight="1">
      <c r="A520" s="33"/>
      <c r="B520" s="134"/>
      <c r="C520" s="133"/>
      <c r="D520" s="42"/>
      <c r="E520" s="42"/>
      <c r="F520" s="42"/>
      <c r="G520" s="42"/>
      <c r="H520" s="42"/>
      <c r="I520" s="42"/>
      <c r="J520" s="42"/>
      <c r="K520" s="42"/>
      <c r="L520" s="42"/>
      <c r="M520" s="181"/>
      <c r="N520" s="181"/>
      <c r="O520" s="181"/>
      <c r="P520" s="181"/>
      <c r="Q520" s="181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2.75" customHeight="1">
      <c r="A521" s="33"/>
      <c r="B521" s="134"/>
      <c r="C521" s="133"/>
      <c r="D521" s="42"/>
      <c r="E521" s="42"/>
      <c r="F521" s="42"/>
      <c r="G521" s="42"/>
      <c r="H521" s="42"/>
      <c r="I521" s="42"/>
      <c r="J521" s="42"/>
      <c r="K521" s="42"/>
      <c r="L521" s="42"/>
      <c r="M521" s="181"/>
      <c r="N521" s="181"/>
      <c r="O521" s="181"/>
      <c r="P521" s="181"/>
      <c r="Q521" s="181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2.75" customHeight="1">
      <c r="A522" s="33"/>
      <c r="B522" s="134"/>
      <c r="C522" s="133"/>
      <c r="D522" s="42"/>
      <c r="E522" s="42"/>
      <c r="F522" s="42"/>
      <c r="G522" s="42"/>
      <c r="H522" s="42"/>
      <c r="I522" s="42"/>
      <c r="J522" s="42"/>
      <c r="K522" s="42"/>
      <c r="L522" s="42"/>
      <c r="M522" s="181"/>
      <c r="N522" s="181"/>
      <c r="O522" s="181"/>
      <c r="P522" s="181"/>
      <c r="Q522" s="181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2.75" customHeight="1">
      <c r="A523" s="33"/>
      <c r="B523" s="134"/>
      <c r="C523" s="133"/>
      <c r="D523" s="42"/>
      <c r="E523" s="42"/>
      <c r="F523" s="42"/>
      <c r="G523" s="42"/>
      <c r="H523" s="42"/>
      <c r="I523" s="42"/>
      <c r="J523" s="42"/>
      <c r="K523" s="42"/>
      <c r="L523" s="42"/>
      <c r="M523" s="181"/>
      <c r="N523" s="181"/>
      <c r="O523" s="181"/>
      <c r="P523" s="181"/>
      <c r="Q523" s="181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2.75" customHeight="1">
      <c r="A524" s="33"/>
      <c r="B524" s="134"/>
      <c r="C524" s="133"/>
      <c r="D524" s="42"/>
      <c r="E524" s="42"/>
      <c r="F524" s="42"/>
      <c r="G524" s="42"/>
      <c r="H524" s="42"/>
      <c r="I524" s="42"/>
      <c r="J524" s="42"/>
      <c r="K524" s="42"/>
      <c r="L524" s="42"/>
      <c r="M524" s="181"/>
      <c r="N524" s="181"/>
      <c r="O524" s="181"/>
      <c r="P524" s="181"/>
      <c r="Q524" s="181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2.75" customHeight="1">
      <c r="A525" s="33"/>
      <c r="B525" s="134"/>
      <c r="C525" s="133"/>
      <c r="D525" s="42"/>
      <c r="E525" s="42"/>
      <c r="F525" s="42"/>
      <c r="G525" s="42"/>
      <c r="H525" s="42"/>
      <c r="I525" s="42"/>
      <c r="J525" s="42"/>
      <c r="K525" s="42"/>
      <c r="L525" s="42"/>
      <c r="M525" s="181"/>
      <c r="N525" s="181"/>
      <c r="O525" s="181"/>
      <c r="P525" s="181"/>
      <c r="Q525" s="181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2.75" customHeight="1">
      <c r="A526" s="33"/>
      <c r="B526" s="134"/>
      <c r="C526" s="133"/>
      <c r="D526" s="42"/>
      <c r="E526" s="42"/>
      <c r="F526" s="42"/>
      <c r="G526" s="42"/>
      <c r="H526" s="42"/>
      <c r="I526" s="42"/>
      <c r="J526" s="42"/>
      <c r="K526" s="42"/>
      <c r="L526" s="42"/>
      <c r="M526" s="181"/>
      <c r="N526" s="181"/>
      <c r="O526" s="181"/>
      <c r="P526" s="181"/>
      <c r="Q526" s="181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2.75" customHeight="1">
      <c r="A527" s="33"/>
      <c r="B527" s="134"/>
      <c r="C527" s="133"/>
      <c r="D527" s="42"/>
      <c r="E527" s="42"/>
      <c r="F527" s="42"/>
      <c r="G527" s="42"/>
      <c r="H527" s="42"/>
      <c r="I527" s="42"/>
      <c r="J527" s="42"/>
      <c r="K527" s="42"/>
      <c r="L527" s="42"/>
      <c r="M527" s="181"/>
      <c r="N527" s="181"/>
      <c r="O527" s="181"/>
      <c r="P527" s="181"/>
      <c r="Q527" s="181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2.75" customHeight="1">
      <c r="A528" s="33"/>
      <c r="B528" s="134"/>
      <c r="C528" s="133"/>
      <c r="D528" s="42"/>
      <c r="E528" s="42"/>
      <c r="F528" s="42"/>
      <c r="G528" s="42"/>
      <c r="H528" s="42"/>
      <c r="I528" s="42"/>
      <c r="J528" s="42"/>
      <c r="K528" s="42"/>
      <c r="L528" s="42"/>
      <c r="M528" s="181"/>
      <c r="N528" s="181"/>
      <c r="O528" s="181"/>
      <c r="P528" s="181"/>
      <c r="Q528" s="181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2.75" customHeight="1">
      <c r="A529" s="33"/>
      <c r="B529" s="134"/>
      <c r="C529" s="133"/>
      <c r="D529" s="42"/>
      <c r="E529" s="42"/>
      <c r="F529" s="42"/>
      <c r="G529" s="42"/>
      <c r="H529" s="42"/>
      <c r="I529" s="42"/>
      <c r="J529" s="42"/>
      <c r="K529" s="42"/>
      <c r="L529" s="42"/>
      <c r="M529" s="181"/>
      <c r="N529" s="181"/>
      <c r="O529" s="181"/>
      <c r="P529" s="181"/>
      <c r="Q529" s="181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2.75" customHeight="1">
      <c r="A530" s="33"/>
      <c r="B530" s="134"/>
      <c r="C530" s="133"/>
      <c r="D530" s="42"/>
      <c r="E530" s="42"/>
      <c r="F530" s="42"/>
      <c r="G530" s="42"/>
      <c r="H530" s="42"/>
      <c r="I530" s="42"/>
      <c r="J530" s="42"/>
      <c r="K530" s="42"/>
      <c r="L530" s="42"/>
      <c r="M530" s="181"/>
      <c r="N530" s="181"/>
      <c r="O530" s="181"/>
      <c r="P530" s="181"/>
      <c r="Q530" s="181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2.75" customHeight="1">
      <c r="A531" s="33"/>
      <c r="B531" s="134"/>
      <c r="C531" s="133"/>
      <c r="D531" s="42"/>
      <c r="E531" s="42"/>
      <c r="F531" s="42"/>
      <c r="G531" s="42"/>
      <c r="H531" s="42"/>
      <c r="I531" s="42"/>
      <c r="J531" s="42"/>
      <c r="K531" s="42"/>
      <c r="L531" s="42"/>
      <c r="M531" s="181"/>
      <c r="N531" s="181"/>
      <c r="O531" s="181"/>
      <c r="P531" s="181"/>
      <c r="Q531" s="181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2.75" customHeight="1">
      <c r="A532" s="33"/>
      <c r="B532" s="134"/>
      <c r="C532" s="133"/>
      <c r="D532" s="42"/>
      <c r="E532" s="42"/>
      <c r="F532" s="42"/>
      <c r="G532" s="42"/>
      <c r="H532" s="42"/>
      <c r="I532" s="42"/>
      <c r="J532" s="42"/>
      <c r="K532" s="42"/>
      <c r="L532" s="42"/>
      <c r="M532" s="181"/>
      <c r="N532" s="181"/>
      <c r="O532" s="181"/>
      <c r="P532" s="181"/>
      <c r="Q532" s="181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2.75" customHeight="1">
      <c r="A533" s="33"/>
      <c r="B533" s="134"/>
      <c r="C533" s="133"/>
      <c r="D533" s="42"/>
      <c r="E533" s="42"/>
      <c r="F533" s="42"/>
      <c r="G533" s="42"/>
      <c r="H533" s="42"/>
      <c r="I533" s="42"/>
      <c r="J533" s="42"/>
      <c r="K533" s="42"/>
      <c r="L533" s="42"/>
      <c r="M533" s="181"/>
      <c r="N533" s="181"/>
      <c r="O533" s="181"/>
      <c r="P533" s="181"/>
      <c r="Q533" s="181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2.75" customHeight="1">
      <c r="A534" s="33"/>
      <c r="B534" s="134"/>
      <c r="C534" s="133"/>
      <c r="D534" s="42"/>
      <c r="E534" s="42"/>
      <c r="F534" s="42"/>
      <c r="G534" s="42"/>
      <c r="H534" s="42"/>
      <c r="I534" s="42"/>
      <c r="J534" s="42"/>
      <c r="K534" s="42"/>
      <c r="L534" s="42"/>
      <c r="M534" s="181"/>
      <c r="N534" s="181"/>
      <c r="O534" s="181"/>
      <c r="P534" s="181"/>
      <c r="Q534" s="181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2.75" customHeight="1">
      <c r="A535" s="33"/>
      <c r="B535" s="134"/>
      <c r="C535" s="133"/>
      <c r="D535" s="42"/>
      <c r="E535" s="42"/>
      <c r="F535" s="42"/>
      <c r="G535" s="42"/>
      <c r="H535" s="42"/>
      <c r="I535" s="42"/>
      <c r="J535" s="42"/>
      <c r="K535" s="42"/>
      <c r="L535" s="42"/>
      <c r="M535" s="181"/>
      <c r="N535" s="181"/>
      <c r="O535" s="181"/>
      <c r="P535" s="181"/>
      <c r="Q535" s="181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2.75" customHeight="1">
      <c r="A536" s="33"/>
      <c r="B536" s="134"/>
      <c r="C536" s="133"/>
      <c r="D536" s="42"/>
      <c r="E536" s="42"/>
      <c r="F536" s="42"/>
      <c r="G536" s="42"/>
      <c r="H536" s="42"/>
      <c r="I536" s="42"/>
      <c r="J536" s="42"/>
      <c r="K536" s="42"/>
      <c r="L536" s="42"/>
      <c r="M536" s="181"/>
      <c r="N536" s="181"/>
      <c r="O536" s="181"/>
      <c r="P536" s="181"/>
      <c r="Q536" s="181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2.75" customHeight="1">
      <c r="A537" s="33"/>
      <c r="B537" s="134"/>
      <c r="C537" s="133"/>
      <c r="D537" s="42"/>
      <c r="E537" s="42"/>
      <c r="F537" s="42"/>
      <c r="G537" s="42"/>
      <c r="H537" s="42"/>
      <c r="I537" s="42"/>
      <c r="J537" s="42"/>
      <c r="K537" s="42"/>
      <c r="L537" s="42"/>
      <c r="M537" s="181"/>
      <c r="N537" s="181"/>
      <c r="O537" s="181"/>
      <c r="P537" s="181"/>
      <c r="Q537" s="181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2.75" customHeight="1">
      <c r="A538" s="33"/>
      <c r="B538" s="134"/>
      <c r="C538" s="133"/>
      <c r="D538" s="42"/>
      <c r="E538" s="42"/>
      <c r="F538" s="42"/>
      <c r="G538" s="42"/>
      <c r="H538" s="42"/>
      <c r="I538" s="42"/>
      <c r="J538" s="42"/>
      <c r="K538" s="42"/>
      <c r="L538" s="42"/>
      <c r="M538" s="181"/>
      <c r="N538" s="181"/>
      <c r="O538" s="181"/>
      <c r="P538" s="181"/>
      <c r="Q538" s="181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2.75" customHeight="1">
      <c r="A539" s="33"/>
      <c r="B539" s="134"/>
      <c r="C539" s="133"/>
      <c r="D539" s="42"/>
      <c r="E539" s="42"/>
      <c r="F539" s="42"/>
      <c r="G539" s="42"/>
      <c r="H539" s="42"/>
      <c r="I539" s="42"/>
      <c r="J539" s="42"/>
      <c r="K539" s="42"/>
      <c r="L539" s="42"/>
      <c r="M539" s="181"/>
      <c r="N539" s="181"/>
      <c r="O539" s="181"/>
      <c r="P539" s="181"/>
      <c r="Q539" s="181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2.75" customHeight="1">
      <c r="A540" s="33"/>
      <c r="B540" s="134"/>
      <c r="C540" s="133"/>
      <c r="D540" s="42"/>
      <c r="E540" s="42"/>
      <c r="F540" s="42"/>
      <c r="G540" s="42"/>
      <c r="H540" s="42"/>
      <c r="I540" s="42"/>
      <c r="J540" s="42"/>
      <c r="K540" s="42"/>
      <c r="L540" s="42"/>
      <c r="M540" s="181"/>
      <c r="N540" s="181"/>
      <c r="O540" s="181"/>
      <c r="P540" s="181"/>
      <c r="Q540" s="181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2.75" customHeight="1">
      <c r="A541" s="33"/>
      <c r="B541" s="134"/>
      <c r="C541" s="133"/>
      <c r="D541" s="42"/>
      <c r="E541" s="42"/>
      <c r="F541" s="42"/>
      <c r="G541" s="42"/>
      <c r="H541" s="42"/>
      <c r="I541" s="42"/>
      <c r="J541" s="42"/>
      <c r="K541" s="42"/>
      <c r="L541" s="42"/>
      <c r="M541" s="181"/>
      <c r="N541" s="181"/>
      <c r="O541" s="181"/>
      <c r="P541" s="181"/>
      <c r="Q541" s="181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2.75" customHeight="1">
      <c r="A542" s="33"/>
      <c r="B542" s="134"/>
      <c r="C542" s="133"/>
      <c r="D542" s="42"/>
      <c r="E542" s="42"/>
      <c r="F542" s="42"/>
      <c r="G542" s="42"/>
      <c r="H542" s="42"/>
      <c r="I542" s="42"/>
      <c r="J542" s="42"/>
      <c r="K542" s="42"/>
      <c r="L542" s="42"/>
      <c r="M542" s="181"/>
      <c r="N542" s="181"/>
      <c r="O542" s="181"/>
      <c r="P542" s="181"/>
      <c r="Q542" s="181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2.75" customHeight="1">
      <c r="A543" s="33"/>
      <c r="B543" s="134"/>
      <c r="C543" s="133"/>
      <c r="D543" s="42"/>
      <c r="E543" s="42"/>
      <c r="F543" s="42"/>
      <c r="G543" s="42"/>
      <c r="H543" s="42"/>
      <c r="I543" s="42"/>
      <c r="J543" s="42"/>
      <c r="K543" s="42"/>
      <c r="L543" s="42"/>
      <c r="M543" s="181"/>
      <c r="N543" s="181"/>
      <c r="O543" s="181"/>
      <c r="P543" s="181"/>
      <c r="Q543" s="181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2.75" customHeight="1">
      <c r="A544" s="33"/>
      <c r="B544" s="134"/>
      <c r="C544" s="133"/>
      <c r="D544" s="42"/>
      <c r="E544" s="42"/>
      <c r="F544" s="42"/>
      <c r="G544" s="42"/>
      <c r="H544" s="42"/>
      <c r="I544" s="42"/>
      <c r="J544" s="42"/>
      <c r="K544" s="42"/>
      <c r="L544" s="42"/>
      <c r="M544" s="181"/>
      <c r="N544" s="181"/>
      <c r="O544" s="181"/>
      <c r="P544" s="181"/>
      <c r="Q544" s="181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2.75" customHeight="1">
      <c r="A545" s="33"/>
      <c r="B545" s="134"/>
      <c r="C545" s="133"/>
      <c r="D545" s="42"/>
      <c r="E545" s="42"/>
      <c r="F545" s="42"/>
      <c r="G545" s="42"/>
      <c r="H545" s="42"/>
      <c r="I545" s="42"/>
      <c r="J545" s="42"/>
      <c r="K545" s="42"/>
      <c r="L545" s="42"/>
      <c r="M545" s="181"/>
      <c r="N545" s="181"/>
      <c r="O545" s="181"/>
      <c r="P545" s="181"/>
      <c r="Q545" s="181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2.75" customHeight="1">
      <c r="A546" s="33"/>
      <c r="B546" s="134"/>
      <c r="C546" s="133"/>
      <c r="D546" s="42"/>
      <c r="E546" s="42"/>
      <c r="F546" s="42"/>
      <c r="G546" s="42"/>
      <c r="H546" s="42"/>
      <c r="I546" s="42"/>
      <c r="J546" s="42"/>
      <c r="K546" s="42"/>
      <c r="L546" s="42"/>
      <c r="M546" s="181"/>
      <c r="N546" s="181"/>
      <c r="O546" s="181"/>
      <c r="P546" s="181"/>
      <c r="Q546" s="181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2.75" customHeight="1">
      <c r="A547" s="33"/>
      <c r="B547" s="134"/>
      <c r="C547" s="133"/>
      <c r="D547" s="42"/>
      <c r="E547" s="42"/>
      <c r="F547" s="42"/>
      <c r="G547" s="42"/>
      <c r="H547" s="42"/>
      <c r="I547" s="42"/>
      <c r="J547" s="42"/>
      <c r="K547" s="42"/>
      <c r="L547" s="42"/>
      <c r="M547" s="181"/>
      <c r="N547" s="181"/>
      <c r="O547" s="181"/>
      <c r="P547" s="181"/>
      <c r="Q547" s="181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2.75" customHeight="1">
      <c r="A548" s="33"/>
      <c r="B548" s="134"/>
      <c r="C548" s="133"/>
      <c r="D548" s="42"/>
      <c r="E548" s="42"/>
      <c r="F548" s="42"/>
      <c r="G548" s="42"/>
      <c r="H548" s="42"/>
      <c r="I548" s="42"/>
      <c r="J548" s="42"/>
      <c r="K548" s="42"/>
      <c r="L548" s="42"/>
      <c r="M548" s="181"/>
      <c r="N548" s="181"/>
      <c r="O548" s="181"/>
      <c r="P548" s="181"/>
      <c r="Q548" s="181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2.75" customHeight="1">
      <c r="A549" s="33"/>
      <c r="B549" s="134"/>
      <c r="C549" s="133"/>
      <c r="D549" s="42"/>
      <c r="E549" s="42"/>
      <c r="F549" s="42"/>
      <c r="G549" s="42"/>
      <c r="H549" s="42"/>
      <c r="I549" s="42"/>
      <c r="J549" s="42"/>
      <c r="K549" s="42"/>
      <c r="L549" s="42"/>
      <c r="M549" s="181"/>
      <c r="N549" s="181"/>
      <c r="O549" s="181"/>
      <c r="P549" s="181"/>
      <c r="Q549" s="181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2.75" customHeight="1">
      <c r="A550" s="33"/>
      <c r="B550" s="134"/>
      <c r="C550" s="133"/>
      <c r="D550" s="42"/>
      <c r="E550" s="42"/>
      <c r="F550" s="42"/>
      <c r="G550" s="42"/>
      <c r="H550" s="42"/>
      <c r="I550" s="42"/>
      <c r="J550" s="42"/>
      <c r="K550" s="42"/>
      <c r="L550" s="42"/>
      <c r="M550" s="181"/>
      <c r="N550" s="181"/>
      <c r="O550" s="181"/>
      <c r="P550" s="181"/>
      <c r="Q550" s="181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2.75" customHeight="1">
      <c r="A551" s="33"/>
      <c r="B551" s="134"/>
      <c r="C551" s="133"/>
      <c r="D551" s="42"/>
      <c r="E551" s="42"/>
      <c r="F551" s="42"/>
      <c r="G551" s="42"/>
      <c r="H551" s="42"/>
      <c r="I551" s="42"/>
      <c r="J551" s="42"/>
      <c r="K551" s="42"/>
      <c r="L551" s="42"/>
      <c r="M551" s="181"/>
      <c r="N551" s="181"/>
      <c r="O551" s="181"/>
      <c r="P551" s="181"/>
      <c r="Q551" s="181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2.75" customHeight="1">
      <c r="A552" s="33"/>
      <c r="B552" s="134"/>
      <c r="C552" s="133"/>
      <c r="D552" s="42"/>
      <c r="E552" s="42"/>
      <c r="F552" s="42"/>
      <c r="G552" s="42"/>
      <c r="H552" s="42"/>
      <c r="I552" s="42"/>
      <c r="J552" s="42"/>
      <c r="K552" s="42"/>
      <c r="L552" s="42"/>
      <c r="M552" s="181"/>
      <c r="N552" s="181"/>
      <c r="O552" s="181"/>
      <c r="P552" s="181"/>
      <c r="Q552" s="181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2.75" customHeight="1">
      <c r="A553" s="33"/>
      <c r="B553" s="134"/>
      <c r="C553" s="133"/>
      <c r="D553" s="42"/>
      <c r="E553" s="42"/>
      <c r="F553" s="42"/>
      <c r="G553" s="42"/>
      <c r="H553" s="42"/>
      <c r="I553" s="42"/>
      <c r="J553" s="42"/>
      <c r="K553" s="42"/>
      <c r="L553" s="42"/>
      <c r="M553" s="181"/>
      <c r="N553" s="181"/>
      <c r="O553" s="181"/>
      <c r="P553" s="181"/>
      <c r="Q553" s="181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2.75" customHeight="1">
      <c r="A554" s="33"/>
      <c r="B554" s="134"/>
      <c r="C554" s="133"/>
      <c r="D554" s="42"/>
      <c r="E554" s="42"/>
      <c r="F554" s="42"/>
      <c r="G554" s="42"/>
      <c r="H554" s="42"/>
      <c r="I554" s="42"/>
      <c r="J554" s="42"/>
      <c r="K554" s="42"/>
      <c r="L554" s="42"/>
      <c r="M554" s="181"/>
      <c r="N554" s="181"/>
      <c r="O554" s="181"/>
      <c r="P554" s="181"/>
      <c r="Q554" s="181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2.75" customHeight="1">
      <c r="A555" s="33"/>
      <c r="B555" s="134"/>
      <c r="C555" s="133"/>
      <c r="D555" s="42"/>
      <c r="E555" s="42"/>
      <c r="F555" s="42"/>
      <c r="G555" s="42"/>
      <c r="H555" s="42"/>
      <c r="I555" s="42"/>
      <c r="J555" s="42"/>
      <c r="K555" s="42"/>
      <c r="L555" s="42"/>
      <c r="M555" s="181"/>
      <c r="N555" s="181"/>
      <c r="O555" s="181"/>
      <c r="P555" s="181"/>
      <c r="Q555" s="181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2.75" customHeight="1">
      <c r="A556" s="33"/>
      <c r="B556" s="134"/>
      <c r="C556" s="133"/>
      <c r="D556" s="42"/>
      <c r="E556" s="42"/>
      <c r="F556" s="42"/>
      <c r="G556" s="42"/>
      <c r="H556" s="42"/>
      <c r="I556" s="42"/>
      <c r="J556" s="42"/>
      <c r="K556" s="42"/>
      <c r="L556" s="42"/>
      <c r="M556" s="181"/>
      <c r="N556" s="181"/>
      <c r="O556" s="181"/>
      <c r="P556" s="181"/>
      <c r="Q556" s="181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2.75" customHeight="1">
      <c r="A557" s="33"/>
      <c r="B557" s="134"/>
      <c r="C557" s="133"/>
      <c r="D557" s="42"/>
      <c r="E557" s="42"/>
      <c r="F557" s="42"/>
      <c r="G557" s="42"/>
      <c r="H557" s="42"/>
      <c r="I557" s="42"/>
      <c r="J557" s="42"/>
      <c r="K557" s="42"/>
      <c r="L557" s="42"/>
      <c r="M557" s="181"/>
      <c r="N557" s="181"/>
      <c r="O557" s="181"/>
      <c r="P557" s="181"/>
      <c r="Q557" s="181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2.75" customHeight="1">
      <c r="A558" s="33"/>
      <c r="B558" s="134"/>
      <c r="C558" s="133"/>
      <c r="D558" s="42"/>
      <c r="E558" s="42"/>
      <c r="F558" s="42"/>
      <c r="G558" s="42"/>
      <c r="H558" s="42"/>
      <c r="I558" s="42"/>
      <c r="J558" s="42"/>
      <c r="K558" s="42"/>
      <c r="L558" s="42"/>
      <c r="M558" s="181"/>
      <c r="N558" s="181"/>
      <c r="O558" s="181"/>
      <c r="P558" s="181"/>
      <c r="Q558" s="181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2.75" customHeight="1">
      <c r="A559" s="33"/>
      <c r="B559" s="134"/>
      <c r="C559" s="133"/>
      <c r="D559" s="42"/>
      <c r="E559" s="42"/>
      <c r="F559" s="42"/>
      <c r="G559" s="42"/>
      <c r="H559" s="42"/>
      <c r="I559" s="42"/>
      <c r="J559" s="42"/>
      <c r="K559" s="42"/>
      <c r="L559" s="42"/>
      <c r="M559" s="181"/>
      <c r="N559" s="181"/>
      <c r="O559" s="181"/>
      <c r="P559" s="181"/>
      <c r="Q559" s="181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2.75" customHeight="1">
      <c r="A560" s="33"/>
      <c r="B560" s="134"/>
      <c r="C560" s="133"/>
      <c r="D560" s="42"/>
      <c r="E560" s="42"/>
      <c r="F560" s="42"/>
      <c r="G560" s="42"/>
      <c r="H560" s="42"/>
      <c r="I560" s="42"/>
      <c r="J560" s="42"/>
      <c r="K560" s="42"/>
      <c r="L560" s="42"/>
      <c r="M560" s="181"/>
      <c r="N560" s="181"/>
      <c r="O560" s="181"/>
      <c r="P560" s="181"/>
      <c r="Q560" s="181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2.75" customHeight="1">
      <c r="A561" s="33"/>
      <c r="B561" s="134"/>
      <c r="C561" s="133"/>
      <c r="D561" s="42"/>
      <c r="E561" s="42"/>
      <c r="F561" s="42"/>
      <c r="G561" s="42"/>
      <c r="H561" s="42"/>
      <c r="I561" s="42"/>
      <c r="J561" s="42"/>
      <c r="K561" s="42"/>
      <c r="L561" s="42"/>
      <c r="M561" s="181"/>
      <c r="N561" s="181"/>
      <c r="O561" s="181"/>
      <c r="P561" s="181"/>
      <c r="Q561" s="181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2.75" customHeight="1">
      <c r="A562" s="33"/>
      <c r="B562" s="134"/>
      <c r="C562" s="133"/>
      <c r="D562" s="42"/>
      <c r="E562" s="42"/>
      <c r="F562" s="42"/>
      <c r="G562" s="42"/>
      <c r="H562" s="42"/>
      <c r="I562" s="42"/>
      <c r="J562" s="42"/>
      <c r="K562" s="42"/>
      <c r="L562" s="42"/>
      <c r="M562" s="181"/>
      <c r="N562" s="181"/>
      <c r="O562" s="181"/>
      <c r="P562" s="181"/>
      <c r="Q562" s="181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2.75" customHeight="1">
      <c r="A563" s="33"/>
      <c r="B563" s="134"/>
      <c r="C563" s="133"/>
      <c r="D563" s="42"/>
      <c r="E563" s="42"/>
      <c r="F563" s="42"/>
      <c r="G563" s="42"/>
      <c r="H563" s="42"/>
      <c r="I563" s="42"/>
      <c r="J563" s="42"/>
      <c r="K563" s="42"/>
      <c r="L563" s="42"/>
      <c r="M563" s="181"/>
      <c r="N563" s="181"/>
      <c r="O563" s="181"/>
      <c r="P563" s="181"/>
      <c r="Q563" s="181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2.75" customHeight="1">
      <c r="A564" s="33"/>
      <c r="B564" s="134"/>
      <c r="C564" s="133"/>
      <c r="D564" s="42"/>
      <c r="E564" s="42"/>
      <c r="F564" s="42"/>
      <c r="G564" s="42"/>
      <c r="H564" s="42"/>
      <c r="I564" s="42"/>
      <c r="J564" s="42"/>
      <c r="K564" s="42"/>
      <c r="L564" s="42"/>
      <c r="M564" s="181"/>
      <c r="N564" s="181"/>
      <c r="O564" s="181"/>
      <c r="P564" s="181"/>
      <c r="Q564" s="181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2.75" customHeight="1">
      <c r="A565" s="33"/>
      <c r="B565" s="134"/>
      <c r="C565" s="133"/>
      <c r="D565" s="42"/>
      <c r="E565" s="42"/>
      <c r="F565" s="42"/>
      <c r="G565" s="42"/>
      <c r="H565" s="42"/>
      <c r="I565" s="42"/>
      <c r="J565" s="42"/>
      <c r="K565" s="42"/>
      <c r="L565" s="42"/>
      <c r="M565" s="181"/>
      <c r="N565" s="181"/>
      <c r="O565" s="181"/>
      <c r="P565" s="181"/>
      <c r="Q565" s="181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2.75" customHeight="1">
      <c r="A566" s="33"/>
      <c r="B566" s="134"/>
      <c r="C566" s="133"/>
      <c r="D566" s="42"/>
      <c r="E566" s="42"/>
      <c r="F566" s="42"/>
      <c r="G566" s="42"/>
      <c r="H566" s="42"/>
      <c r="I566" s="42"/>
      <c r="J566" s="42"/>
      <c r="K566" s="42"/>
      <c r="L566" s="42"/>
      <c r="M566" s="181"/>
      <c r="N566" s="181"/>
      <c r="O566" s="181"/>
      <c r="P566" s="181"/>
      <c r="Q566" s="181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2.75" customHeight="1">
      <c r="A567" s="33"/>
      <c r="B567" s="134"/>
      <c r="C567" s="133"/>
      <c r="D567" s="42"/>
      <c r="E567" s="42"/>
      <c r="F567" s="42"/>
      <c r="G567" s="42"/>
      <c r="H567" s="42"/>
      <c r="I567" s="42"/>
      <c r="J567" s="42"/>
      <c r="K567" s="42"/>
      <c r="L567" s="42"/>
      <c r="M567" s="181"/>
      <c r="N567" s="181"/>
      <c r="O567" s="181"/>
      <c r="P567" s="181"/>
      <c r="Q567" s="181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2.75" customHeight="1">
      <c r="A568" s="33"/>
      <c r="B568" s="134"/>
      <c r="C568" s="133"/>
      <c r="D568" s="42"/>
      <c r="E568" s="42"/>
      <c r="F568" s="42"/>
      <c r="G568" s="42"/>
      <c r="H568" s="42"/>
      <c r="I568" s="42"/>
      <c r="J568" s="42"/>
      <c r="K568" s="42"/>
      <c r="L568" s="42"/>
      <c r="M568" s="181"/>
      <c r="N568" s="181"/>
      <c r="O568" s="181"/>
      <c r="P568" s="181"/>
      <c r="Q568" s="181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2.75" customHeight="1">
      <c r="A569" s="33"/>
      <c r="B569" s="134"/>
      <c r="C569" s="133"/>
      <c r="D569" s="42"/>
      <c r="E569" s="42"/>
      <c r="F569" s="42"/>
      <c r="G569" s="42"/>
      <c r="H569" s="42"/>
      <c r="I569" s="42"/>
      <c r="J569" s="42"/>
      <c r="K569" s="42"/>
      <c r="L569" s="42"/>
      <c r="M569" s="181"/>
      <c r="N569" s="181"/>
      <c r="O569" s="181"/>
      <c r="P569" s="181"/>
      <c r="Q569" s="181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2.75" customHeight="1">
      <c r="A570" s="33"/>
      <c r="B570" s="134"/>
      <c r="C570" s="133"/>
      <c r="D570" s="42"/>
      <c r="E570" s="42"/>
      <c r="F570" s="42"/>
      <c r="G570" s="42"/>
      <c r="H570" s="42"/>
      <c r="I570" s="42"/>
      <c r="J570" s="42"/>
      <c r="K570" s="42"/>
      <c r="L570" s="42"/>
      <c r="M570" s="181"/>
      <c r="N570" s="181"/>
      <c r="O570" s="181"/>
      <c r="P570" s="181"/>
      <c r="Q570" s="181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2.75" customHeight="1">
      <c r="A571" s="33"/>
      <c r="B571" s="134"/>
      <c r="C571" s="133"/>
      <c r="D571" s="42"/>
      <c r="E571" s="42"/>
      <c r="F571" s="42"/>
      <c r="G571" s="42"/>
      <c r="H571" s="42"/>
      <c r="I571" s="42"/>
      <c r="J571" s="42"/>
      <c r="K571" s="42"/>
      <c r="L571" s="42"/>
      <c r="M571" s="181"/>
      <c r="N571" s="181"/>
      <c r="O571" s="181"/>
      <c r="P571" s="181"/>
      <c r="Q571" s="181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2.75" customHeight="1">
      <c r="A572" s="33"/>
      <c r="B572" s="134"/>
      <c r="C572" s="133"/>
      <c r="D572" s="42"/>
      <c r="E572" s="42"/>
      <c r="F572" s="42"/>
      <c r="G572" s="42"/>
      <c r="H572" s="42"/>
      <c r="I572" s="42"/>
      <c r="J572" s="42"/>
      <c r="K572" s="42"/>
      <c r="L572" s="42"/>
      <c r="M572" s="181"/>
      <c r="N572" s="181"/>
      <c r="O572" s="181"/>
      <c r="P572" s="181"/>
      <c r="Q572" s="181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2.75" customHeight="1">
      <c r="A573" s="33"/>
      <c r="B573" s="134"/>
      <c r="C573" s="133"/>
      <c r="D573" s="42"/>
      <c r="E573" s="42"/>
      <c r="F573" s="42"/>
      <c r="G573" s="42"/>
      <c r="H573" s="42"/>
      <c r="I573" s="42"/>
      <c r="J573" s="42"/>
      <c r="K573" s="42"/>
      <c r="L573" s="42"/>
      <c r="M573" s="181"/>
      <c r="N573" s="181"/>
      <c r="O573" s="181"/>
      <c r="P573" s="181"/>
      <c r="Q573" s="181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2.75" customHeight="1">
      <c r="A574" s="33"/>
      <c r="B574" s="134"/>
      <c r="C574" s="133"/>
      <c r="D574" s="42"/>
      <c r="E574" s="42"/>
      <c r="F574" s="42"/>
      <c r="G574" s="42"/>
      <c r="H574" s="42"/>
      <c r="I574" s="42"/>
      <c r="J574" s="42"/>
      <c r="K574" s="42"/>
      <c r="L574" s="42"/>
      <c r="M574" s="181"/>
      <c r="N574" s="181"/>
      <c r="O574" s="181"/>
      <c r="P574" s="181"/>
      <c r="Q574" s="181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2.75" customHeight="1">
      <c r="A575" s="33"/>
      <c r="B575" s="134"/>
      <c r="C575" s="133"/>
      <c r="D575" s="42"/>
      <c r="E575" s="42"/>
      <c r="F575" s="42"/>
      <c r="G575" s="42"/>
      <c r="H575" s="42"/>
      <c r="I575" s="42"/>
      <c r="J575" s="42"/>
      <c r="K575" s="42"/>
      <c r="L575" s="42"/>
      <c r="M575" s="181"/>
      <c r="N575" s="181"/>
      <c r="O575" s="181"/>
      <c r="P575" s="181"/>
      <c r="Q575" s="181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2.75" customHeight="1">
      <c r="A576" s="33"/>
      <c r="B576" s="134"/>
      <c r="C576" s="133"/>
      <c r="D576" s="42"/>
      <c r="E576" s="42"/>
      <c r="F576" s="42"/>
      <c r="G576" s="42"/>
      <c r="H576" s="42"/>
      <c r="I576" s="42"/>
      <c r="J576" s="42"/>
      <c r="K576" s="42"/>
      <c r="L576" s="42"/>
      <c r="M576" s="181"/>
      <c r="N576" s="181"/>
      <c r="O576" s="181"/>
      <c r="P576" s="181"/>
      <c r="Q576" s="181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2.75" customHeight="1">
      <c r="A577" s="33"/>
      <c r="B577" s="134"/>
      <c r="C577" s="133"/>
      <c r="D577" s="42"/>
      <c r="E577" s="42"/>
      <c r="F577" s="42"/>
      <c r="G577" s="42"/>
      <c r="H577" s="42"/>
      <c r="I577" s="42"/>
      <c r="J577" s="42"/>
      <c r="K577" s="42"/>
      <c r="L577" s="42"/>
      <c r="M577" s="181"/>
      <c r="N577" s="181"/>
      <c r="O577" s="181"/>
      <c r="P577" s="181"/>
      <c r="Q577" s="181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2.75" customHeight="1">
      <c r="A578" s="33"/>
      <c r="B578" s="134"/>
      <c r="C578" s="133"/>
      <c r="D578" s="42"/>
      <c r="E578" s="42"/>
      <c r="F578" s="42"/>
      <c r="G578" s="42"/>
      <c r="H578" s="42"/>
      <c r="I578" s="42"/>
      <c r="J578" s="42"/>
      <c r="K578" s="42"/>
      <c r="L578" s="42"/>
      <c r="M578" s="181"/>
      <c r="N578" s="181"/>
      <c r="O578" s="181"/>
      <c r="P578" s="181"/>
      <c r="Q578" s="181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2.75" customHeight="1">
      <c r="A579" s="33"/>
      <c r="B579" s="134"/>
      <c r="C579" s="133"/>
      <c r="D579" s="42"/>
      <c r="E579" s="42"/>
      <c r="F579" s="42"/>
      <c r="G579" s="42"/>
      <c r="H579" s="42"/>
      <c r="I579" s="42"/>
      <c r="J579" s="42"/>
      <c r="K579" s="42"/>
      <c r="L579" s="42"/>
      <c r="M579" s="181"/>
      <c r="N579" s="181"/>
      <c r="O579" s="181"/>
      <c r="P579" s="181"/>
      <c r="Q579" s="181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2.75" customHeight="1">
      <c r="A580" s="33"/>
      <c r="B580" s="134"/>
      <c r="C580" s="133"/>
      <c r="D580" s="42"/>
      <c r="E580" s="42"/>
      <c r="F580" s="42"/>
      <c r="G580" s="42"/>
      <c r="H580" s="42"/>
      <c r="I580" s="42"/>
      <c r="J580" s="42"/>
      <c r="K580" s="42"/>
      <c r="L580" s="42"/>
      <c r="M580" s="181"/>
      <c r="N580" s="181"/>
      <c r="O580" s="181"/>
      <c r="P580" s="181"/>
      <c r="Q580" s="181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2.75" customHeight="1">
      <c r="A581" s="33"/>
      <c r="B581" s="134"/>
      <c r="C581" s="133"/>
      <c r="D581" s="42"/>
      <c r="E581" s="42"/>
      <c r="F581" s="42"/>
      <c r="G581" s="42"/>
      <c r="H581" s="42"/>
      <c r="I581" s="42"/>
      <c r="J581" s="42"/>
      <c r="K581" s="42"/>
      <c r="L581" s="42"/>
      <c r="M581" s="181"/>
      <c r="N581" s="181"/>
      <c r="O581" s="181"/>
      <c r="P581" s="181"/>
      <c r="Q581" s="181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2.75" customHeight="1">
      <c r="A582" s="33"/>
      <c r="B582" s="134"/>
      <c r="C582" s="133"/>
      <c r="D582" s="42"/>
      <c r="E582" s="42"/>
      <c r="F582" s="42"/>
      <c r="G582" s="42"/>
      <c r="H582" s="42"/>
      <c r="I582" s="42"/>
      <c r="J582" s="42"/>
      <c r="K582" s="42"/>
      <c r="L582" s="42"/>
      <c r="M582" s="181"/>
      <c r="N582" s="181"/>
      <c r="O582" s="181"/>
      <c r="P582" s="181"/>
      <c r="Q582" s="181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2.75" customHeight="1">
      <c r="A583" s="33"/>
      <c r="B583" s="134"/>
      <c r="C583" s="133"/>
      <c r="D583" s="42"/>
      <c r="E583" s="42"/>
      <c r="F583" s="42"/>
      <c r="G583" s="42"/>
      <c r="H583" s="42"/>
      <c r="I583" s="42"/>
      <c r="J583" s="42"/>
      <c r="K583" s="42"/>
      <c r="L583" s="42"/>
      <c r="M583" s="181"/>
      <c r="N583" s="181"/>
      <c r="O583" s="181"/>
      <c r="P583" s="181"/>
      <c r="Q583" s="181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2.75" customHeight="1">
      <c r="A584" s="33"/>
      <c r="B584" s="134"/>
      <c r="C584" s="133"/>
      <c r="D584" s="42"/>
      <c r="E584" s="42"/>
      <c r="F584" s="42"/>
      <c r="G584" s="42"/>
      <c r="H584" s="42"/>
      <c r="I584" s="42"/>
      <c r="J584" s="42"/>
      <c r="K584" s="42"/>
      <c r="L584" s="42"/>
      <c r="M584" s="181"/>
      <c r="N584" s="181"/>
      <c r="O584" s="181"/>
      <c r="P584" s="181"/>
      <c r="Q584" s="181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2.75" customHeight="1">
      <c r="A585" s="33"/>
      <c r="B585" s="134"/>
      <c r="C585" s="133"/>
      <c r="D585" s="42"/>
      <c r="E585" s="42"/>
      <c r="F585" s="42"/>
      <c r="G585" s="42"/>
      <c r="H585" s="42"/>
      <c r="I585" s="42"/>
      <c r="J585" s="42"/>
      <c r="K585" s="42"/>
      <c r="L585" s="42"/>
      <c r="M585" s="181"/>
      <c r="N585" s="181"/>
      <c r="O585" s="181"/>
      <c r="P585" s="181"/>
      <c r="Q585" s="181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2.75" customHeight="1">
      <c r="A586" s="33"/>
      <c r="B586" s="134"/>
      <c r="C586" s="133"/>
      <c r="D586" s="42"/>
      <c r="E586" s="42"/>
      <c r="F586" s="42"/>
      <c r="G586" s="42"/>
      <c r="H586" s="42"/>
      <c r="I586" s="42"/>
      <c r="J586" s="42"/>
      <c r="K586" s="42"/>
      <c r="L586" s="42"/>
      <c r="M586" s="181"/>
      <c r="N586" s="181"/>
      <c r="O586" s="181"/>
      <c r="P586" s="181"/>
      <c r="Q586" s="181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C1:AG3"/>
  </mergeCells>
  <hyperlinks>
    <hyperlink r:id="rId1" ref="AC1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27.29"/>
    <col customWidth="1" min="3" max="3" width="11.29"/>
    <col customWidth="1" min="4" max="4" width="10.71"/>
    <col customWidth="1" min="5" max="5" width="9.14"/>
    <col customWidth="1" min="6" max="6" width="8.14"/>
    <col customWidth="1" hidden="1" min="7" max="7" width="5.43"/>
    <col customWidth="1" hidden="1" min="8" max="8" width="5.29"/>
    <col customWidth="1" hidden="1" min="9" max="9" width="5.14"/>
    <col customWidth="1" hidden="1" min="10" max="10" width="4.71"/>
    <col customWidth="1" hidden="1" min="11" max="11" width="4.86"/>
    <col customWidth="1" hidden="1" min="12" max="13" width="4.14"/>
    <col customWidth="1" hidden="1" min="14" max="14" width="4.43"/>
    <col customWidth="1" hidden="1" min="15" max="15" width="4.71"/>
    <col customWidth="1" hidden="1" min="16" max="16" width="4.57"/>
    <col customWidth="1" hidden="1" min="17" max="17" width="4.71"/>
    <col customWidth="1" hidden="1" min="18" max="18" width="4.86"/>
    <col customWidth="1" hidden="1" min="19" max="19" width="5.14"/>
    <col customWidth="1" hidden="1" min="20" max="20" width="4.86"/>
    <col customWidth="1" hidden="1" min="21" max="21" width="5.71"/>
    <col customWidth="1" hidden="1" min="22" max="22" width="6.0"/>
    <col customWidth="1" hidden="1" min="23" max="23" width="6.57"/>
    <col customWidth="1" hidden="1" min="24" max="24" width="7.14"/>
    <col customWidth="1" hidden="1" min="25" max="25" width="5.43"/>
    <col customWidth="1" hidden="1" min="26" max="27" width="6.0"/>
  </cols>
  <sheetData>
    <row r="1" ht="12.75" customHeight="1">
      <c r="A1" s="33"/>
      <c r="B1" s="36" t="s">
        <v>48</v>
      </c>
      <c r="C1" s="36"/>
      <c r="D1" s="36"/>
      <c r="E1" s="36"/>
      <c r="F1" s="36"/>
      <c r="G1" s="42"/>
      <c r="H1" s="42"/>
      <c r="I1" s="42"/>
      <c r="J1" s="42"/>
      <c r="K1" s="42"/>
      <c r="L1" s="42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C1" s="124" t="s">
        <v>8</v>
      </c>
      <c r="AD1" s="51"/>
      <c r="AE1" s="51"/>
      <c r="AF1" s="51"/>
      <c r="AG1" s="52"/>
    </row>
    <row r="2" ht="12.75" customHeight="1">
      <c r="A2" s="33"/>
      <c r="B2" s="125" t="s">
        <v>49</v>
      </c>
      <c r="C2" s="126"/>
      <c r="D2" s="127"/>
      <c r="E2" s="127"/>
      <c r="F2" s="127"/>
      <c r="G2" s="127"/>
      <c r="H2" s="127"/>
      <c r="I2" s="42"/>
      <c r="J2" s="42"/>
      <c r="K2" s="42"/>
      <c r="L2" s="4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C2" s="128"/>
      <c r="AG2" s="129"/>
    </row>
    <row r="3" ht="12.75" customHeight="1">
      <c r="A3" s="33"/>
      <c r="B3" s="125"/>
      <c r="C3" s="126"/>
      <c r="D3" s="130"/>
      <c r="E3" s="130"/>
      <c r="F3" s="127"/>
      <c r="G3" s="127"/>
      <c r="H3" s="127"/>
      <c r="I3" s="42"/>
      <c r="J3" s="42"/>
      <c r="K3" s="42"/>
      <c r="L3" s="42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C3" s="53"/>
      <c r="AD3" s="54"/>
      <c r="AE3" s="54"/>
      <c r="AF3" s="54"/>
      <c r="AG3" s="55"/>
    </row>
    <row r="4" ht="12.75" customHeight="1">
      <c r="A4" s="131"/>
      <c r="B4" s="131"/>
      <c r="C4" s="131"/>
      <c r="D4" s="132"/>
      <c r="E4" s="45"/>
      <c r="F4" s="36"/>
      <c r="G4" s="42"/>
      <c r="H4" s="42"/>
      <c r="I4" s="42"/>
      <c r="J4" s="42"/>
      <c r="K4" s="42"/>
      <c r="L4" s="4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2.75" customHeight="1">
      <c r="A5" s="33" t="s">
        <v>21</v>
      </c>
      <c r="B5" s="33"/>
      <c r="C5" s="133"/>
      <c r="D5" s="42"/>
      <c r="E5" s="42"/>
      <c r="F5" s="42"/>
      <c r="G5" s="42"/>
      <c r="H5" s="42"/>
      <c r="I5" s="42"/>
      <c r="J5" s="42"/>
      <c r="K5" s="42"/>
      <c r="L5" s="42"/>
      <c r="M5" s="5" t="s">
        <v>4</v>
      </c>
      <c r="N5" s="5"/>
      <c r="O5" s="5"/>
      <c r="P5" s="5"/>
      <c r="Q5" s="5"/>
      <c r="R5" s="5" t="s">
        <v>5</v>
      </c>
      <c r="S5" s="5"/>
      <c r="T5" s="5"/>
      <c r="U5" s="5"/>
      <c r="V5" s="5"/>
      <c r="W5" s="5" t="s">
        <v>6</v>
      </c>
      <c r="X5" s="5"/>
      <c r="Y5" s="5"/>
      <c r="Z5" s="5"/>
      <c r="AA5" s="5"/>
    </row>
    <row r="6" ht="12.75" customHeight="1">
      <c r="A6" s="33" t="s">
        <v>50</v>
      </c>
      <c r="B6" s="134"/>
      <c r="C6" s="135" t="s">
        <v>20</v>
      </c>
      <c r="D6" s="45" t="s">
        <v>51</v>
      </c>
      <c r="E6" s="45" t="s">
        <v>52</v>
      </c>
      <c r="F6" s="45" t="s">
        <v>53</v>
      </c>
      <c r="G6" s="42"/>
      <c r="H6" s="42"/>
      <c r="I6" s="42"/>
      <c r="J6" s="42"/>
      <c r="K6" s="42"/>
      <c r="L6" s="42"/>
      <c r="M6" s="5" t="s">
        <v>28</v>
      </c>
      <c r="N6" s="5" t="s">
        <v>30</v>
      </c>
      <c r="O6" s="5" t="s">
        <v>32</v>
      </c>
      <c r="P6" s="5" t="s">
        <v>34</v>
      </c>
      <c r="Q6" s="5" t="s">
        <v>35</v>
      </c>
      <c r="R6" s="5" t="s">
        <v>28</v>
      </c>
      <c r="S6" s="5" t="s">
        <v>30</v>
      </c>
      <c r="T6" s="5" t="s">
        <v>32</v>
      </c>
      <c r="U6" s="5" t="s">
        <v>34</v>
      </c>
      <c r="V6" s="5" t="s">
        <v>35</v>
      </c>
      <c r="W6" s="5" t="s">
        <v>28</v>
      </c>
      <c r="X6" s="5" t="s">
        <v>30</v>
      </c>
      <c r="Y6" s="5" t="s">
        <v>32</v>
      </c>
      <c r="Z6" s="5" t="s">
        <v>34</v>
      </c>
      <c r="AA6" s="5" t="s">
        <v>35</v>
      </c>
    </row>
    <row r="7" ht="12.75" customHeight="1">
      <c r="A7" s="145">
        <v>1.0</v>
      </c>
      <c r="B7" s="146" t="s">
        <v>4</v>
      </c>
      <c r="C7" s="147">
        <v>0.55</v>
      </c>
      <c r="D7" s="148">
        <v>5.0</v>
      </c>
      <c r="E7" s="149">
        <v>1.0</v>
      </c>
      <c r="F7" s="149">
        <f>'1RM'!$C$4*C7</f>
        <v>55</v>
      </c>
      <c r="G7" s="141">
        <f t="shared" ref="G7:G10" si="1">D7*E7</f>
        <v>5</v>
      </c>
      <c r="H7" s="142">
        <f t="shared" ref="H7:H10" si="2">F7*G7</f>
        <v>275</v>
      </c>
      <c r="I7" s="141"/>
      <c r="J7" s="142"/>
      <c r="K7" s="141"/>
      <c r="L7" s="142"/>
      <c r="M7" s="150">
        <f t="shared" ref="M7:M10" si="3">IF(ISNUMBER(SEARCH("Sentadilla",$B7)),IF($C7&gt;=0.5,IF($C7&lt;0.6,$D7*$E7," ")," ")," ")</f>
        <v>5</v>
      </c>
      <c r="N7" s="150" t="str">
        <f t="shared" ref="N7:N10" si="4">IF(ISNUMBER(SEARCH("Sentadilla",$B7)),IF($C7&gt;=0.6,IF($C7&lt;0.7,$D7*$E7," ")," ")," ")</f>
        <v> </v>
      </c>
      <c r="O7" s="150" t="str">
        <f t="shared" ref="O7:O10" si="5">IF(ISNUMBER(SEARCH("Sentadilla",$B7)),IF($C7&gt;=0.7,IF($C7&lt;0.8,$D7*$E7," ")," ")," ")</f>
        <v> </v>
      </c>
      <c r="P7" s="150" t="str">
        <f t="shared" ref="P7:P10" si="6">IF(ISNUMBER(SEARCH("Sentadilla",$B7)),IF($C7&gt;=0.8,IF($C7&lt;0.9,$D7*$E7," ")," ")," ")</f>
        <v> </v>
      </c>
      <c r="Q7" s="150" t="str">
        <f t="shared" ref="Q7:Q10" si="7">IF(ISNUMBER(SEARCH("Sentadilla",$B7)),IF($C7&gt;=0.9,$D7*$E7," ")," ")</f>
        <v> </v>
      </c>
      <c r="R7" s="5"/>
      <c r="S7" s="5"/>
      <c r="T7" s="5"/>
      <c r="U7" s="5"/>
      <c r="V7" s="5"/>
      <c r="W7" s="5"/>
      <c r="X7" s="5"/>
      <c r="Y7" s="5"/>
      <c r="Z7" s="5"/>
      <c r="AA7" s="5"/>
    </row>
    <row r="8" ht="12.75" customHeight="1">
      <c r="A8" s="145"/>
      <c r="B8" s="151" t="s">
        <v>4</v>
      </c>
      <c r="C8" s="147">
        <v>0.65</v>
      </c>
      <c r="D8" s="148">
        <v>4.0</v>
      </c>
      <c r="E8" s="149">
        <v>1.0</v>
      </c>
      <c r="F8" s="149">
        <f>'1RM'!$C$4*C8</f>
        <v>65</v>
      </c>
      <c r="G8" s="141">
        <f t="shared" si="1"/>
        <v>4</v>
      </c>
      <c r="H8" s="142">
        <f t="shared" si="2"/>
        <v>260</v>
      </c>
      <c r="I8" s="141"/>
      <c r="J8" s="142"/>
      <c r="K8" s="141"/>
      <c r="L8" s="142"/>
      <c r="M8" s="150" t="str">
        <f t="shared" si="3"/>
        <v> </v>
      </c>
      <c r="N8" s="150">
        <f t="shared" si="4"/>
        <v>4</v>
      </c>
      <c r="O8" s="150" t="str">
        <f t="shared" si="5"/>
        <v> </v>
      </c>
      <c r="P8" s="150" t="str">
        <f t="shared" si="6"/>
        <v> </v>
      </c>
      <c r="Q8" s="150" t="str">
        <f t="shared" si="7"/>
        <v> </v>
      </c>
      <c r="R8" s="5"/>
      <c r="S8" s="5"/>
      <c r="T8" s="5"/>
      <c r="U8" s="5"/>
      <c r="V8" s="5"/>
      <c r="W8" s="5"/>
      <c r="X8" s="5"/>
      <c r="Y8" s="5"/>
      <c r="Z8" s="5"/>
      <c r="AA8" s="5"/>
    </row>
    <row r="9" ht="12.75" customHeight="1">
      <c r="A9" s="145"/>
      <c r="B9" s="151" t="s">
        <v>4</v>
      </c>
      <c r="C9" s="147">
        <v>0.75</v>
      </c>
      <c r="D9" s="148">
        <v>3.0</v>
      </c>
      <c r="E9" s="149">
        <v>1.0</v>
      </c>
      <c r="F9" s="149">
        <f>'1RM'!$C$4*C9</f>
        <v>75</v>
      </c>
      <c r="G9" s="141">
        <f t="shared" si="1"/>
        <v>3</v>
      </c>
      <c r="H9" s="142">
        <f t="shared" si="2"/>
        <v>225</v>
      </c>
      <c r="I9" s="141"/>
      <c r="J9" s="142"/>
      <c r="K9" s="141"/>
      <c r="L9" s="142"/>
      <c r="M9" s="150" t="str">
        <f t="shared" si="3"/>
        <v> </v>
      </c>
      <c r="N9" s="150" t="str">
        <f t="shared" si="4"/>
        <v> </v>
      </c>
      <c r="O9" s="150">
        <f t="shared" si="5"/>
        <v>3</v>
      </c>
      <c r="P9" s="150" t="str">
        <f t="shared" si="6"/>
        <v> </v>
      </c>
      <c r="Q9" s="150" t="str">
        <f t="shared" si="7"/>
        <v> </v>
      </c>
      <c r="R9" s="5"/>
      <c r="S9" s="5"/>
      <c r="T9" s="5"/>
      <c r="U9" s="5"/>
      <c r="V9" s="5"/>
      <c r="W9" s="5"/>
      <c r="X9" s="5"/>
      <c r="Y9" s="5"/>
      <c r="Z9" s="5"/>
      <c r="AA9" s="5"/>
    </row>
    <row r="10" ht="12.75" customHeight="1">
      <c r="A10" s="145"/>
      <c r="B10" s="151" t="s">
        <v>4</v>
      </c>
      <c r="C10" s="147">
        <v>0.85</v>
      </c>
      <c r="D10" s="148">
        <v>2.0</v>
      </c>
      <c r="E10" s="149">
        <v>3.0</v>
      </c>
      <c r="F10" s="149">
        <f>'1RM'!$C$4*C10</f>
        <v>85</v>
      </c>
      <c r="G10" s="141">
        <f t="shared" si="1"/>
        <v>6</v>
      </c>
      <c r="H10" s="142">
        <f t="shared" si="2"/>
        <v>510</v>
      </c>
      <c r="I10" s="141"/>
      <c r="J10" s="142"/>
      <c r="K10" s="141"/>
      <c r="L10" s="142"/>
      <c r="M10" s="150" t="str">
        <f t="shared" si="3"/>
        <v> </v>
      </c>
      <c r="N10" s="150" t="str">
        <f t="shared" si="4"/>
        <v> </v>
      </c>
      <c r="O10" s="150" t="str">
        <f t="shared" si="5"/>
        <v> </v>
      </c>
      <c r="P10" s="150">
        <f t="shared" si="6"/>
        <v>6</v>
      </c>
      <c r="Q10" s="150" t="str">
        <f t="shared" si="7"/>
        <v> </v>
      </c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2.75" customHeight="1">
      <c r="A11" s="136">
        <v>2.0</v>
      </c>
      <c r="B11" s="137" t="s">
        <v>5</v>
      </c>
      <c r="C11" s="138">
        <v>0.5</v>
      </c>
      <c r="D11" s="139">
        <v>5.0</v>
      </c>
      <c r="E11" s="140">
        <v>1.0</v>
      </c>
      <c r="F11" s="140">
        <f>'1RM'!$C$5*C11</f>
        <v>50</v>
      </c>
      <c r="G11" s="141"/>
      <c r="H11" s="142"/>
      <c r="I11" s="141">
        <f t="shared" ref="I11:I14" si="8">D11*E11</f>
        <v>5</v>
      </c>
      <c r="J11" s="142">
        <f t="shared" ref="J11:J14" si="9">F11*I11</f>
        <v>250</v>
      </c>
      <c r="K11" s="141"/>
      <c r="L11" s="142"/>
      <c r="M11" s="5"/>
      <c r="N11" s="5"/>
      <c r="O11" s="5"/>
      <c r="P11" s="5"/>
      <c r="Q11" s="5"/>
      <c r="R11" s="143">
        <f t="shared" ref="R11:R14" si="10">IF(ISNUMBER(SEARCH("Press de banca",$B11)),IF($C11&gt;=0.5,IF($C11&lt;0.6,$D11*$E11," ")," ")," ")</f>
        <v>5</v>
      </c>
      <c r="S11" s="143" t="str">
        <f t="shared" ref="S11:S14" si="11">IF(ISNUMBER(SEARCH("Press de banca",$B11)),IF($C11&gt;=0.6,IF($C11&lt;0.7,$D11*$E11," ")," ")," ")</f>
        <v> </v>
      </c>
      <c r="T11" s="143" t="str">
        <f t="shared" ref="T11:T14" si="12">IF(ISNUMBER(SEARCH("Press de banca",$B11)),IF($C11&gt;=0.7,IF($C11&lt;0.8,$D11*$E11," ")," ")," ")</f>
        <v> </v>
      </c>
      <c r="U11" s="143" t="str">
        <f t="shared" ref="U11:U14" si="13">IF(ISNUMBER(SEARCH("Press de banca",$B11)),IF($C11&gt;=0.8,IF($C11&lt;0.9,$D11*$E11," ")," ")," ")</f>
        <v> </v>
      </c>
      <c r="V11" s="143" t="str">
        <f t="shared" ref="V11:V14" si="14">IF(ISNUMBER(SEARCH("Press de banca",$B11)),IF($C11&gt;=0.9,$D11*$E11," ")," ")</f>
        <v> </v>
      </c>
      <c r="W11" s="5"/>
      <c r="X11" s="5"/>
      <c r="Y11" s="5"/>
      <c r="Z11" s="5"/>
      <c r="AA11" s="5"/>
    </row>
    <row r="12" ht="12.75" customHeight="1">
      <c r="A12" s="136"/>
      <c r="B12" s="144" t="s">
        <v>5</v>
      </c>
      <c r="C12" s="138">
        <v>0.6</v>
      </c>
      <c r="D12" s="139">
        <v>4.0</v>
      </c>
      <c r="E12" s="140">
        <v>1.0</v>
      </c>
      <c r="F12" s="140">
        <f>'1RM'!$C$5*C12</f>
        <v>60</v>
      </c>
      <c r="G12" s="141"/>
      <c r="H12" s="142"/>
      <c r="I12" s="141">
        <f t="shared" si="8"/>
        <v>4</v>
      </c>
      <c r="J12" s="142">
        <f t="shared" si="9"/>
        <v>240</v>
      </c>
      <c r="K12" s="141"/>
      <c r="L12" s="142"/>
      <c r="M12" s="5"/>
      <c r="N12" s="5"/>
      <c r="O12" s="5"/>
      <c r="P12" s="5"/>
      <c r="Q12" s="5"/>
      <c r="R12" s="143" t="str">
        <f t="shared" si="10"/>
        <v> </v>
      </c>
      <c r="S12" s="143">
        <f t="shared" si="11"/>
        <v>4</v>
      </c>
      <c r="T12" s="143" t="str">
        <f t="shared" si="12"/>
        <v> </v>
      </c>
      <c r="U12" s="143" t="str">
        <f t="shared" si="13"/>
        <v> </v>
      </c>
      <c r="V12" s="143" t="str">
        <f t="shared" si="14"/>
        <v> </v>
      </c>
      <c r="W12" s="5"/>
      <c r="X12" s="5"/>
      <c r="Y12" s="5"/>
      <c r="Z12" s="5"/>
      <c r="AA12" s="5"/>
    </row>
    <row r="13" ht="12.75" customHeight="1">
      <c r="A13" s="136"/>
      <c r="B13" s="144" t="s">
        <v>5</v>
      </c>
      <c r="C13" s="138">
        <v>0.7</v>
      </c>
      <c r="D13" s="139">
        <v>3.0</v>
      </c>
      <c r="E13" s="140">
        <v>1.0</v>
      </c>
      <c r="F13" s="140">
        <f>'1RM'!$C$5*C13</f>
        <v>70</v>
      </c>
      <c r="G13" s="141"/>
      <c r="H13" s="142"/>
      <c r="I13" s="141">
        <f t="shared" si="8"/>
        <v>3</v>
      </c>
      <c r="J13" s="142">
        <f t="shared" si="9"/>
        <v>210</v>
      </c>
      <c r="K13" s="141"/>
      <c r="L13" s="142"/>
      <c r="M13" s="5"/>
      <c r="N13" s="5"/>
      <c r="O13" s="5"/>
      <c r="P13" s="5"/>
      <c r="Q13" s="5"/>
      <c r="R13" s="143" t="str">
        <f t="shared" si="10"/>
        <v> </v>
      </c>
      <c r="S13" s="143" t="str">
        <f t="shared" si="11"/>
        <v> </v>
      </c>
      <c r="T13" s="143">
        <f t="shared" si="12"/>
        <v>3</v>
      </c>
      <c r="U13" s="143" t="str">
        <f t="shared" si="13"/>
        <v> </v>
      </c>
      <c r="V13" s="143" t="str">
        <f t="shared" si="14"/>
        <v> </v>
      </c>
      <c r="W13" s="5"/>
      <c r="X13" s="5"/>
      <c r="Y13" s="5"/>
      <c r="Z13" s="5"/>
      <c r="AA13" s="5"/>
    </row>
    <row r="14" ht="12.75" customHeight="1">
      <c r="A14" s="136"/>
      <c r="B14" s="144" t="s">
        <v>5</v>
      </c>
      <c r="C14" s="138">
        <v>0.8</v>
      </c>
      <c r="D14" s="139">
        <v>3.0</v>
      </c>
      <c r="E14" s="140">
        <v>4.0</v>
      </c>
      <c r="F14" s="140">
        <f>'1RM'!$C$5*C14</f>
        <v>80</v>
      </c>
      <c r="G14" s="141"/>
      <c r="H14" s="142"/>
      <c r="I14" s="141">
        <f t="shared" si="8"/>
        <v>12</v>
      </c>
      <c r="J14" s="142">
        <f t="shared" si="9"/>
        <v>960</v>
      </c>
      <c r="K14" s="141"/>
      <c r="L14" s="142"/>
      <c r="M14" s="5"/>
      <c r="N14" s="5"/>
      <c r="O14" s="5"/>
      <c r="P14" s="5"/>
      <c r="Q14" s="5"/>
      <c r="R14" s="143" t="str">
        <f t="shared" si="10"/>
        <v> </v>
      </c>
      <c r="S14" s="143" t="str">
        <f t="shared" si="11"/>
        <v> </v>
      </c>
      <c r="T14" s="143" t="str">
        <f t="shared" si="12"/>
        <v> </v>
      </c>
      <c r="U14" s="143">
        <f t="shared" si="13"/>
        <v>12</v>
      </c>
      <c r="V14" s="143" t="str">
        <f t="shared" si="14"/>
        <v> </v>
      </c>
      <c r="W14" s="5"/>
      <c r="X14" s="5"/>
      <c r="Y14" s="5"/>
      <c r="Z14" s="5"/>
      <c r="AA14" s="5"/>
    </row>
    <row r="15" ht="12.75" customHeight="1">
      <c r="A15" s="145">
        <v>4.0</v>
      </c>
      <c r="B15" s="146" t="s">
        <v>4</v>
      </c>
      <c r="C15" s="147">
        <v>0.5</v>
      </c>
      <c r="D15" s="148">
        <v>3.0</v>
      </c>
      <c r="E15" s="149">
        <v>1.0</v>
      </c>
      <c r="F15" s="149">
        <f>'1RM'!$C$4*C15</f>
        <v>50</v>
      </c>
      <c r="G15" s="141">
        <f t="shared" ref="G15:G18" si="15">D15*E15</f>
        <v>3</v>
      </c>
      <c r="H15" s="142">
        <f t="shared" ref="H15:H18" si="16">F15*G15</f>
        <v>150</v>
      </c>
      <c r="I15" s="141"/>
      <c r="J15" s="142"/>
      <c r="K15" s="141"/>
      <c r="L15" s="142"/>
      <c r="M15" s="150">
        <f t="shared" ref="M15:M18" si="17">IF(ISNUMBER(SEARCH("Sentadilla",$B15)),IF($C15&gt;=0.5,IF($C15&lt;0.6,$D15*$E15," ")," ")," ")</f>
        <v>3</v>
      </c>
      <c r="N15" s="150" t="str">
        <f t="shared" ref="N15:N18" si="18">IF(ISNUMBER(SEARCH("Sentadilla",$B15)),IF($C15&gt;=0.6,IF($C15&lt;0.7,$D15*$E15," ")," ")," ")</f>
        <v> </v>
      </c>
      <c r="O15" s="150" t="str">
        <f t="shared" ref="O15:O18" si="19">IF(ISNUMBER(SEARCH("Sentadilla",$B15)),IF($C15&gt;=0.7,IF($C15&lt;0.8,$D15*$E15," ")," ")," ")</f>
        <v> </v>
      </c>
      <c r="P15" s="150" t="str">
        <f t="shared" ref="P15:P18" si="20">IF(ISNUMBER(SEARCH("Sentadilla",$B15)),IF($C15&gt;=0.8,IF($C15&lt;0.9,$D15*$E15," ")," ")," ")</f>
        <v> </v>
      </c>
      <c r="Q15" s="150" t="str">
        <f t="shared" ref="Q15:Q18" si="21">IF(ISNUMBER(SEARCH("Sentadilla",$B15)),IF($C15&gt;=0.9,$D15*$E15," ")," ")</f>
        <v> </v>
      </c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2.75" customHeight="1">
      <c r="A16" s="145"/>
      <c r="B16" s="151" t="s">
        <v>4</v>
      </c>
      <c r="C16" s="147">
        <v>0.6</v>
      </c>
      <c r="D16" s="148">
        <v>3.0</v>
      </c>
      <c r="E16" s="149">
        <v>1.0</v>
      </c>
      <c r="F16" s="149">
        <f>'1RM'!$C$4*C16</f>
        <v>60</v>
      </c>
      <c r="G16" s="141">
        <f t="shared" si="15"/>
        <v>3</v>
      </c>
      <c r="H16" s="142">
        <f t="shared" si="16"/>
        <v>180</v>
      </c>
      <c r="I16" s="141"/>
      <c r="J16" s="142"/>
      <c r="K16" s="141"/>
      <c r="L16" s="142"/>
      <c r="M16" s="150" t="str">
        <f t="shared" si="17"/>
        <v> </v>
      </c>
      <c r="N16" s="150">
        <f t="shared" si="18"/>
        <v>3</v>
      </c>
      <c r="O16" s="150" t="str">
        <f t="shared" si="19"/>
        <v> </v>
      </c>
      <c r="P16" s="150" t="str">
        <f t="shared" si="20"/>
        <v> </v>
      </c>
      <c r="Q16" s="150" t="str">
        <f t="shared" si="21"/>
        <v> </v>
      </c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2.75" customHeight="1">
      <c r="A17" s="145"/>
      <c r="B17" s="151" t="s">
        <v>4</v>
      </c>
      <c r="C17" s="147">
        <v>0.7</v>
      </c>
      <c r="D17" s="148">
        <v>3.0</v>
      </c>
      <c r="E17" s="149">
        <v>1.0</v>
      </c>
      <c r="F17" s="149">
        <f>'1RM'!$C$4*C17</f>
        <v>70</v>
      </c>
      <c r="G17" s="141">
        <f t="shared" si="15"/>
        <v>3</v>
      </c>
      <c r="H17" s="142">
        <f t="shared" si="16"/>
        <v>210</v>
      </c>
      <c r="I17" s="141"/>
      <c r="J17" s="142"/>
      <c r="K17" s="141"/>
      <c r="L17" s="142"/>
      <c r="M17" s="150" t="str">
        <f t="shared" si="17"/>
        <v> </v>
      </c>
      <c r="N17" s="150" t="str">
        <f t="shared" si="18"/>
        <v> </v>
      </c>
      <c r="O17" s="150">
        <f t="shared" si="19"/>
        <v>3</v>
      </c>
      <c r="P17" s="150" t="str">
        <f t="shared" si="20"/>
        <v> </v>
      </c>
      <c r="Q17" s="150" t="str">
        <f t="shared" si="21"/>
        <v> </v>
      </c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2.75" customHeight="1">
      <c r="A18" s="145"/>
      <c r="B18" s="151" t="s">
        <v>4</v>
      </c>
      <c r="C18" s="147">
        <v>0.8</v>
      </c>
      <c r="D18" s="148">
        <v>3.0</v>
      </c>
      <c r="E18" s="149">
        <v>4.0</v>
      </c>
      <c r="F18" s="149">
        <f>'1RM'!$C$4*C18</f>
        <v>80</v>
      </c>
      <c r="G18" s="141">
        <f t="shared" si="15"/>
        <v>12</v>
      </c>
      <c r="H18" s="142">
        <f t="shared" si="16"/>
        <v>960</v>
      </c>
      <c r="I18" s="141"/>
      <c r="J18" s="142"/>
      <c r="K18" s="141"/>
      <c r="L18" s="142"/>
      <c r="M18" s="150" t="str">
        <f t="shared" si="17"/>
        <v> </v>
      </c>
      <c r="N18" s="150" t="str">
        <f t="shared" si="18"/>
        <v> </v>
      </c>
      <c r="O18" s="150" t="str">
        <f t="shared" si="19"/>
        <v> </v>
      </c>
      <c r="P18" s="150">
        <f t="shared" si="20"/>
        <v>12</v>
      </c>
      <c r="Q18" s="150" t="str">
        <f t="shared" si="21"/>
        <v> </v>
      </c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2.75" customHeight="1">
      <c r="A19" s="152">
        <v>3.0</v>
      </c>
      <c r="B19" s="153" t="s">
        <v>55</v>
      </c>
      <c r="C19" s="154"/>
      <c r="D19" s="155">
        <v>6.0</v>
      </c>
      <c r="E19" s="156">
        <v>4.0</v>
      </c>
      <c r="F19" s="156"/>
      <c r="G19" s="141"/>
      <c r="H19" s="142"/>
      <c r="I19" s="141"/>
      <c r="J19" s="142"/>
      <c r="K19" s="141"/>
      <c r="L19" s="14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2.75" customHeight="1">
      <c r="A20" s="152">
        <v>5.0</v>
      </c>
      <c r="B20" s="153" t="s">
        <v>61</v>
      </c>
      <c r="C20" s="154"/>
      <c r="D20" s="155">
        <v>5.0</v>
      </c>
      <c r="E20" s="156">
        <v>5.0</v>
      </c>
      <c r="F20" s="156"/>
      <c r="G20" s="141"/>
      <c r="H20" s="142"/>
      <c r="I20" s="141"/>
      <c r="J20" s="142"/>
      <c r="K20" s="141"/>
      <c r="L20" s="14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2.75" customHeight="1">
      <c r="A21" s="33"/>
      <c r="B21" s="134"/>
      <c r="C21" s="133"/>
      <c r="D21" s="42"/>
      <c r="E21" s="42"/>
      <c r="F21" s="42"/>
      <c r="G21" s="141"/>
      <c r="H21" s="142"/>
      <c r="I21" s="141"/>
      <c r="J21" s="142"/>
      <c r="K21" s="141"/>
      <c r="L21" s="14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2.75" customHeight="1">
      <c r="A22" s="33" t="s">
        <v>57</v>
      </c>
      <c r="B22" s="134"/>
      <c r="C22" s="135" t="s">
        <v>20</v>
      </c>
      <c r="D22" s="45" t="s">
        <v>51</v>
      </c>
      <c r="E22" s="45" t="s">
        <v>52</v>
      </c>
      <c r="F22" s="45" t="s">
        <v>53</v>
      </c>
      <c r="G22" s="141"/>
      <c r="H22" s="142"/>
      <c r="I22" s="141"/>
      <c r="J22" s="142"/>
      <c r="K22" s="141"/>
      <c r="L22" s="14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2.75" customHeight="1">
      <c r="A23" s="136">
        <v>1.0</v>
      </c>
      <c r="B23" s="137" t="s">
        <v>5</v>
      </c>
      <c r="C23" s="138">
        <v>0.5</v>
      </c>
      <c r="D23" s="139">
        <v>5.0</v>
      </c>
      <c r="E23" s="140">
        <v>1.0</v>
      </c>
      <c r="F23" s="140">
        <f>'1RM'!$C$5*C23</f>
        <v>50</v>
      </c>
      <c r="G23" s="141"/>
      <c r="H23" s="142"/>
      <c r="I23" s="141">
        <f t="shared" ref="I23:I28" si="22">D23*E23</f>
        <v>5</v>
      </c>
      <c r="J23" s="142">
        <f t="shared" ref="J23:J28" si="23">F23*I23</f>
        <v>250</v>
      </c>
      <c r="K23" s="141"/>
      <c r="L23" s="142"/>
      <c r="M23" s="5"/>
      <c r="N23" s="5"/>
      <c r="O23" s="5"/>
      <c r="P23" s="5"/>
      <c r="Q23" s="5"/>
      <c r="R23" s="143">
        <f t="shared" ref="R23:R28" si="24">IF(ISNUMBER(SEARCH("Press de banca",$B23)),IF($C23&gt;=0.5,IF($C23&lt;0.6,$D23*$E23," ")," ")," ")</f>
        <v>5</v>
      </c>
      <c r="S23" s="143" t="str">
        <f t="shared" ref="S23:S28" si="25">IF(ISNUMBER(SEARCH("Press de banca",$B23)),IF($C23&gt;=0.6,IF($C23&lt;0.7,$D23*$E23," ")," ")," ")</f>
        <v> </v>
      </c>
      <c r="T23" s="143" t="str">
        <f t="shared" ref="T23:T28" si="26">IF(ISNUMBER(SEARCH("Press de banca",$B23)),IF($C23&gt;=0.7,IF($C23&lt;0.8,$D23*$E23," ")," ")," ")</f>
        <v> </v>
      </c>
      <c r="U23" s="143" t="str">
        <f t="shared" ref="U23:U28" si="27">IF(ISNUMBER(SEARCH("Press de banca",$B23)),IF($C23&gt;=0.8,IF($C23&lt;0.9,$D23*$E23," ")," ")," ")</f>
        <v> </v>
      </c>
      <c r="V23" s="143" t="str">
        <f t="shared" ref="V23:V28" si="28">IF(ISNUMBER(SEARCH("Press de banca",$B23)),IF($C23&gt;=0.9,$D23*$E23," ")," ")</f>
        <v> </v>
      </c>
      <c r="W23" s="5"/>
      <c r="X23" s="5"/>
      <c r="Y23" s="5"/>
      <c r="Z23" s="5"/>
      <c r="AA23" s="5"/>
    </row>
    <row r="24" ht="12.75" customHeight="1">
      <c r="A24" s="136"/>
      <c r="B24" s="144" t="s">
        <v>5</v>
      </c>
      <c r="C24" s="138">
        <v>0.6</v>
      </c>
      <c r="D24" s="139">
        <v>4.0</v>
      </c>
      <c r="E24" s="140">
        <v>1.0</v>
      </c>
      <c r="F24" s="140">
        <f>'1RM'!$C$5*C24</f>
        <v>60</v>
      </c>
      <c r="G24" s="141"/>
      <c r="H24" s="142"/>
      <c r="I24" s="141">
        <f t="shared" si="22"/>
        <v>4</v>
      </c>
      <c r="J24" s="142">
        <f t="shared" si="23"/>
        <v>240</v>
      </c>
      <c r="K24" s="141"/>
      <c r="L24" s="142"/>
      <c r="M24" s="5"/>
      <c r="N24" s="5"/>
      <c r="O24" s="5"/>
      <c r="P24" s="5"/>
      <c r="Q24" s="5"/>
      <c r="R24" s="143" t="str">
        <f t="shared" si="24"/>
        <v> </v>
      </c>
      <c r="S24" s="143">
        <f t="shared" si="25"/>
        <v>4</v>
      </c>
      <c r="T24" s="143" t="str">
        <f t="shared" si="26"/>
        <v> </v>
      </c>
      <c r="U24" s="143" t="str">
        <f t="shared" si="27"/>
        <v> </v>
      </c>
      <c r="V24" s="143" t="str">
        <f t="shared" si="28"/>
        <v> </v>
      </c>
      <c r="W24" s="5"/>
      <c r="X24" s="5"/>
      <c r="Y24" s="5"/>
      <c r="Z24" s="5"/>
      <c r="AA24" s="5"/>
    </row>
    <row r="25" ht="12.75" customHeight="1">
      <c r="A25" s="136"/>
      <c r="B25" s="144" t="s">
        <v>5</v>
      </c>
      <c r="C25" s="138">
        <v>0.7</v>
      </c>
      <c r="D25" s="139">
        <v>3.0</v>
      </c>
      <c r="E25" s="140">
        <v>1.0</v>
      </c>
      <c r="F25" s="140">
        <f>'1RM'!$C$5*C25</f>
        <v>70</v>
      </c>
      <c r="G25" s="141"/>
      <c r="H25" s="142"/>
      <c r="I25" s="141">
        <f t="shared" si="22"/>
        <v>3</v>
      </c>
      <c r="J25" s="142">
        <f t="shared" si="23"/>
        <v>210</v>
      </c>
      <c r="K25" s="141"/>
      <c r="L25" s="142"/>
      <c r="M25" s="5"/>
      <c r="N25" s="5"/>
      <c r="O25" s="5"/>
      <c r="P25" s="5"/>
      <c r="Q25" s="5"/>
      <c r="R25" s="143" t="str">
        <f t="shared" si="24"/>
        <v> </v>
      </c>
      <c r="S25" s="143" t="str">
        <f t="shared" si="25"/>
        <v> </v>
      </c>
      <c r="T25" s="143">
        <f t="shared" si="26"/>
        <v>3</v>
      </c>
      <c r="U25" s="143" t="str">
        <f t="shared" si="27"/>
        <v> </v>
      </c>
      <c r="V25" s="143" t="str">
        <f t="shared" si="28"/>
        <v> </v>
      </c>
      <c r="W25" s="5"/>
      <c r="X25" s="5"/>
      <c r="Y25" s="5"/>
      <c r="Z25" s="5"/>
      <c r="AA25" s="5"/>
    </row>
    <row r="26" ht="12.75" customHeight="1">
      <c r="A26" s="136"/>
      <c r="B26" s="144" t="s">
        <v>5</v>
      </c>
      <c r="C26" s="138">
        <v>0.8</v>
      </c>
      <c r="D26" s="139">
        <v>2.0</v>
      </c>
      <c r="E26" s="140">
        <v>2.0</v>
      </c>
      <c r="F26" s="140">
        <f>'1RM'!$C$5*C26</f>
        <v>80</v>
      </c>
      <c r="G26" s="141"/>
      <c r="H26" s="142"/>
      <c r="I26" s="141">
        <f t="shared" si="22"/>
        <v>4</v>
      </c>
      <c r="J26" s="142">
        <f t="shared" si="23"/>
        <v>320</v>
      </c>
      <c r="K26" s="141"/>
      <c r="L26" s="142"/>
      <c r="M26" s="5"/>
      <c r="N26" s="5"/>
      <c r="O26" s="5"/>
      <c r="P26" s="5"/>
      <c r="Q26" s="5"/>
      <c r="R26" s="143" t="str">
        <f t="shared" si="24"/>
        <v> </v>
      </c>
      <c r="S26" s="143" t="str">
        <f t="shared" si="25"/>
        <v> </v>
      </c>
      <c r="T26" s="143" t="str">
        <f t="shared" si="26"/>
        <v> </v>
      </c>
      <c r="U26" s="143">
        <f t="shared" si="27"/>
        <v>4</v>
      </c>
      <c r="V26" s="143" t="str">
        <f t="shared" si="28"/>
        <v> </v>
      </c>
      <c r="W26" s="5"/>
      <c r="X26" s="5"/>
      <c r="Y26" s="5"/>
      <c r="Z26" s="5"/>
      <c r="AA26" s="5"/>
    </row>
    <row r="27" ht="12.75" customHeight="1">
      <c r="A27" s="136"/>
      <c r="B27" s="144" t="s">
        <v>5</v>
      </c>
      <c r="C27" s="138">
        <v>0.85</v>
      </c>
      <c r="D27" s="139">
        <v>1.0</v>
      </c>
      <c r="E27" s="140">
        <v>2.0</v>
      </c>
      <c r="F27" s="140">
        <f>'1RM'!$C$5*C27</f>
        <v>85</v>
      </c>
      <c r="G27" s="141"/>
      <c r="H27" s="142"/>
      <c r="I27" s="141">
        <f t="shared" si="22"/>
        <v>2</v>
      </c>
      <c r="J27" s="142">
        <f t="shared" si="23"/>
        <v>170</v>
      </c>
      <c r="K27" s="141"/>
      <c r="L27" s="142"/>
      <c r="M27" s="5"/>
      <c r="N27" s="5"/>
      <c r="O27" s="5"/>
      <c r="P27" s="5"/>
      <c r="Q27" s="5"/>
      <c r="R27" s="143" t="str">
        <f t="shared" si="24"/>
        <v> </v>
      </c>
      <c r="S27" s="143" t="str">
        <f t="shared" si="25"/>
        <v> </v>
      </c>
      <c r="T27" s="143" t="str">
        <f t="shared" si="26"/>
        <v> </v>
      </c>
      <c r="U27" s="143">
        <f t="shared" si="27"/>
        <v>2</v>
      </c>
      <c r="V27" s="143" t="str">
        <f t="shared" si="28"/>
        <v> </v>
      </c>
      <c r="W27" s="5"/>
      <c r="X27" s="5"/>
      <c r="Y27" s="5"/>
      <c r="Z27" s="5"/>
      <c r="AA27" s="5"/>
    </row>
    <row r="28" ht="12.75" customHeight="1">
      <c r="A28" s="136"/>
      <c r="B28" s="144" t="s">
        <v>5</v>
      </c>
      <c r="C28" s="138">
        <v>0.8</v>
      </c>
      <c r="D28" s="139">
        <v>2.0</v>
      </c>
      <c r="E28" s="140">
        <v>2.0</v>
      </c>
      <c r="F28" s="140">
        <f>'1RM'!$C$5*C28</f>
        <v>80</v>
      </c>
      <c r="G28" s="141"/>
      <c r="H28" s="142"/>
      <c r="I28" s="141">
        <f t="shared" si="22"/>
        <v>4</v>
      </c>
      <c r="J28" s="142">
        <f t="shared" si="23"/>
        <v>320</v>
      </c>
      <c r="K28" s="141"/>
      <c r="L28" s="142"/>
      <c r="M28" s="5"/>
      <c r="N28" s="5"/>
      <c r="O28" s="5"/>
      <c r="P28" s="5"/>
      <c r="Q28" s="5"/>
      <c r="R28" s="143" t="str">
        <f t="shared" si="24"/>
        <v> </v>
      </c>
      <c r="S28" s="143" t="str">
        <f t="shared" si="25"/>
        <v> </v>
      </c>
      <c r="T28" s="143" t="str">
        <f t="shared" si="26"/>
        <v> </v>
      </c>
      <c r="U28" s="143">
        <f t="shared" si="27"/>
        <v>4</v>
      </c>
      <c r="V28" s="143" t="str">
        <f t="shared" si="28"/>
        <v> </v>
      </c>
      <c r="W28" s="5"/>
      <c r="X28" s="5"/>
      <c r="Y28" s="5"/>
      <c r="Z28" s="5"/>
      <c r="AA28" s="5"/>
    </row>
    <row r="29" ht="12.75" customHeight="1">
      <c r="A29" s="157">
        <v>2.0</v>
      </c>
      <c r="B29" s="158" t="s">
        <v>68</v>
      </c>
      <c r="C29" s="159">
        <v>0.65</v>
      </c>
      <c r="D29" s="160">
        <v>3.0</v>
      </c>
      <c r="E29" s="161">
        <v>1.0</v>
      </c>
      <c r="F29" s="161">
        <f>'1RM'!$C$6*C29</f>
        <v>65</v>
      </c>
      <c r="G29" s="141"/>
      <c r="H29" s="142"/>
      <c r="I29" s="141"/>
      <c r="J29" s="142"/>
      <c r="K29" s="141">
        <f t="shared" ref="K29:K32" si="29">D29*E29</f>
        <v>3</v>
      </c>
      <c r="L29" s="142">
        <f t="shared" ref="L29:L32" si="30">F29*K29</f>
        <v>195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162" t="str">
        <f t="shared" ref="W29:W32" si="31">IF(ISNUMBER(SEARCH("Peso muerto",$B29)),IF($C29&gt;=0.5,IF($C29&lt;0.6,$D29*$E29," ")," ")," ")</f>
        <v> </v>
      </c>
      <c r="X29" s="162">
        <f t="shared" ref="X29:X32" si="32">IF(ISNUMBER(SEARCH("Peso muerto",$B29)),IF($C29&gt;=0.6,IF($C29&lt;0.7,$D29*$E29," ")," ")," ")</f>
        <v>3</v>
      </c>
      <c r="Y29" s="162" t="str">
        <f t="shared" ref="Y29:Y32" si="33">IF(ISNUMBER(SEARCH("Peso muerto",$B29)),IF($C29&gt;=0.7,IF($C29&lt;0.8,$D29*$E29," ")," ")," ")</f>
        <v> </v>
      </c>
      <c r="Z29" s="162" t="str">
        <f t="shared" ref="Z29:Z32" si="34">IF(ISNUMBER(SEARCH("Peso muerto",$B29)),IF($C29&gt;=0.8,IF($C29&lt;0.9,$D29*$E29," ")," ")," ")</f>
        <v> </v>
      </c>
      <c r="AA29" s="162" t="str">
        <f t="shared" ref="AA29:AA32" si="35">IF(ISNUMBER(SEARCH("Peso muerto",$B29)),IF($C29&gt;=0.9,$D29*$E29," ")," ")</f>
        <v> </v>
      </c>
    </row>
    <row r="30" ht="12.75" customHeight="1">
      <c r="A30" s="157"/>
      <c r="B30" s="163" t="s">
        <v>68</v>
      </c>
      <c r="C30" s="159">
        <v>0.75</v>
      </c>
      <c r="D30" s="160">
        <v>3.0</v>
      </c>
      <c r="E30" s="161">
        <v>1.0</v>
      </c>
      <c r="F30" s="161">
        <f>'1RM'!$C$6*C30</f>
        <v>75</v>
      </c>
      <c r="G30" s="141"/>
      <c r="H30" s="142"/>
      <c r="I30" s="141"/>
      <c r="J30" s="142"/>
      <c r="K30" s="141">
        <f t="shared" si="29"/>
        <v>3</v>
      </c>
      <c r="L30" s="142">
        <f t="shared" si="30"/>
        <v>225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162" t="str">
        <f t="shared" si="31"/>
        <v> </v>
      </c>
      <c r="X30" s="162" t="str">
        <f t="shared" si="32"/>
        <v> </v>
      </c>
      <c r="Y30" s="162">
        <f t="shared" si="33"/>
        <v>3</v>
      </c>
      <c r="Z30" s="162" t="str">
        <f t="shared" si="34"/>
        <v> </v>
      </c>
      <c r="AA30" s="162" t="str">
        <f t="shared" si="35"/>
        <v> </v>
      </c>
    </row>
    <row r="31" ht="12.75" customHeight="1">
      <c r="A31" s="157"/>
      <c r="B31" s="163" t="s">
        <v>68</v>
      </c>
      <c r="C31" s="159">
        <v>0.85</v>
      </c>
      <c r="D31" s="160">
        <v>3.0</v>
      </c>
      <c r="E31" s="161">
        <v>2.0</v>
      </c>
      <c r="F31" s="161">
        <f>'1RM'!$C$6*C31</f>
        <v>85</v>
      </c>
      <c r="G31" s="141"/>
      <c r="H31" s="142"/>
      <c r="I31" s="141"/>
      <c r="J31" s="142"/>
      <c r="K31" s="141">
        <f t="shared" si="29"/>
        <v>6</v>
      </c>
      <c r="L31" s="142">
        <f t="shared" si="30"/>
        <v>510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162" t="str">
        <f t="shared" si="31"/>
        <v> </v>
      </c>
      <c r="X31" s="162" t="str">
        <f t="shared" si="32"/>
        <v> </v>
      </c>
      <c r="Y31" s="162" t="str">
        <f t="shared" si="33"/>
        <v> </v>
      </c>
      <c r="Z31" s="162">
        <f t="shared" si="34"/>
        <v>6</v>
      </c>
      <c r="AA31" s="162" t="str">
        <f t="shared" si="35"/>
        <v> </v>
      </c>
    </row>
    <row r="32" ht="12.75" customHeight="1">
      <c r="A32" s="157"/>
      <c r="B32" s="163" t="s">
        <v>68</v>
      </c>
      <c r="C32" s="159">
        <v>0.9</v>
      </c>
      <c r="D32" s="160">
        <v>2.0</v>
      </c>
      <c r="E32" s="161">
        <v>3.0</v>
      </c>
      <c r="F32" s="161">
        <f>'1RM'!$C$6*C32</f>
        <v>90</v>
      </c>
      <c r="G32" s="141"/>
      <c r="H32" s="142"/>
      <c r="I32" s="141"/>
      <c r="J32" s="142"/>
      <c r="K32" s="141">
        <f t="shared" si="29"/>
        <v>6</v>
      </c>
      <c r="L32" s="142">
        <f t="shared" si="30"/>
        <v>540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162" t="str">
        <f t="shared" si="31"/>
        <v> </v>
      </c>
      <c r="X32" s="162" t="str">
        <f t="shared" si="32"/>
        <v> </v>
      </c>
      <c r="Y32" s="162" t="str">
        <f t="shared" si="33"/>
        <v> </v>
      </c>
      <c r="Z32" s="162" t="str">
        <f t="shared" si="34"/>
        <v> </v>
      </c>
      <c r="AA32" s="162">
        <f t="shared" si="35"/>
        <v>6</v>
      </c>
    </row>
    <row r="33" ht="12.75" customHeight="1">
      <c r="A33" s="152">
        <v>3.0</v>
      </c>
      <c r="B33" s="153" t="s">
        <v>83</v>
      </c>
      <c r="C33" s="154"/>
      <c r="D33" s="156">
        <v>6.0</v>
      </c>
      <c r="E33" s="156">
        <v>5.0</v>
      </c>
      <c r="F33" s="156"/>
      <c r="G33" s="141"/>
      <c r="H33" s="142"/>
      <c r="I33" s="141"/>
      <c r="J33" s="142"/>
      <c r="K33" s="141"/>
      <c r="L33" s="142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2.75" customHeight="1">
      <c r="A34" s="152">
        <v>4.0</v>
      </c>
      <c r="B34" s="153" t="s">
        <v>60</v>
      </c>
      <c r="C34" s="154"/>
      <c r="D34" s="156">
        <v>6.0</v>
      </c>
      <c r="E34" s="156">
        <v>5.0</v>
      </c>
      <c r="F34" s="156"/>
      <c r="G34" s="141"/>
      <c r="H34" s="142"/>
      <c r="I34" s="141"/>
      <c r="J34" s="142"/>
      <c r="K34" s="141"/>
      <c r="L34" s="142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2.75" customHeight="1">
      <c r="A35" s="152">
        <v>5.0</v>
      </c>
      <c r="B35" s="153" t="s">
        <v>56</v>
      </c>
      <c r="C35" s="154"/>
      <c r="D35" s="155">
        <v>8.0</v>
      </c>
      <c r="E35" s="156">
        <v>4.0</v>
      </c>
      <c r="F35" s="156"/>
      <c r="G35" s="141"/>
      <c r="H35" s="142"/>
      <c r="I35" s="141"/>
      <c r="J35" s="142"/>
      <c r="K35" s="141"/>
      <c r="L35" s="142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2.75" customHeight="1">
      <c r="A36" s="33"/>
      <c r="B36" s="134"/>
      <c r="C36" s="133"/>
      <c r="D36" s="42"/>
      <c r="E36" s="42"/>
      <c r="F36" s="42"/>
      <c r="G36" s="141"/>
      <c r="H36" s="142"/>
      <c r="I36" s="141"/>
      <c r="J36" s="142"/>
      <c r="K36" s="141"/>
      <c r="L36" s="14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2.75" customHeight="1">
      <c r="A37" s="33" t="s">
        <v>62</v>
      </c>
      <c r="B37" s="134"/>
      <c r="C37" s="135" t="s">
        <v>20</v>
      </c>
      <c r="D37" s="45" t="s">
        <v>51</v>
      </c>
      <c r="E37" s="45" t="s">
        <v>52</v>
      </c>
      <c r="F37" s="45" t="s">
        <v>53</v>
      </c>
      <c r="G37" s="141"/>
      <c r="H37" s="142"/>
      <c r="I37" s="141"/>
      <c r="J37" s="142"/>
      <c r="K37" s="141"/>
      <c r="L37" s="142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2.75" customHeight="1">
      <c r="A38" s="145">
        <v>1.0</v>
      </c>
      <c r="B38" s="146" t="s">
        <v>4</v>
      </c>
      <c r="C38" s="147">
        <v>0.5</v>
      </c>
      <c r="D38" s="148">
        <v>5.0</v>
      </c>
      <c r="E38" s="149">
        <v>1.0</v>
      </c>
      <c r="F38" s="149">
        <f>'1RM'!$C$4*C38</f>
        <v>50</v>
      </c>
      <c r="G38" s="141">
        <f t="shared" ref="G38:G41" si="36">D38*E38</f>
        <v>5</v>
      </c>
      <c r="H38" s="142">
        <f t="shared" ref="H38:H41" si="37">F38*G38</f>
        <v>250</v>
      </c>
      <c r="I38" s="141"/>
      <c r="J38" s="142"/>
      <c r="K38" s="141"/>
      <c r="L38" s="142"/>
      <c r="M38" s="150">
        <f t="shared" ref="M38:M41" si="38">IF(ISNUMBER(SEARCH("Sentadilla",$B38)),IF($C38&gt;=0.5,IF($C38&lt;0.6,$D38*$E38," ")," ")," ")</f>
        <v>5</v>
      </c>
      <c r="N38" s="150" t="str">
        <f t="shared" ref="N38:N41" si="39">IF(ISNUMBER(SEARCH("Sentadilla",$B38)),IF($C38&gt;=0.6,IF($C38&lt;0.7,$D38*$E38," ")," ")," ")</f>
        <v> </v>
      </c>
      <c r="O38" s="150" t="str">
        <f t="shared" ref="O38:O41" si="40">IF(ISNUMBER(SEARCH("Sentadilla",$B38)),IF($C38&gt;=0.7,IF($C38&lt;0.8,$D38*$E38," ")," ")," ")</f>
        <v> </v>
      </c>
      <c r="P38" s="150" t="str">
        <f t="shared" ref="P38:P41" si="41">IF(ISNUMBER(SEARCH("Sentadilla",$B38)),IF($C38&gt;=0.8,IF($C38&lt;0.9,$D38*$E38," ")," ")," ")</f>
        <v> </v>
      </c>
      <c r="Q38" s="150" t="str">
        <f t="shared" ref="Q38:Q41" si="42">IF(ISNUMBER(SEARCH("Sentadilla",$B38)),IF($C38&gt;=0.9,$D38*$E38," ")," ")</f>
        <v> </v>
      </c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2.75" customHeight="1">
      <c r="A39" s="145"/>
      <c r="B39" s="151" t="s">
        <v>4</v>
      </c>
      <c r="C39" s="147">
        <v>0.6</v>
      </c>
      <c r="D39" s="148">
        <v>4.0</v>
      </c>
      <c r="E39" s="149">
        <v>1.0</v>
      </c>
      <c r="F39" s="149">
        <f>'1RM'!$C$4*C39</f>
        <v>60</v>
      </c>
      <c r="G39" s="141">
        <f t="shared" si="36"/>
        <v>4</v>
      </c>
      <c r="H39" s="142">
        <f t="shared" si="37"/>
        <v>240</v>
      </c>
      <c r="I39" s="141"/>
      <c r="J39" s="142"/>
      <c r="K39" s="141"/>
      <c r="L39" s="142"/>
      <c r="M39" s="150" t="str">
        <f t="shared" si="38"/>
        <v> </v>
      </c>
      <c r="N39" s="150">
        <f t="shared" si="39"/>
        <v>4</v>
      </c>
      <c r="O39" s="150" t="str">
        <f t="shared" si="40"/>
        <v> </v>
      </c>
      <c r="P39" s="150" t="str">
        <f t="shared" si="41"/>
        <v> </v>
      </c>
      <c r="Q39" s="150" t="str">
        <f t="shared" si="42"/>
        <v> </v>
      </c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2.75" customHeight="1">
      <c r="A40" s="145"/>
      <c r="B40" s="151" t="s">
        <v>4</v>
      </c>
      <c r="C40" s="147">
        <v>0.7</v>
      </c>
      <c r="D40" s="148">
        <v>3.0</v>
      </c>
      <c r="E40" s="149">
        <v>1.0</v>
      </c>
      <c r="F40" s="149">
        <f>'1RM'!$C$4*C40</f>
        <v>70</v>
      </c>
      <c r="G40" s="141">
        <f t="shared" si="36"/>
        <v>3</v>
      </c>
      <c r="H40" s="142">
        <f t="shared" si="37"/>
        <v>210</v>
      </c>
      <c r="I40" s="141"/>
      <c r="J40" s="142"/>
      <c r="K40" s="141"/>
      <c r="L40" s="142"/>
      <c r="M40" s="150" t="str">
        <f t="shared" si="38"/>
        <v> </v>
      </c>
      <c r="N40" s="150" t="str">
        <f t="shared" si="39"/>
        <v> </v>
      </c>
      <c r="O40" s="150">
        <f t="shared" si="40"/>
        <v>3</v>
      </c>
      <c r="P40" s="150" t="str">
        <f t="shared" si="41"/>
        <v> </v>
      </c>
      <c r="Q40" s="150" t="str">
        <f t="shared" si="42"/>
        <v> </v>
      </c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2.75" customHeight="1">
      <c r="A41" s="145"/>
      <c r="B41" s="151" t="s">
        <v>4</v>
      </c>
      <c r="C41" s="147">
        <v>0.75</v>
      </c>
      <c r="D41" s="148">
        <v>4.0</v>
      </c>
      <c r="E41" s="149">
        <v>4.0</v>
      </c>
      <c r="F41" s="149">
        <f>'1RM'!$C$4*C41</f>
        <v>75</v>
      </c>
      <c r="G41" s="141">
        <f t="shared" si="36"/>
        <v>16</v>
      </c>
      <c r="H41" s="142">
        <f t="shared" si="37"/>
        <v>1200</v>
      </c>
      <c r="I41" s="141"/>
      <c r="J41" s="142"/>
      <c r="K41" s="141"/>
      <c r="L41" s="142"/>
      <c r="M41" s="150" t="str">
        <f t="shared" si="38"/>
        <v> </v>
      </c>
      <c r="N41" s="150" t="str">
        <f t="shared" si="39"/>
        <v> </v>
      </c>
      <c r="O41" s="150">
        <f t="shared" si="40"/>
        <v>16</v>
      </c>
      <c r="P41" s="150" t="str">
        <f t="shared" si="41"/>
        <v> </v>
      </c>
      <c r="Q41" s="150" t="str">
        <f t="shared" si="42"/>
        <v> </v>
      </c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2.75" customHeight="1">
      <c r="A42" s="136">
        <v>2.0</v>
      </c>
      <c r="B42" s="137" t="s">
        <v>5</v>
      </c>
      <c r="C42" s="138">
        <v>0.5</v>
      </c>
      <c r="D42" s="139">
        <v>5.0</v>
      </c>
      <c r="E42" s="140">
        <v>1.0</v>
      </c>
      <c r="F42" s="140">
        <f>'1RM'!$C$5*C42</f>
        <v>50</v>
      </c>
      <c r="G42" s="141"/>
      <c r="H42" s="142"/>
      <c r="I42" s="141">
        <f t="shared" ref="I42:I45" si="43">D42*E42</f>
        <v>5</v>
      </c>
      <c r="J42" s="142">
        <f t="shared" ref="J42:J45" si="44">F42*I42</f>
        <v>250</v>
      </c>
      <c r="K42" s="141"/>
      <c r="L42" s="142"/>
      <c r="M42" s="5"/>
      <c r="N42" s="5"/>
      <c r="O42" s="5"/>
      <c r="P42" s="5"/>
      <c r="Q42" s="5"/>
      <c r="R42" s="143">
        <f t="shared" ref="R42:R45" si="45">IF(ISNUMBER(SEARCH("Press de banca",$B42)),IF($C42&gt;=0.5,IF($C42&lt;0.6,$D42*$E42," ")," ")," ")</f>
        <v>5</v>
      </c>
      <c r="S42" s="143" t="str">
        <f t="shared" ref="S42:S45" si="46">IF(ISNUMBER(SEARCH("Press de banca",$B42)),IF($C42&gt;=0.6,IF($C42&lt;0.7,$D42*$E42," ")," ")," ")</f>
        <v> </v>
      </c>
      <c r="T42" s="143" t="str">
        <f t="shared" ref="T42:T45" si="47">IF(ISNUMBER(SEARCH("Press de banca",$B42)),IF($C42&gt;=0.7,IF($C42&lt;0.8,$D42*$E42," ")," ")," ")</f>
        <v> </v>
      </c>
      <c r="U42" s="143" t="str">
        <f t="shared" ref="U42:U45" si="48">IF(ISNUMBER(SEARCH("Press de banca",$B42)),IF($C42&gt;=0.8,IF($C42&lt;0.9,$D42*$E42," ")," ")," ")</f>
        <v> </v>
      </c>
      <c r="V42" s="143" t="str">
        <f t="shared" ref="V42:V45" si="49">IF(ISNUMBER(SEARCH("Press de banca",$B42)),IF($C42&gt;=0.9,$D42*$E42," ")," ")</f>
        <v> </v>
      </c>
      <c r="W42" s="5"/>
      <c r="X42" s="5"/>
      <c r="Y42" s="5"/>
      <c r="Z42" s="5"/>
      <c r="AA42" s="5"/>
    </row>
    <row r="43" ht="12.75" customHeight="1">
      <c r="A43" s="136"/>
      <c r="B43" s="144" t="s">
        <v>5</v>
      </c>
      <c r="C43" s="138">
        <v>0.6</v>
      </c>
      <c r="D43" s="139">
        <v>4.0</v>
      </c>
      <c r="E43" s="140">
        <v>1.0</v>
      </c>
      <c r="F43" s="140">
        <f>'1RM'!$C$5*C43</f>
        <v>60</v>
      </c>
      <c r="G43" s="141"/>
      <c r="H43" s="142"/>
      <c r="I43" s="141">
        <f t="shared" si="43"/>
        <v>4</v>
      </c>
      <c r="J43" s="142">
        <f t="shared" si="44"/>
        <v>240</v>
      </c>
      <c r="K43" s="141"/>
      <c r="L43" s="142"/>
      <c r="M43" s="5"/>
      <c r="N43" s="5"/>
      <c r="O43" s="5"/>
      <c r="P43" s="5"/>
      <c r="Q43" s="5"/>
      <c r="R43" s="143" t="str">
        <f t="shared" si="45"/>
        <v> </v>
      </c>
      <c r="S43" s="143">
        <f t="shared" si="46"/>
        <v>4</v>
      </c>
      <c r="T43" s="143" t="str">
        <f t="shared" si="47"/>
        <v> </v>
      </c>
      <c r="U43" s="143" t="str">
        <f t="shared" si="48"/>
        <v> </v>
      </c>
      <c r="V43" s="143" t="str">
        <f t="shared" si="49"/>
        <v> </v>
      </c>
      <c r="W43" s="5"/>
      <c r="X43" s="5"/>
      <c r="Y43" s="5"/>
      <c r="Z43" s="5"/>
      <c r="AA43" s="5"/>
    </row>
    <row r="44" ht="12.75" customHeight="1">
      <c r="A44" s="136"/>
      <c r="B44" s="144" t="s">
        <v>5</v>
      </c>
      <c r="C44" s="138">
        <v>0.7</v>
      </c>
      <c r="D44" s="139">
        <v>3.0</v>
      </c>
      <c r="E44" s="140">
        <v>1.0</v>
      </c>
      <c r="F44" s="140">
        <f>'1RM'!$C$5*C44</f>
        <v>70</v>
      </c>
      <c r="G44" s="141"/>
      <c r="H44" s="142"/>
      <c r="I44" s="141">
        <f t="shared" si="43"/>
        <v>3</v>
      </c>
      <c r="J44" s="142">
        <f t="shared" si="44"/>
        <v>210</v>
      </c>
      <c r="K44" s="141"/>
      <c r="L44" s="142"/>
      <c r="M44" s="5"/>
      <c r="N44" s="5"/>
      <c r="O44" s="5"/>
      <c r="P44" s="5"/>
      <c r="Q44" s="5"/>
      <c r="R44" s="143" t="str">
        <f t="shared" si="45"/>
        <v> </v>
      </c>
      <c r="S44" s="143" t="str">
        <f t="shared" si="46"/>
        <v> </v>
      </c>
      <c r="T44" s="143">
        <f t="shared" si="47"/>
        <v>3</v>
      </c>
      <c r="U44" s="143" t="str">
        <f t="shared" si="48"/>
        <v> </v>
      </c>
      <c r="V44" s="143" t="str">
        <f t="shared" si="49"/>
        <v> </v>
      </c>
      <c r="W44" s="5"/>
      <c r="X44" s="5"/>
      <c r="Y44" s="5"/>
      <c r="Z44" s="5"/>
      <c r="AA44" s="5"/>
    </row>
    <row r="45" ht="12.75" customHeight="1">
      <c r="A45" s="136"/>
      <c r="B45" s="144" t="s">
        <v>5</v>
      </c>
      <c r="C45" s="138">
        <v>0.75</v>
      </c>
      <c r="D45" s="139">
        <v>4.0</v>
      </c>
      <c r="E45" s="140">
        <v>4.0</v>
      </c>
      <c r="F45" s="140">
        <f>'1RM'!$C$5*C45</f>
        <v>75</v>
      </c>
      <c r="G45" s="141"/>
      <c r="H45" s="142"/>
      <c r="I45" s="141">
        <f t="shared" si="43"/>
        <v>16</v>
      </c>
      <c r="J45" s="142">
        <f t="shared" si="44"/>
        <v>1200</v>
      </c>
      <c r="K45" s="141"/>
      <c r="L45" s="142"/>
      <c r="M45" s="5"/>
      <c r="N45" s="5"/>
      <c r="O45" s="5"/>
      <c r="P45" s="5"/>
      <c r="Q45" s="5"/>
      <c r="R45" s="143" t="str">
        <f t="shared" si="45"/>
        <v> </v>
      </c>
      <c r="S45" s="143" t="str">
        <f t="shared" si="46"/>
        <v> </v>
      </c>
      <c r="T45" s="143">
        <f t="shared" si="47"/>
        <v>16</v>
      </c>
      <c r="U45" s="143" t="str">
        <f t="shared" si="48"/>
        <v> </v>
      </c>
      <c r="V45" s="143" t="str">
        <f t="shared" si="49"/>
        <v> </v>
      </c>
      <c r="W45" s="5"/>
      <c r="X45" s="5"/>
      <c r="Y45" s="5"/>
      <c r="Z45" s="5"/>
      <c r="AA45" s="5"/>
    </row>
    <row r="46" ht="12.75" customHeight="1">
      <c r="A46" s="152">
        <v>3.0</v>
      </c>
      <c r="B46" s="153" t="s">
        <v>55</v>
      </c>
      <c r="C46" s="154"/>
      <c r="D46" s="156">
        <v>6.0</v>
      </c>
      <c r="E46" s="156">
        <v>5.0</v>
      </c>
      <c r="F46" s="156"/>
      <c r="G46" s="141"/>
      <c r="H46" s="142"/>
      <c r="I46" s="141"/>
      <c r="J46" s="142"/>
      <c r="K46" s="141"/>
      <c r="L46" s="142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2.75" customHeight="1">
      <c r="A47" s="152">
        <v>4.0</v>
      </c>
      <c r="B47" s="153" t="s">
        <v>69</v>
      </c>
      <c r="C47" s="154"/>
      <c r="D47" s="156">
        <v>5.0</v>
      </c>
      <c r="E47" s="156">
        <v>5.0</v>
      </c>
      <c r="F47" s="156"/>
      <c r="G47" s="141"/>
      <c r="H47" s="142"/>
      <c r="I47" s="141"/>
      <c r="J47" s="142"/>
      <c r="K47" s="141"/>
      <c r="L47" s="142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2.75" customHeight="1">
      <c r="A48" s="164">
        <v>5.0</v>
      </c>
      <c r="B48" s="165" t="s">
        <v>61</v>
      </c>
      <c r="C48" s="166"/>
      <c r="D48" s="167">
        <v>5.0</v>
      </c>
      <c r="E48" s="168">
        <v>5.0</v>
      </c>
      <c r="F48" s="168"/>
      <c r="G48" s="141"/>
      <c r="H48" s="142"/>
      <c r="I48" s="141"/>
      <c r="J48" s="142"/>
      <c r="K48" s="141"/>
      <c r="L48" s="14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2.75" customHeight="1">
      <c r="A49" s="33"/>
      <c r="B49" s="134"/>
      <c r="C49" s="135"/>
      <c r="D49" s="45"/>
      <c r="E49" s="45"/>
      <c r="F49" s="45"/>
      <c r="G49" s="141"/>
      <c r="H49" s="142"/>
      <c r="I49" s="141"/>
      <c r="J49" s="142"/>
      <c r="K49" s="141"/>
      <c r="L49" s="142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2.75" customHeight="1">
      <c r="A50" s="33" t="s">
        <v>66</v>
      </c>
      <c r="B50" s="134"/>
      <c r="C50" s="135" t="s">
        <v>20</v>
      </c>
      <c r="D50" s="45" t="s">
        <v>51</v>
      </c>
      <c r="E50" s="45" t="s">
        <v>52</v>
      </c>
      <c r="F50" s="45" t="s">
        <v>53</v>
      </c>
      <c r="G50" s="141"/>
      <c r="H50" s="142"/>
      <c r="I50" s="141"/>
      <c r="J50" s="142"/>
      <c r="K50" s="141"/>
      <c r="L50" s="142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2.75" customHeight="1">
      <c r="A51" s="152">
        <v>1.0</v>
      </c>
      <c r="B51" s="153" t="s">
        <v>88</v>
      </c>
      <c r="C51" s="154"/>
      <c r="D51" s="155">
        <v>3.0</v>
      </c>
      <c r="E51" s="156">
        <v>5.0</v>
      </c>
      <c r="F51" s="156"/>
      <c r="G51" s="141"/>
      <c r="H51" s="142"/>
      <c r="I51" s="141"/>
      <c r="J51" s="142"/>
      <c r="K51" s="141"/>
      <c r="L51" s="14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2.75" customHeight="1">
      <c r="A52" s="157">
        <v>2.0</v>
      </c>
      <c r="B52" s="158" t="s">
        <v>98</v>
      </c>
      <c r="C52" s="159">
        <v>0.5</v>
      </c>
      <c r="D52" s="160">
        <v>3.0</v>
      </c>
      <c r="E52" s="161">
        <v>1.0</v>
      </c>
      <c r="F52" s="161">
        <f>'1RM'!$C$6*C52</f>
        <v>50</v>
      </c>
      <c r="G52" s="141"/>
      <c r="H52" s="142"/>
      <c r="I52" s="141"/>
      <c r="J52" s="142"/>
      <c r="K52" s="141">
        <f t="shared" ref="K52:K55" si="50">D52*E52</f>
        <v>3</v>
      </c>
      <c r="L52" s="142">
        <f t="shared" ref="L52:L55" si="51">F52*K52</f>
        <v>150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162">
        <f t="shared" ref="W52:W55" si="52">IF(ISNUMBER(SEARCH("Peso muerto",$B52)),IF($C52&gt;=0.5,IF($C52&lt;0.6,$D52*$E52," ")," ")," ")</f>
        <v>3</v>
      </c>
      <c r="X52" s="162" t="str">
        <f t="shared" ref="X52:X55" si="53">IF(ISNUMBER(SEARCH("Peso muerto",$B52)),IF($C52&gt;=0.6,IF($C52&lt;0.7,$D52*$E52," ")," ")," ")</f>
        <v> </v>
      </c>
      <c r="Y52" s="162" t="str">
        <f t="shared" ref="Y52:Y55" si="54">IF(ISNUMBER(SEARCH("Peso muerto",$B52)),IF($C52&gt;=0.7,IF($C52&lt;0.8,$D52*$E52," ")," ")," ")</f>
        <v> </v>
      </c>
      <c r="Z52" s="162" t="str">
        <f t="shared" ref="Z52:Z55" si="55">IF(ISNUMBER(SEARCH("Peso muerto",$B52)),IF($C52&gt;=0.8,IF($C52&lt;0.9,$D52*$E52," ")," ")," ")</f>
        <v> </v>
      </c>
      <c r="AA52" s="162" t="str">
        <f t="shared" ref="AA52:AA55" si="56">IF(ISNUMBER(SEARCH("Peso muerto",$B52)),IF($C52&gt;=0.9,$D52*$E52," ")," ")</f>
        <v> </v>
      </c>
    </row>
    <row r="53" ht="12.75" customHeight="1">
      <c r="A53" s="157"/>
      <c r="B53" s="163" t="s">
        <v>98</v>
      </c>
      <c r="C53" s="159">
        <v>0.6</v>
      </c>
      <c r="D53" s="160">
        <v>3.0</v>
      </c>
      <c r="E53" s="161">
        <v>1.0</v>
      </c>
      <c r="F53" s="161">
        <f>'1RM'!$C$6*C53</f>
        <v>60</v>
      </c>
      <c r="G53" s="141"/>
      <c r="H53" s="142"/>
      <c r="I53" s="141"/>
      <c r="J53" s="142"/>
      <c r="K53" s="141">
        <f t="shared" si="50"/>
        <v>3</v>
      </c>
      <c r="L53" s="142">
        <f t="shared" si="51"/>
        <v>180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162" t="str">
        <f t="shared" si="52"/>
        <v> </v>
      </c>
      <c r="X53" s="162">
        <f t="shared" si="53"/>
        <v>3</v>
      </c>
      <c r="Y53" s="162" t="str">
        <f t="shared" si="54"/>
        <v> </v>
      </c>
      <c r="Z53" s="162" t="str">
        <f t="shared" si="55"/>
        <v> </v>
      </c>
      <c r="AA53" s="162" t="str">
        <f t="shared" si="56"/>
        <v> </v>
      </c>
    </row>
    <row r="54" ht="12.75" customHeight="1">
      <c r="A54" s="157"/>
      <c r="B54" s="163" t="s">
        <v>98</v>
      </c>
      <c r="C54" s="159">
        <v>0.7</v>
      </c>
      <c r="D54" s="160">
        <v>3.0</v>
      </c>
      <c r="E54" s="161">
        <v>1.0</v>
      </c>
      <c r="F54" s="161">
        <f>'1RM'!$C$6*C54</f>
        <v>70</v>
      </c>
      <c r="G54" s="141"/>
      <c r="H54" s="142"/>
      <c r="I54" s="141"/>
      <c r="J54" s="142"/>
      <c r="K54" s="141">
        <f t="shared" si="50"/>
        <v>3</v>
      </c>
      <c r="L54" s="142">
        <f t="shared" si="51"/>
        <v>210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162" t="str">
        <f t="shared" si="52"/>
        <v> </v>
      </c>
      <c r="X54" s="162" t="str">
        <f t="shared" si="53"/>
        <v> </v>
      </c>
      <c r="Y54" s="162">
        <f t="shared" si="54"/>
        <v>3</v>
      </c>
      <c r="Z54" s="162" t="str">
        <f t="shared" si="55"/>
        <v> </v>
      </c>
      <c r="AA54" s="162" t="str">
        <f t="shared" si="56"/>
        <v> </v>
      </c>
    </row>
    <row r="55" ht="12.75" customHeight="1">
      <c r="A55" s="157"/>
      <c r="B55" s="163" t="s">
        <v>98</v>
      </c>
      <c r="C55" s="159">
        <v>0.75</v>
      </c>
      <c r="D55" s="160">
        <v>2.0</v>
      </c>
      <c r="E55" s="161">
        <v>4.0</v>
      </c>
      <c r="F55" s="161">
        <f>'1RM'!$C$6*C55</f>
        <v>75</v>
      </c>
      <c r="G55" s="141"/>
      <c r="H55" s="142"/>
      <c r="I55" s="141"/>
      <c r="J55" s="142"/>
      <c r="K55" s="141">
        <f t="shared" si="50"/>
        <v>8</v>
      </c>
      <c r="L55" s="142">
        <f t="shared" si="51"/>
        <v>600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162" t="str">
        <f t="shared" si="52"/>
        <v> </v>
      </c>
      <c r="X55" s="162" t="str">
        <f t="shared" si="53"/>
        <v> </v>
      </c>
      <c r="Y55" s="162">
        <f t="shared" si="54"/>
        <v>8</v>
      </c>
      <c r="Z55" s="162" t="str">
        <f t="shared" si="55"/>
        <v> </v>
      </c>
      <c r="AA55" s="162" t="str">
        <f t="shared" si="56"/>
        <v> </v>
      </c>
    </row>
    <row r="56" ht="12.75" customHeight="1">
      <c r="A56" s="152">
        <v>2.0</v>
      </c>
      <c r="B56" s="153" t="s">
        <v>60</v>
      </c>
      <c r="C56" s="154"/>
      <c r="D56" s="155">
        <v>6.0</v>
      </c>
      <c r="E56" s="156">
        <v>4.0</v>
      </c>
      <c r="F56" s="156"/>
      <c r="G56" s="141"/>
      <c r="H56" s="142"/>
      <c r="I56" s="141"/>
      <c r="J56" s="142"/>
      <c r="K56" s="141"/>
      <c r="L56" s="142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2.75" customHeight="1">
      <c r="A57" s="152">
        <v>4.0</v>
      </c>
      <c r="B57" s="153" t="s">
        <v>65</v>
      </c>
      <c r="C57" s="154"/>
      <c r="D57" s="155">
        <v>8.0</v>
      </c>
      <c r="E57" s="156">
        <v>4.0</v>
      </c>
      <c r="F57" s="156"/>
      <c r="G57" s="141"/>
      <c r="H57" s="142"/>
      <c r="I57" s="141"/>
      <c r="J57" s="142"/>
      <c r="K57" s="141"/>
      <c r="L57" s="14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2.75" customHeight="1">
      <c r="A58" s="169"/>
      <c r="B58" s="170"/>
      <c r="C58" s="171"/>
      <c r="D58" s="172"/>
      <c r="E58" s="172"/>
      <c r="F58" s="172"/>
      <c r="G58" s="173">
        <f t="shared" ref="G58:AA58" si="57">SUM(G7:G57)</f>
        <v>67</v>
      </c>
      <c r="H58" s="174">
        <f t="shared" si="57"/>
        <v>4670</v>
      </c>
      <c r="I58" s="173">
        <f t="shared" si="57"/>
        <v>74</v>
      </c>
      <c r="J58" s="174">
        <f t="shared" si="57"/>
        <v>5070</v>
      </c>
      <c r="K58" s="173">
        <f t="shared" si="57"/>
        <v>35</v>
      </c>
      <c r="L58" s="174">
        <f t="shared" si="57"/>
        <v>2610</v>
      </c>
      <c r="M58" s="175">
        <f t="shared" si="57"/>
        <v>13</v>
      </c>
      <c r="N58" s="175">
        <f t="shared" si="57"/>
        <v>11</v>
      </c>
      <c r="O58" s="175">
        <f t="shared" si="57"/>
        <v>25</v>
      </c>
      <c r="P58" s="175">
        <f t="shared" si="57"/>
        <v>18</v>
      </c>
      <c r="Q58" s="175">
        <f t="shared" si="57"/>
        <v>0</v>
      </c>
      <c r="R58" s="175">
        <f t="shared" si="57"/>
        <v>15</v>
      </c>
      <c r="S58" s="175">
        <f t="shared" si="57"/>
        <v>12</v>
      </c>
      <c r="T58" s="175">
        <f t="shared" si="57"/>
        <v>25</v>
      </c>
      <c r="U58" s="175">
        <f t="shared" si="57"/>
        <v>22</v>
      </c>
      <c r="V58" s="175">
        <f t="shared" si="57"/>
        <v>0</v>
      </c>
      <c r="W58" s="175">
        <f t="shared" si="57"/>
        <v>3</v>
      </c>
      <c r="X58" s="175">
        <f t="shared" si="57"/>
        <v>6</v>
      </c>
      <c r="Y58" s="175">
        <f t="shared" si="57"/>
        <v>14</v>
      </c>
      <c r="Z58" s="175">
        <f t="shared" si="57"/>
        <v>6</v>
      </c>
      <c r="AA58" s="175">
        <f t="shared" si="57"/>
        <v>6</v>
      </c>
    </row>
    <row r="59" ht="12.75" customHeight="1">
      <c r="A59" s="33" t="s">
        <v>22</v>
      </c>
      <c r="B59" s="33"/>
      <c r="C59" s="133"/>
      <c r="D59" s="42"/>
      <c r="E59" s="42"/>
      <c r="F59" s="42"/>
      <c r="G59" s="141"/>
      <c r="H59" s="142"/>
      <c r="I59" s="141"/>
      <c r="J59" s="142"/>
      <c r="K59" s="141"/>
      <c r="L59" s="142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2.75" customHeight="1">
      <c r="A60" s="33" t="s">
        <v>50</v>
      </c>
      <c r="B60" s="134"/>
      <c r="C60" s="135" t="s">
        <v>20</v>
      </c>
      <c r="D60" s="45" t="s">
        <v>51</v>
      </c>
      <c r="E60" s="45" t="s">
        <v>52</v>
      </c>
      <c r="F60" s="45" t="s">
        <v>53</v>
      </c>
      <c r="G60" s="141"/>
      <c r="H60" s="142"/>
      <c r="I60" s="141"/>
      <c r="J60" s="142"/>
      <c r="K60" s="141"/>
      <c r="L60" s="142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2.75" customHeight="1">
      <c r="A61" s="145">
        <v>1.0</v>
      </c>
      <c r="B61" s="146" t="s">
        <v>4</v>
      </c>
      <c r="C61" s="147">
        <v>0.5</v>
      </c>
      <c r="D61" s="148">
        <v>5.0</v>
      </c>
      <c r="E61" s="149">
        <v>1.0</v>
      </c>
      <c r="F61" s="149">
        <f>'1RM'!$C$4*C61</f>
        <v>50</v>
      </c>
      <c r="G61" s="141">
        <f t="shared" ref="G61:G66" si="58">D61*E61</f>
        <v>5</v>
      </c>
      <c r="H61" s="142">
        <f t="shared" ref="H61:H66" si="59">F61*G61</f>
        <v>250</v>
      </c>
      <c r="I61" s="141"/>
      <c r="J61" s="142"/>
      <c r="K61" s="141"/>
      <c r="L61" s="142"/>
      <c r="M61" s="150">
        <f t="shared" ref="M61:M67" si="60">IF(ISNUMBER(SEARCH("Sentadilla",$B61)),IF($C61&gt;=0.5,IF($C61&lt;0.6,$D61*$E61," ")," ")," ")</f>
        <v>5</v>
      </c>
      <c r="N61" s="150" t="str">
        <f t="shared" ref="N61:N67" si="61">IF(ISNUMBER(SEARCH("Sentadilla",$B61)),IF($C61&gt;=0.6,IF($C61&lt;0.7,$D61*$E61," ")," ")," ")</f>
        <v> </v>
      </c>
      <c r="O61" s="150" t="str">
        <f t="shared" ref="O61:O67" si="62">IF(ISNUMBER(SEARCH("Sentadilla",$B61)),IF($C61&gt;=0.7,IF($C61&lt;0.8,$D61*$E61," ")," ")," ")</f>
        <v> </v>
      </c>
      <c r="P61" s="150" t="str">
        <f t="shared" ref="P61:P67" si="63">IF(ISNUMBER(SEARCH("Sentadilla",$B61)),IF($C61&gt;=0.8,IF($C61&lt;0.9,$D61*$E61," ")," ")," ")</f>
        <v> </v>
      </c>
      <c r="Q61" s="150" t="str">
        <f t="shared" ref="Q61:Q66" si="64">IF(ISNUMBER(SEARCH("Sentadilla",$B61)),IF($C61&gt;=0.9,$D61*$E61," ")," ")</f>
        <v> </v>
      </c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2.75" customHeight="1">
      <c r="A62" s="145"/>
      <c r="B62" s="151" t="s">
        <v>4</v>
      </c>
      <c r="C62" s="147">
        <v>0.6</v>
      </c>
      <c r="D62" s="148">
        <v>4.0</v>
      </c>
      <c r="E62" s="149">
        <v>1.0</v>
      </c>
      <c r="F62" s="149">
        <f>'1RM'!$C$4*C62</f>
        <v>60</v>
      </c>
      <c r="G62" s="141">
        <f t="shared" si="58"/>
        <v>4</v>
      </c>
      <c r="H62" s="142">
        <f t="shared" si="59"/>
        <v>240</v>
      </c>
      <c r="I62" s="141"/>
      <c r="J62" s="142"/>
      <c r="K62" s="141"/>
      <c r="L62" s="142"/>
      <c r="M62" s="150" t="str">
        <f t="shared" si="60"/>
        <v> </v>
      </c>
      <c r="N62" s="150">
        <f t="shared" si="61"/>
        <v>4</v>
      </c>
      <c r="O62" s="150" t="str">
        <f t="shared" si="62"/>
        <v> </v>
      </c>
      <c r="P62" s="150" t="str">
        <f t="shared" si="63"/>
        <v> </v>
      </c>
      <c r="Q62" s="150" t="str">
        <f t="shared" si="64"/>
        <v> </v>
      </c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2.75" customHeight="1">
      <c r="A63" s="145"/>
      <c r="B63" s="151" t="s">
        <v>4</v>
      </c>
      <c r="C63" s="147">
        <v>0.7</v>
      </c>
      <c r="D63" s="148">
        <v>3.0</v>
      </c>
      <c r="E63" s="149">
        <v>1.0</v>
      </c>
      <c r="F63" s="149">
        <f>'1RM'!$C$4*C63</f>
        <v>70</v>
      </c>
      <c r="G63" s="141">
        <f t="shared" si="58"/>
        <v>3</v>
      </c>
      <c r="H63" s="142">
        <f t="shared" si="59"/>
        <v>210</v>
      </c>
      <c r="I63" s="141"/>
      <c r="J63" s="142"/>
      <c r="K63" s="141"/>
      <c r="L63" s="142"/>
      <c r="M63" s="150" t="str">
        <f t="shared" si="60"/>
        <v> </v>
      </c>
      <c r="N63" s="150" t="str">
        <f t="shared" si="61"/>
        <v> </v>
      </c>
      <c r="O63" s="150">
        <f t="shared" si="62"/>
        <v>3</v>
      </c>
      <c r="P63" s="150" t="str">
        <f t="shared" si="63"/>
        <v> </v>
      </c>
      <c r="Q63" s="150" t="str">
        <f t="shared" si="64"/>
        <v> </v>
      </c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2.75" customHeight="1">
      <c r="A64" s="145"/>
      <c r="B64" s="151" t="s">
        <v>4</v>
      </c>
      <c r="C64" s="147">
        <v>0.8</v>
      </c>
      <c r="D64" s="148">
        <v>2.0</v>
      </c>
      <c r="E64" s="149">
        <v>1.0</v>
      </c>
      <c r="F64" s="149">
        <f>'1RM'!$C$4*C64</f>
        <v>80</v>
      </c>
      <c r="G64" s="141">
        <f t="shared" si="58"/>
        <v>2</v>
      </c>
      <c r="H64" s="142">
        <f t="shared" si="59"/>
        <v>160</v>
      </c>
      <c r="I64" s="141"/>
      <c r="J64" s="142"/>
      <c r="K64" s="141"/>
      <c r="L64" s="142"/>
      <c r="M64" s="150" t="str">
        <f t="shared" si="60"/>
        <v> </v>
      </c>
      <c r="N64" s="150" t="str">
        <f t="shared" si="61"/>
        <v> </v>
      </c>
      <c r="O64" s="150" t="str">
        <f t="shared" si="62"/>
        <v> </v>
      </c>
      <c r="P64" s="150">
        <f t="shared" si="63"/>
        <v>2</v>
      </c>
      <c r="Q64" s="150" t="str">
        <f t="shared" si="64"/>
        <v> </v>
      </c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2.75" customHeight="1">
      <c r="A65" s="145"/>
      <c r="B65" s="151" t="s">
        <v>4</v>
      </c>
      <c r="C65" s="147">
        <v>0.9</v>
      </c>
      <c r="D65" s="148">
        <v>1.0</v>
      </c>
      <c r="E65" s="149">
        <v>1.0</v>
      </c>
      <c r="F65" s="149">
        <f>'1RM'!$C$4*C65</f>
        <v>90</v>
      </c>
      <c r="G65" s="141">
        <f t="shared" si="58"/>
        <v>1</v>
      </c>
      <c r="H65" s="142">
        <f t="shared" si="59"/>
        <v>90</v>
      </c>
      <c r="I65" s="141"/>
      <c r="J65" s="142"/>
      <c r="K65" s="141"/>
      <c r="L65" s="142"/>
      <c r="M65" s="150" t="str">
        <f t="shared" si="60"/>
        <v> </v>
      </c>
      <c r="N65" s="150" t="str">
        <f t="shared" si="61"/>
        <v> </v>
      </c>
      <c r="O65" s="150" t="str">
        <f t="shared" si="62"/>
        <v> </v>
      </c>
      <c r="P65" s="150" t="str">
        <f t="shared" si="63"/>
        <v> </v>
      </c>
      <c r="Q65" s="150">
        <f t="shared" si="64"/>
        <v>1</v>
      </c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2.75" customHeight="1">
      <c r="A66" s="145"/>
      <c r="B66" s="151" t="s">
        <v>4</v>
      </c>
      <c r="C66" s="147">
        <v>0.95</v>
      </c>
      <c r="D66" s="148">
        <v>1.0</v>
      </c>
      <c r="E66" s="149">
        <v>1.0</v>
      </c>
      <c r="F66" s="149">
        <f>'1RM'!$C$4*C66</f>
        <v>95</v>
      </c>
      <c r="G66" s="141">
        <f t="shared" si="58"/>
        <v>1</v>
      </c>
      <c r="H66" s="142">
        <f t="shared" si="59"/>
        <v>95</v>
      </c>
      <c r="I66" s="141"/>
      <c r="J66" s="142"/>
      <c r="K66" s="141"/>
      <c r="L66" s="142"/>
      <c r="M66" s="150" t="str">
        <f t="shared" si="60"/>
        <v> </v>
      </c>
      <c r="N66" s="150" t="str">
        <f t="shared" si="61"/>
        <v> </v>
      </c>
      <c r="O66" s="150" t="str">
        <f t="shared" si="62"/>
        <v> </v>
      </c>
      <c r="P66" s="150" t="str">
        <f t="shared" si="63"/>
        <v> </v>
      </c>
      <c r="Q66" s="150">
        <f t="shared" si="64"/>
        <v>1</v>
      </c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2.75" customHeight="1">
      <c r="A67" s="145"/>
      <c r="B67" s="151" t="s">
        <v>4</v>
      </c>
      <c r="C67" s="147" t="s">
        <v>101</v>
      </c>
      <c r="D67" s="182">
        <v>1.0</v>
      </c>
      <c r="E67" s="183" t="s">
        <v>102</v>
      </c>
      <c r="F67" s="148" t="str">
        <f>'1RM'!$C$4*MID(C67,1,4)&amp;"-"&amp;'1RM'!$C$4*MID(C67,6,8)</f>
        <v>100-105</v>
      </c>
      <c r="G67" s="141">
        <v>3.0</v>
      </c>
      <c r="H67" s="142">
        <v>300.0</v>
      </c>
      <c r="I67" s="141"/>
      <c r="J67" s="142"/>
      <c r="K67" s="141"/>
      <c r="L67" s="142"/>
      <c r="M67" s="150" t="str">
        <f t="shared" si="60"/>
        <v> </v>
      </c>
      <c r="N67" s="150" t="str">
        <f t="shared" si="61"/>
        <v> </v>
      </c>
      <c r="O67" s="150" t="str">
        <f t="shared" si="62"/>
        <v> </v>
      </c>
      <c r="P67" s="150" t="str">
        <f t="shared" si="63"/>
        <v> </v>
      </c>
      <c r="Q67" s="150">
        <v>3.0</v>
      </c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2.75" customHeight="1">
      <c r="A68" s="136">
        <v>2.0</v>
      </c>
      <c r="B68" s="137" t="s">
        <v>5</v>
      </c>
      <c r="C68" s="138">
        <v>0.5</v>
      </c>
      <c r="D68" s="139">
        <v>5.0</v>
      </c>
      <c r="E68" s="140">
        <v>1.0</v>
      </c>
      <c r="F68" s="140">
        <f>'1RM'!$C$5*C68</f>
        <v>50</v>
      </c>
      <c r="G68" s="141"/>
      <c r="H68" s="142"/>
      <c r="I68" s="141">
        <f t="shared" ref="I68:I71" si="65">D68*E68</f>
        <v>5</v>
      </c>
      <c r="J68" s="142">
        <f t="shared" ref="J68:J71" si="66">F68*I68</f>
        <v>250</v>
      </c>
      <c r="K68" s="141"/>
      <c r="L68" s="142"/>
      <c r="M68" s="5"/>
      <c r="N68" s="5"/>
      <c r="O68" s="5"/>
      <c r="P68" s="5"/>
      <c r="Q68" s="5"/>
      <c r="R68" s="143">
        <f t="shared" ref="R68:R71" si="67">IF(ISNUMBER(SEARCH("Press de banca",$B68)),IF($C68&gt;=0.5,IF($C68&lt;0.6,$D68*$E68," ")," ")," ")</f>
        <v>5</v>
      </c>
      <c r="S68" s="143" t="str">
        <f t="shared" ref="S68:S71" si="68">IF(ISNUMBER(SEARCH("Press de banca",$B68)),IF($C68&gt;=0.6,IF($C68&lt;0.7,$D68*$E68," ")," ")," ")</f>
        <v> </v>
      </c>
      <c r="T68" s="143" t="str">
        <f t="shared" ref="T68:T71" si="69">IF(ISNUMBER(SEARCH("Press de banca",$B68)),IF($C68&gt;=0.7,IF($C68&lt;0.8,$D68*$E68," ")," ")," ")</f>
        <v> </v>
      </c>
      <c r="U68" s="143" t="str">
        <f t="shared" ref="U68:U71" si="70">IF(ISNUMBER(SEARCH("Press de banca",$B68)),IF($C68&gt;=0.8,IF($C68&lt;0.9,$D68*$E68," ")," ")," ")</f>
        <v> </v>
      </c>
      <c r="V68" s="143" t="str">
        <f t="shared" ref="V68:V71" si="71">IF(ISNUMBER(SEARCH("Press de banca",$B68)),IF($C68&gt;=0.9,$D68*$E68," ")," ")</f>
        <v> </v>
      </c>
      <c r="W68" s="5"/>
      <c r="X68" s="5"/>
      <c r="Y68" s="5"/>
      <c r="Z68" s="5"/>
      <c r="AA68" s="5"/>
    </row>
    <row r="69" ht="12.75" customHeight="1">
      <c r="A69" s="136"/>
      <c r="B69" s="144" t="s">
        <v>5</v>
      </c>
      <c r="C69" s="138">
        <v>0.6</v>
      </c>
      <c r="D69" s="139">
        <v>4.0</v>
      </c>
      <c r="E69" s="140">
        <v>1.0</v>
      </c>
      <c r="F69" s="140">
        <f>'1RM'!$C$5*C69</f>
        <v>60</v>
      </c>
      <c r="G69" s="141"/>
      <c r="H69" s="142"/>
      <c r="I69" s="141">
        <f t="shared" si="65"/>
        <v>4</v>
      </c>
      <c r="J69" s="142">
        <f t="shared" si="66"/>
        <v>240</v>
      </c>
      <c r="K69" s="141"/>
      <c r="L69" s="142"/>
      <c r="M69" s="5"/>
      <c r="N69" s="5"/>
      <c r="O69" s="5"/>
      <c r="P69" s="5"/>
      <c r="Q69" s="5"/>
      <c r="R69" s="143" t="str">
        <f t="shared" si="67"/>
        <v> </v>
      </c>
      <c r="S69" s="143">
        <f t="shared" si="68"/>
        <v>4</v>
      </c>
      <c r="T69" s="143" t="str">
        <f t="shared" si="69"/>
        <v> </v>
      </c>
      <c r="U69" s="143" t="str">
        <f t="shared" si="70"/>
        <v> </v>
      </c>
      <c r="V69" s="143" t="str">
        <f t="shared" si="71"/>
        <v> </v>
      </c>
      <c r="W69" s="5"/>
      <c r="X69" s="5"/>
      <c r="Y69" s="5"/>
      <c r="Z69" s="5"/>
      <c r="AA69" s="5"/>
    </row>
    <row r="70" ht="12.75" customHeight="1">
      <c r="A70" s="136"/>
      <c r="B70" s="144" t="s">
        <v>5</v>
      </c>
      <c r="C70" s="138">
        <v>0.7</v>
      </c>
      <c r="D70" s="139">
        <v>3.0</v>
      </c>
      <c r="E70" s="140">
        <v>1.0</v>
      </c>
      <c r="F70" s="140">
        <f>'1RM'!$C$5*C70</f>
        <v>70</v>
      </c>
      <c r="G70" s="141"/>
      <c r="H70" s="142"/>
      <c r="I70" s="141">
        <f t="shared" si="65"/>
        <v>3</v>
      </c>
      <c r="J70" s="142">
        <f t="shared" si="66"/>
        <v>210</v>
      </c>
      <c r="K70" s="141"/>
      <c r="L70" s="142"/>
      <c r="M70" s="5"/>
      <c r="N70" s="5"/>
      <c r="O70" s="5"/>
      <c r="P70" s="5"/>
      <c r="Q70" s="5"/>
      <c r="R70" s="143" t="str">
        <f t="shared" si="67"/>
        <v> </v>
      </c>
      <c r="S70" s="143" t="str">
        <f t="shared" si="68"/>
        <v> </v>
      </c>
      <c r="T70" s="143">
        <f t="shared" si="69"/>
        <v>3</v>
      </c>
      <c r="U70" s="143" t="str">
        <f t="shared" si="70"/>
        <v> </v>
      </c>
      <c r="V70" s="143" t="str">
        <f t="shared" si="71"/>
        <v> </v>
      </c>
      <c r="W70" s="5"/>
      <c r="X70" s="5"/>
      <c r="Y70" s="5"/>
      <c r="Z70" s="5"/>
      <c r="AA70" s="5"/>
    </row>
    <row r="71" ht="12.75" customHeight="1">
      <c r="A71" s="136"/>
      <c r="B71" s="144" t="s">
        <v>5</v>
      </c>
      <c r="C71" s="138">
        <v>0.75</v>
      </c>
      <c r="D71" s="139">
        <v>2.0</v>
      </c>
      <c r="E71" s="140">
        <v>3.0</v>
      </c>
      <c r="F71" s="140">
        <f>'1RM'!$C$5*C71</f>
        <v>75</v>
      </c>
      <c r="G71" s="141"/>
      <c r="H71" s="142"/>
      <c r="I71" s="141">
        <f t="shared" si="65"/>
        <v>6</v>
      </c>
      <c r="J71" s="142">
        <f t="shared" si="66"/>
        <v>450</v>
      </c>
      <c r="K71" s="141"/>
      <c r="L71" s="142"/>
      <c r="M71" s="5"/>
      <c r="N71" s="5"/>
      <c r="O71" s="5"/>
      <c r="P71" s="5"/>
      <c r="Q71" s="5"/>
      <c r="R71" s="143" t="str">
        <f t="shared" si="67"/>
        <v> </v>
      </c>
      <c r="S71" s="143" t="str">
        <f t="shared" si="68"/>
        <v> </v>
      </c>
      <c r="T71" s="143">
        <f t="shared" si="69"/>
        <v>6</v>
      </c>
      <c r="U71" s="143" t="str">
        <f t="shared" si="70"/>
        <v> </v>
      </c>
      <c r="V71" s="143" t="str">
        <f t="shared" si="71"/>
        <v> </v>
      </c>
      <c r="W71" s="5"/>
      <c r="X71" s="5"/>
      <c r="Y71" s="5"/>
      <c r="Z71" s="5"/>
      <c r="AA71" s="5"/>
    </row>
    <row r="72" ht="12.75" customHeight="1">
      <c r="A72" s="152">
        <v>3.0</v>
      </c>
      <c r="B72" s="153" t="s">
        <v>55</v>
      </c>
      <c r="C72" s="154"/>
      <c r="D72" s="156">
        <v>5.0</v>
      </c>
      <c r="E72" s="156">
        <v>3.0</v>
      </c>
      <c r="F72" s="156"/>
      <c r="G72" s="141"/>
      <c r="H72" s="142"/>
      <c r="I72" s="141"/>
      <c r="J72" s="142"/>
      <c r="K72" s="141"/>
      <c r="L72" s="142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2.75" customHeight="1">
      <c r="A73" s="164">
        <v>4.0</v>
      </c>
      <c r="B73" s="165" t="s">
        <v>65</v>
      </c>
      <c r="C73" s="166"/>
      <c r="D73" s="167">
        <v>8.0</v>
      </c>
      <c r="E73" s="168">
        <v>4.0</v>
      </c>
      <c r="F73" s="168"/>
      <c r="G73" s="141"/>
      <c r="H73" s="142"/>
      <c r="I73" s="141"/>
      <c r="J73" s="142"/>
      <c r="K73" s="141"/>
      <c r="L73" s="142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2.75" customHeight="1">
      <c r="A74" s="33"/>
      <c r="B74" s="134"/>
      <c r="C74" s="133"/>
      <c r="D74" s="42"/>
      <c r="E74" s="42"/>
      <c r="F74" s="42"/>
      <c r="G74" s="141"/>
      <c r="H74" s="142"/>
      <c r="I74" s="141"/>
      <c r="J74" s="142"/>
      <c r="K74" s="141"/>
      <c r="L74" s="142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2.75" customHeight="1">
      <c r="A75" s="33" t="s">
        <v>57</v>
      </c>
      <c r="B75" s="134"/>
      <c r="C75" s="135" t="s">
        <v>20</v>
      </c>
      <c r="D75" s="45" t="s">
        <v>51</v>
      </c>
      <c r="E75" s="45" t="s">
        <v>52</v>
      </c>
      <c r="F75" s="45" t="s">
        <v>53</v>
      </c>
      <c r="G75" s="141"/>
      <c r="H75" s="142"/>
      <c r="I75" s="141"/>
      <c r="J75" s="142"/>
      <c r="K75" s="141"/>
      <c r="L75" s="142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2.75" customHeight="1">
      <c r="A76" s="136">
        <v>1.0</v>
      </c>
      <c r="B76" s="137" t="s">
        <v>5</v>
      </c>
      <c r="C76" s="138">
        <v>0.5</v>
      </c>
      <c r="D76" s="139">
        <v>5.0</v>
      </c>
      <c r="E76" s="140">
        <v>1.0</v>
      </c>
      <c r="F76" s="140">
        <f>'1RM'!$C$5*C76</f>
        <v>50</v>
      </c>
      <c r="G76" s="141"/>
      <c r="H76" s="142"/>
      <c r="I76" s="141">
        <f t="shared" ref="I76:I81" si="72">D76*E76</f>
        <v>5</v>
      </c>
      <c r="J76" s="142">
        <f t="shared" ref="J76:J81" si="73">F76*I76</f>
        <v>250</v>
      </c>
      <c r="K76" s="141"/>
      <c r="L76" s="142"/>
      <c r="M76" s="5"/>
      <c r="N76" s="5"/>
      <c r="O76" s="5"/>
      <c r="P76" s="5"/>
      <c r="Q76" s="5"/>
      <c r="R76" s="143">
        <f t="shared" ref="R76:R82" si="74">IF(ISNUMBER(SEARCH("Press de banca",$B76)),IF($C76&gt;=0.5,IF($C76&lt;0.6,$D76*$E76," ")," ")," ")</f>
        <v>5</v>
      </c>
      <c r="S76" s="143" t="str">
        <f t="shared" ref="S76:S82" si="75">IF(ISNUMBER(SEARCH("Press de banca",$B76)),IF($C76&gt;=0.6,IF($C76&lt;0.7,$D76*$E76," ")," ")," ")</f>
        <v> </v>
      </c>
      <c r="T76" s="143" t="str">
        <f t="shared" ref="T76:T82" si="76">IF(ISNUMBER(SEARCH("Press de banca",$B76)),IF($C76&gt;=0.7,IF($C76&lt;0.8,$D76*$E76," ")," ")," ")</f>
        <v> </v>
      </c>
      <c r="U76" s="143" t="str">
        <f t="shared" ref="U76:U82" si="77">IF(ISNUMBER(SEARCH("Press de banca",$B76)),IF($C76&gt;=0.8,IF($C76&lt;0.9,$D76*$E76," ")," ")," ")</f>
        <v> </v>
      </c>
      <c r="V76" s="143" t="str">
        <f t="shared" ref="V76:V81" si="78">IF(ISNUMBER(SEARCH("Press de banca",$B76)),IF($C76&gt;=0.9,$D76*$E76," ")," ")</f>
        <v> </v>
      </c>
      <c r="W76" s="5"/>
      <c r="X76" s="5"/>
      <c r="Y76" s="5"/>
      <c r="Z76" s="5"/>
      <c r="AA76" s="5"/>
    </row>
    <row r="77" ht="12.75" customHeight="1">
      <c r="A77" s="136"/>
      <c r="B77" s="144" t="s">
        <v>5</v>
      </c>
      <c r="C77" s="138">
        <v>0.6</v>
      </c>
      <c r="D77" s="139">
        <v>4.0</v>
      </c>
      <c r="E77" s="140">
        <v>1.0</v>
      </c>
      <c r="F77" s="140">
        <f>'1RM'!$C$5*C77</f>
        <v>60</v>
      </c>
      <c r="G77" s="141"/>
      <c r="H77" s="142"/>
      <c r="I77" s="141">
        <f t="shared" si="72"/>
        <v>4</v>
      </c>
      <c r="J77" s="142">
        <f t="shared" si="73"/>
        <v>240</v>
      </c>
      <c r="K77" s="141"/>
      <c r="L77" s="142"/>
      <c r="M77" s="5"/>
      <c r="N77" s="5"/>
      <c r="O77" s="5"/>
      <c r="P77" s="5"/>
      <c r="Q77" s="5"/>
      <c r="R77" s="143" t="str">
        <f t="shared" si="74"/>
        <v> </v>
      </c>
      <c r="S77" s="143">
        <f t="shared" si="75"/>
        <v>4</v>
      </c>
      <c r="T77" s="143" t="str">
        <f t="shared" si="76"/>
        <v> </v>
      </c>
      <c r="U77" s="143" t="str">
        <f t="shared" si="77"/>
        <v> </v>
      </c>
      <c r="V77" s="143" t="str">
        <f t="shared" si="78"/>
        <v> </v>
      </c>
      <c r="W77" s="5"/>
      <c r="X77" s="5"/>
      <c r="Y77" s="5"/>
      <c r="Z77" s="5"/>
      <c r="AA77" s="5"/>
    </row>
    <row r="78" ht="12.75" customHeight="1">
      <c r="A78" s="136"/>
      <c r="B78" s="144" t="s">
        <v>5</v>
      </c>
      <c r="C78" s="138">
        <v>0.7</v>
      </c>
      <c r="D78" s="139">
        <v>3.0</v>
      </c>
      <c r="E78" s="140">
        <v>1.0</v>
      </c>
      <c r="F78" s="140">
        <f>'1RM'!$C$5*C78</f>
        <v>70</v>
      </c>
      <c r="G78" s="141"/>
      <c r="H78" s="142"/>
      <c r="I78" s="141">
        <f t="shared" si="72"/>
        <v>3</v>
      </c>
      <c r="J78" s="142">
        <f t="shared" si="73"/>
        <v>210</v>
      </c>
      <c r="K78" s="141"/>
      <c r="L78" s="142"/>
      <c r="M78" s="5"/>
      <c r="N78" s="5"/>
      <c r="O78" s="5"/>
      <c r="P78" s="5"/>
      <c r="Q78" s="5"/>
      <c r="R78" s="143" t="str">
        <f t="shared" si="74"/>
        <v> </v>
      </c>
      <c r="S78" s="143" t="str">
        <f t="shared" si="75"/>
        <v> </v>
      </c>
      <c r="T78" s="143">
        <f t="shared" si="76"/>
        <v>3</v>
      </c>
      <c r="U78" s="143" t="str">
        <f t="shared" si="77"/>
        <v> </v>
      </c>
      <c r="V78" s="143" t="str">
        <f t="shared" si="78"/>
        <v> </v>
      </c>
      <c r="W78" s="5"/>
      <c r="X78" s="5"/>
      <c r="Y78" s="5"/>
      <c r="Z78" s="5"/>
      <c r="AA78" s="5"/>
    </row>
    <row r="79" ht="12.75" customHeight="1">
      <c r="A79" s="136"/>
      <c r="B79" s="144" t="s">
        <v>5</v>
      </c>
      <c r="C79" s="138">
        <v>0.8</v>
      </c>
      <c r="D79" s="139">
        <v>2.0</v>
      </c>
      <c r="E79" s="140">
        <v>1.0</v>
      </c>
      <c r="F79" s="140">
        <f>'1RM'!$C$5*C79</f>
        <v>80</v>
      </c>
      <c r="G79" s="141"/>
      <c r="H79" s="142"/>
      <c r="I79" s="141">
        <f t="shared" si="72"/>
        <v>2</v>
      </c>
      <c r="J79" s="142">
        <f t="shared" si="73"/>
        <v>160</v>
      </c>
      <c r="K79" s="141"/>
      <c r="L79" s="142"/>
      <c r="M79" s="5"/>
      <c r="N79" s="5"/>
      <c r="O79" s="5"/>
      <c r="P79" s="5"/>
      <c r="Q79" s="5"/>
      <c r="R79" s="143" t="str">
        <f t="shared" si="74"/>
        <v> </v>
      </c>
      <c r="S79" s="143" t="str">
        <f t="shared" si="75"/>
        <v> </v>
      </c>
      <c r="T79" s="143" t="str">
        <f t="shared" si="76"/>
        <v> </v>
      </c>
      <c r="U79" s="143">
        <f t="shared" si="77"/>
        <v>2</v>
      </c>
      <c r="V79" s="143" t="str">
        <f t="shared" si="78"/>
        <v> </v>
      </c>
      <c r="W79" s="5"/>
      <c r="X79" s="5"/>
      <c r="Y79" s="5"/>
      <c r="Z79" s="5"/>
      <c r="AA79" s="5"/>
    </row>
    <row r="80" ht="12.75" customHeight="1">
      <c r="A80" s="136"/>
      <c r="B80" s="144" t="s">
        <v>5</v>
      </c>
      <c r="C80" s="138">
        <v>0.9</v>
      </c>
      <c r="D80" s="139">
        <v>1.0</v>
      </c>
      <c r="E80" s="140">
        <v>1.0</v>
      </c>
      <c r="F80" s="140">
        <f>'1RM'!$C$5*C80</f>
        <v>90</v>
      </c>
      <c r="G80" s="141"/>
      <c r="H80" s="142"/>
      <c r="I80" s="141">
        <f t="shared" si="72"/>
        <v>1</v>
      </c>
      <c r="J80" s="142">
        <f t="shared" si="73"/>
        <v>90</v>
      </c>
      <c r="K80" s="141"/>
      <c r="L80" s="142"/>
      <c r="M80" s="5"/>
      <c r="N80" s="5"/>
      <c r="O80" s="5"/>
      <c r="P80" s="5"/>
      <c r="Q80" s="5"/>
      <c r="R80" s="143" t="str">
        <f t="shared" si="74"/>
        <v> </v>
      </c>
      <c r="S80" s="143" t="str">
        <f t="shared" si="75"/>
        <v> </v>
      </c>
      <c r="T80" s="143" t="str">
        <f t="shared" si="76"/>
        <v> </v>
      </c>
      <c r="U80" s="143" t="str">
        <f t="shared" si="77"/>
        <v> </v>
      </c>
      <c r="V80" s="143">
        <f t="shared" si="78"/>
        <v>1</v>
      </c>
      <c r="W80" s="5"/>
      <c r="X80" s="5"/>
      <c r="Y80" s="5"/>
      <c r="Z80" s="5"/>
      <c r="AA80" s="5"/>
    </row>
    <row r="81" ht="12.75" customHeight="1">
      <c r="A81" s="136"/>
      <c r="B81" s="144" t="s">
        <v>5</v>
      </c>
      <c r="C81" s="138">
        <v>0.95</v>
      </c>
      <c r="D81" s="139">
        <v>1.0</v>
      </c>
      <c r="E81" s="140">
        <v>1.0</v>
      </c>
      <c r="F81" s="140">
        <f>'1RM'!$C$5*C81</f>
        <v>95</v>
      </c>
      <c r="G81" s="141"/>
      <c r="H81" s="142"/>
      <c r="I81" s="141">
        <f t="shared" si="72"/>
        <v>1</v>
      </c>
      <c r="J81" s="142">
        <f t="shared" si="73"/>
        <v>95</v>
      </c>
      <c r="K81" s="141"/>
      <c r="L81" s="142"/>
      <c r="M81" s="5"/>
      <c r="N81" s="5"/>
      <c r="O81" s="5"/>
      <c r="P81" s="5"/>
      <c r="Q81" s="5"/>
      <c r="R81" s="143" t="str">
        <f t="shared" si="74"/>
        <v> </v>
      </c>
      <c r="S81" s="143" t="str">
        <f t="shared" si="75"/>
        <v> </v>
      </c>
      <c r="T81" s="143" t="str">
        <f t="shared" si="76"/>
        <v> </v>
      </c>
      <c r="U81" s="143" t="str">
        <f t="shared" si="77"/>
        <v> </v>
      </c>
      <c r="V81" s="143">
        <f t="shared" si="78"/>
        <v>1</v>
      </c>
      <c r="W81" s="5"/>
      <c r="X81" s="5"/>
      <c r="Y81" s="5"/>
      <c r="Z81" s="5"/>
      <c r="AA81" s="5"/>
    </row>
    <row r="82" ht="12.75" customHeight="1">
      <c r="A82" s="136"/>
      <c r="B82" s="144" t="s">
        <v>5</v>
      </c>
      <c r="C82" s="138" t="s">
        <v>101</v>
      </c>
      <c r="D82" s="139">
        <v>1.0</v>
      </c>
      <c r="E82" s="140" t="s">
        <v>102</v>
      </c>
      <c r="F82" s="140" t="str">
        <f>'1RM'!$C$5*MID(C82,1,4)&amp;"-"&amp;'1RM'!$C$5*MID(C82,6,8)</f>
        <v>100-105</v>
      </c>
      <c r="G82" s="141"/>
      <c r="H82" s="142"/>
      <c r="I82" s="141">
        <v>3.0</v>
      </c>
      <c r="J82" s="142">
        <v>300.0</v>
      </c>
      <c r="K82" s="141"/>
      <c r="L82" s="142"/>
      <c r="M82" s="5"/>
      <c r="N82" s="5"/>
      <c r="O82" s="5"/>
      <c r="P82" s="5"/>
      <c r="Q82" s="5"/>
      <c r="R82" s="143" t="str">
        <f t="shared" si="74"/>
        <v> </v>
      </c>
      <c r="S82" s="143" t="str">
        <f t="shared" si="75"/>
        <v> </v>
      </c>
      <c r="T82" s="143" t="str">
        <f t="shared" si="76"/>
        <v> </v>
      </c>
      <c r="U82" s="143" t="str">
        <f t="shared" si="77"/>
        <v> </v>
      </c>
      <c r="V82" s="143">
        <v>3.0</v>
      </c>
      <c r="W82" s="5"/>
      <c r="X82" s="5"/>
      <c r="Y82" s="5"/>
      <c r="Z82" s="5"/>
      <c r="AA82" s="5"/>
    </row>
    <row r="83" ht="12.75" customHeight="1">
      <c r="A83" s="157">
        <v>2.0</v>
      </c>
      <c r="B83" s="158" t="s">
        <v>6</v>
      </c>
      <c r="C83" s="159">
        <v>0.5</v>
      </c>
      <c r="D83" s="160">
        <v>5.0</v>
      </c>
      <c r="E83" s="161">
        <v>1.0</v>
      </c>
      <c r="F83" s="161">
        <f>'1RM'!$C$5*C83</f>
        <v>50</v>
      </c>
      <c r="G83" s="141"/>
      <c r="H83" s="142"/>
      <c r="I83" s="141"/>
      <c r="J83" s="142"/>
      <c r="K83" s="141">
        <f t="shared" ref="K83:K88" si="79">D83*E83</f>
        <v>5</v>
      </c>
      <c r="L83" s="142">
        <f t="shared" ref="L83:L88" si="80">F83*K83</f>
        <v>250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162">
        <f t="shared" ref="W83:W89" si="81">IF(ISNUMBER(SEARCH("Peso muerto",$B83)),IF($C83&gt;=0.5,IF($C83&lt;0.6,$D83*$E83," ")," ")," ")</f>
        <v>5</v>
      </c>
      <c r="X83" s="162" t="str">
        <f t="shared" ref="X83:X89" si="82">IF(ISNUMBER(SEARCH("Peso muerto",$B83)),IF($C83&gt;=0.6,IF($C83&lt;0.7,$D83*$E83," ")," ")," ")</f>
        <v> </v>
      </c>
      <c r="Y83" s="162" t="str">
        <f t="shared" ref="Y83:Y89" si="83">IF(ISNUMBER(SEARCH("Peso muerto",$B83)),IF($C83&gt;=0.7,IF($C83&lt;0.8,$D83*$E83," ")," ")," ")</f>
        <v> </v>
      </c>
      <c r="Z83" s="162" t="str">
        <f t="shared" ref="Z83:Z89" si="84">IF(ISNUMBER(SEARCH("Peso muerto",$B83)),IF($C83&gt;=0.8,IF($C83&lt;0.9,$D83*$E83," ")," ")," ")</f>
        <v> </v>
      </c>
      <c r="AA83" s="162" t="str">
        <f t="shared" ref="AA83:AA88" si="85">IF(ISNUMBER(SEARCH("Peso muerto",$B83)),IF($C83&gt;=0.9,$D83*$E83," ")," ")</f>
        <v> </v>
      </c>
    </row>
    <row r="84" ht="12.75" customHeight="1">
      <c r="A84" s="157"/>
      <c r="B84" s="163" t="s">
        <v>6</v>
      </c>
      <c r="C84" s="159">
        <v>0.6</v>
      </c>
      <c r="D84" s="160">
        <v>4.0</v>
      </c>
      <c r="E84" s="161">
        <v>1.0</v>
      </c>
      <c r="F84" s="161">
        <f>'1RM'!$C$5*C84</f>
        <v>60</v>
      </c>
      <c r="G84" s="141"/>
      <c r="H84" s="142"/>
      <c r="I84" s="141"/>
      <c r="J84" s="142"/>
      <c r="K84" s="141">
        <f t="shared" si="79"/>
        <v>4</v>
      </c>
      <c r="L84" s="142">
        <f t="shared" si="80"/>
        <v>240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162" t="str">
        <f t="shared" si="81"/>
        <v> </v>
      </c>
      <c r="X84" s="162">
        <f t="shared" si="82"/>
        <v>4</v>
      </c>
      <c r="Y84" s="162" t="str">
        <f t="shared" si="83"/>
        <v> </v>
      </c>
      <c r="Z84" s="162" t="str">
        <f t="shared" si="84"/>
        <v> </v>
      </c>
      <c r="AA84" s="162" t="str">
        <f t="shared" si="85"/>
        <v> </v>
      </c>
    </row>
    <row r="85" ht="12.75" customHeight="1">
      <c r="A85" s="157"/>
      <c r="B85" s="163" t="s">
        <v>6</v>
      </c>
      <c r="C85" s="159">
        <v>0.7</v>
      </c>
      <c r="D85" s="160">
        <v>3.0</v>
      </c>
      <c r="E85" s="161">
        <v>1.0</v>
      </c>
      <c r="F85" s="161">
        <f>'1RM'!$C$5*C85</f>
        <v>70</v>
      </c>
      <c r="G85" s="141"/>
      <c r="H85" s="142"/>
      <c r="I85" s="141"/>
      <c r="J85" s="142"/>
      <c r="K85" s="141">
        <f t="shared" si="79"/>
        <v>3</v>
      </c>
      <c r="L85" s="142">
        <f t="shared" si="80"/>
        <v>210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162" t="str">
        <f t="shared" si="81"/>
        <v> </v>
      </c>
      <c r="X85" s="162" t="str">
        <f t="shared" si="82"/>
        <v> </v>
      </c>
      <c r="Y85" s="162">
        <f t="shared" si="83"/>
        <v>3</v>
      </c>
      <c r="Z85" s="162" t="str">
        <f t="shared" si="84"/>
        <v> </v>
      </c>
      <c r="AA85" s="162" t="str">
        <f t="shared" si="85"/>
        <v> </v>
      </c>
    </row>
    <row r="86" ht="12.75" customHeight="1">
      <c r="A86" s="157"/>
      <c r="B86" s="163" t="s">
        <v>6</v>
      </c>
      <c r="C86" s="159">
        <v>0.8</v>
      </c>
      <c r="D86" s="160">
        <v>2.0</v>
      </c>
      <c r="E86" s="161">
        <v>1.0</v>
      </c>
      <c r="F86" s="161">
        <f>'1RM'!$C$5*C86</f>
        <v>80</v>
      </c>
      <c r="G86" s="141"/>
      <c r="H86" s="142"/>
      <c r="I86" s="141"/>
      <c r="J86" s="142"/>
      <c r="K86" s="141">
        <f t="shared" si="79"/>
        <v>2</v>
      </c>
      <c r="L86" s="142">
        <f t="shared" si="80"/>
        <v>160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162" t="str">
        <f t="shared" si="81"/>
        <v> </v>
      </c>
      <c r="X86" s="162" t="str">
        <f t="shared" si="82"/>
        <v> </v>
      </c>
      <c r="Y86" s="162" t="str">
        <f t="shared" si="83"/>
        <v> </v>
      </c>
      <c r="Z86" s="162">
        <f t="shared" si="84"/>
        <v>2</v>
      </c>
      <c r="AA86" s="162" t="str">
        <f t="shared" si="85"/>
        <v> </v>
      </c>
    </row>
    <row r="87" ht="12.75" customHeight="1">
      <c r="A87" s="157"/>
      <c r="B87" s="163" t="s">
        <v>6</v>
      </c>
      <c r="C87" s="159">
        <v>0.9</v>
      </c>
      <c r="D87" s="160">
        <v>1.0</v>
      </c>
      <c r="E87" s="161">
        <v>1.0</v>
      </c>
      <c r="F87" s="161">
        <f>'1RM'!$C$5*C87</f>
        <v>90</v>
      </c>
      <c r="G87" s="141"/>
      <c r="H87" s="142"/>
      <c r="I87" s="141"/>
      <c r="J87" s="142"/>
      <c r="K87" s="141">
        <f t="shared" si="79"/>
        <v>1</v>
      </c>
      <c r="L87" s="142">
        <f t="shared" si="80"/>
        <v>90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162" t="str">
        <f t="shared" si="81"/>
        <v> </v>
      </c>
      <c r="X87" s="162" t="str">
        <f t="shared" si="82"/>
        <v> </v>
      </c>
      <c r="Y87" s="162" t="str">
        <f t="shared" si="83"/>
        <v> </v>
      </c>
      <c r="Z87" s="162" t="str">
        <f t="shared" si="84"/>
        <v> </v>
      </c>
      <c r="AA87" s="162">
        <f t="shared" si="85"/>
        <v>1</v>
      </c>
    </row>
    <row r="88" ht="12.75" customHeight="1">
      <c r="A88" s="157"/>
      <c r="B88" s="163" t="s">
        <v>6</v>
      </c>
      <c r="C88" s="159">
        <v>0.95</v>
      </c>
      <c r="D88" s="160">
        <v>1.0</v>
      </c>
      <c r="E88" s="161">
        <v>1.0</v>
      </c>
      <c r="F88" s="161">
        <f>'1RM'!$C$5*C88</f>
        <v>95</v>
      </c>
      <c r="G88" s="141"/>
      <c r="H88" s="142"/>
      <c r="I88" s="141"/>
      <c r="J88" s="142"/>
      <c r="K88" s="141">
        <f t="shared" si="79"/>
        <v>1</v>
      </c>
      <c r="L88" s="142">
        <f t="shared" si="80"/>
        <v>95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162" t="str">
        <f t="shared" si="81"/>
        <v> </v>
      </c>
      <c r="X88" s="162" t="str">
        <f t="shared" si="82"/>
        <v> </v>
      </c>
      <c r="Y88" s="162" t="str">
        <f t="shared" si="83"/>
        <v> </v>
      </c>
      <c r="Z88" s="162" t="str">
        <f t="shared" si="84"/>
        <v> </v>
      </c>
      <c r="AA88" s="162">
        <f t="shared" si="85"/>
        <v>1</v>
      </c>
    </row>
    <row r="89" ht="12.75" customHeight="1">
      <c r="A89" s="157"/>
      <c r="B89" s="163" t="s">
        <v>6</v>
      </c>
      <c r="C89" s="159" t="s">
        <v>101</v>
      </c>
      <c r="D89" s="160">
        <v>1.0</v>
      </c>
      <c r="E89" s="161" t="s">
        <v>102</v>
      </c>
      <c r="F89" s="161" t="str">
        <f>'1RM'!$C$6*MID(C89,1,4)&amp;"-"&amp;'1RM'!$C$6*MID(C89,6,8)</f>
        <v>100-105</v>
      </c>
      <c r="G89" s="141"/>
      <c r="H89" s="142"/>
      <c r="I89" s="141"/>
      <c r="J89" s="142"/>
      <c r="K89" s="141">
        <v>3.0</v>
      </c>
      <c r="L89" s="142">
        <v>300.0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162" t="str">
        <f t="shared" si="81"/>
        <v> </v>
      </c>
      <c r="X89" s="162" t="str">
        <f t="shared" si="82"/>
        <v> </v>
      </c>
      <c r="Y89" s="162" t="str">
        <f t="shared" si="83"/>
        <v> </v>
      </c>
      <c r="Z89" s="162" t="str">
        <f t="shared" si="84"/>
        <v> </v>
      </c>
      <c r="AA89" s="162">
        <v>3.0</v>
      </c>
    </row>
    <row r="90" ht="12.75" customHeight="1">
      <c r="A90" s="152">
        <v>3.0</v>
      </c>
      <c r="B90" s="153" t="s">
        <v>74</v>
      </c>
      <c r="C90" s="154"/>
      <c r="D90" s="156">
        <v>6.0</v>
      </c>
      <c r="E90" s="156">
        <v>4.0</v>
      </c>
      <c r="F90" s="156"/>
      <c r="G90" s="141"/>
      <c r="H90" s="142"/>
      <c r="I90" s="141"/>
      <c r="J90" s="142"/>
      <c r="K90" s="141"/>
      <c r="L90" s="142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2.75" customHeight="1">
      <c r="A91" s="152">
        <v>4.0</v>
      </c>
      <c r="B91" s="153" t="s">
        <v>60</v>
      </c>
      <c r="C91" s="154"/>
      <c r="D91" s="155">
        <v>6.0</v>
      </c>
      <c r="E91" s="156">
        <v>4.0</v>
      </c>
      <c r="F91" s="156"/>
      <c r="G91" s="141"/>
      <c r="H91" s="142"/>
      <c r="I91" s="141"/>
      <c r="J91" s="142"/>
      <c r="K91" s="141"/>
      <c r="L91" s="142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2.75" customHeight="1">
      <c r="A92" s="33"/>
      <c r="B92" s="134"/>
      <c r="C92" s="133"/>
      <c r="D92" s="42"/>
      <c r="E92" s="42"/>
      <c r="F92" s="42"/>
      <c r="G92" s="141"/>
      <c r="H92" s="142"/>
      <c r="I92" s="141"/>
      <c r="J92" s="142"/>
      <c r="K92" s="141"/>
      <c r="L92" s="142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2.75" customHeight="1">
      <c r="A93" s="33" t="s">
        <v>62</v>
      </c>
      <c r="B93" s="134"/>
      <c r="C93" s="135" t="s">
        <v>20</v>
      </c>
      <c r="D93" s="45" t="s">
        <v>51</v>
      </c>
      <c r="E93" s="45" t="s">
        <v>52</v>
      </c>
      <c r="F93" s="45" t="s">
        <v>53</v>
      </c>
      <c r="G93" s="141"/>
      <c r="H93" s="142"/>
      <c r="I93" s="141"/>
      <c r="J93" s="142"/>
      <c r="K93" s="141"/>
      <c r="L93" s="142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2.75" customHeight="1">
      <c r="A94" s="145">
        <v>1.0</v>
      </c>
      <c r="B94" s="146" t="s">
        <v>4</v>
      </c>
      <c r="C94" s="147">
        <v>0.5</v>
      </c>
      <c r="D94" s="148">
        <v>5.0</v>
      </c>
      <c r="E94" s="149">
        <v>1.0</v>
      </c>
      <c r="F94" s="149">
        <f>'1RM'!$C$4*C94</f>
        <v>50</v>
      </c>
      <c r="G94" s="141">
        <f t="shared" ref="G94:G97" si="86">D94*E94</f>
        <v>5</v>
      </c>
      <c r="H94" s="142">
        <f t="shared" ref="H94:H97" si="87">F94*G94</f>
        <v>250</v>
      </c>
      <c r="I94" s="141"/>
      <c r="J94" s="142"/>
      <c r="K94" s="141"/>
      <c r="L94" s="142"/>
      <c r="M94" s="150">
        <f t="shared" ref="M94:M97" si="88">IF(ISNUMBER(SEARCH("Sentadilla",$B94)),IF($C94&gt;=0.5,IF($C94&lt;0.6,$D94*$E94," ")," ")," ")</f>
        <v>5</v>
      </c>
      <c r="N94" s="150" t="str">
        <f t="shared" ref="N94:N97" si="89">IF(ISNUMBER(SEARCH("Sentadilla",$B94)),IF($C94&gt;=0.6,IF($C94&lt;0.7,$D94*$E94," ")," ")," ")</f>
        <v> </v>
      </c>
      <c r="O94" s="150" t="str">
        <f t="shared" ref="O94:O97" si="90">IF(ISNUMBER(SEARCH("Sentadilla",$B94)),IF($C94&gt;=0.7,IF($C94&lt;0.8,$D94*$E94," ")," ")," ")</f>
        <v> </v>
      </c>
      <c r="P94" s="150" t="str">
        <f t="shared" ref="P94:P97" si="91">IF(ISNUMBER(SEARCH("Sentadilla",$B94)),IF($C94&gt;=0.8,IF($C94&lt;0.9,$D94*$E94," ")," ")," ")</f>
        <v> </v>
      </c>
      <c r="Q94" s="150" t="str">
        <f t="shared" ref="Q94:Q97" si="92">IF(ISNUMBER(SEARCH("Sentadilla",$B94)),IF($C94&gt;=0.9,$D94*$E94," ")," ")</f>
        <v> </v>
      </c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2.75" customHeight="1">
      <c r="A95" s="145"/>
      <c r="B95" s="151" t="s">
        <v>4</v>
      </c>
      <c r="C95" s="147">
        <v>0.6</v>
      </c>
      <c r="D95" s="148">
        <v>4.0</v>
      </c>
      <c r="E95" s="149">
        <v>1.0</v>
      </c>
      <c r="F95" s="149">
        <f>'1RM'!$C$4*C95</f>
        <v>60</v>
      </c>
      <c r="G95" s="141">
        <f t="shared" si="86"/>
        <v>4</v>
      </c>
      <c r="H95" s="142">
        <f t="shared" si="87"/>
        <v>240</v>
      </c>
      <c r="I95" s="141"/>
      <c r="J95" s="142"/>
      <c r="K95" s="141"/>
      <c r="L95" s="142"/>
      <c r="M95" s="150" t="str">
        <f t="shared" si="88"/>
        <v> </v>
      </c>
      <c r="N95" s="150">
        <f t="shared" si="89"/>
        <v>4</v>
      </c>
      <c r="O95" s="150" t="str">
        <f t="shared" si="90"/>
        <v> </v>
      </c>
      <c r="P95" s="150" t="str">
        <f t="shared" si="91"/>
        <v> </v>
      </c>
      <c r="Q95" s="150" t="str">
        <f t="shared" si="92"/>
        <v> </v>
      </c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2.75" customHeight="1">
      <c r="A96" s="145"/>
      <c r="B96" s="151" t="s">
        <v>4</v>
      </c>
      <c r="C96" s="147">
        <v>0.7</v>
      </c>
      <c r="D96" s="148">
        <v>3.0</v>
      </c>
      <c r="E96" s="149">
        <v>1.0</v>
      </c>
      <c r="F96" s="149">
        <f>'1RM'!$C$4*C96</f>
        <v>70</v>
      </c>
      <c r="G96" s="141">
        <f t="shared" si="86"/>
        <v>3</v>
      </c>
      <c r="H96" s="142">
        <f t="shared" si="87"/>
        <v>210</v>
      </c>
      <c r="I96" s="141"/>
      <c r="J96" s="142"/>
      <c r="K96" s="141"/>
      <c r="L96" s="142"/>
      <c r="M96" s="150" t="str">
        <f t="shared" si="88"/>
        <v> </v>
      </c>
      <c r="N96" s="150" t="str">
        <f t="shared" si="89"/>
        <v> </v>
      </c>
      <c r="O96" s="150">
        <f t="shared" si="90"/>
        <v>3</v>
      </c>
      <c r="P96" s="150" t="str">
        <f t="shared" si="91"/>
        <v> </v>
      </c>
      <c r="Q96" s="150" t="str">
        <f t="shared" si="92"/>
        <v> </v>
      </c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145"/>
      <c r="B97" s="151" t="s">
        <v>4</v>
      </c>
      <c r="C97" s="147">
        <v>0.8</v>
      </c>
      <c r="D97" s="148">
        <v>5.0</v>
      </c>
      <c r="E97" s="149">
        <v>3.0</v>
      </c>
      <c r="F97" s="149">
        <f>'1RM'!$C$4*C97</f>
        <v>80</v>
      </c>
      <c r="G97" s="141">
        <f t="shared" si="86"/>
        <v>15</v>
      </c>
      <c r="H97" s="142">
        <f t="shared" si="87"/>
        <v>1200</v>
      </c>
      <c r="I97" s="141"/>
      <c r="J97" s="142"/>
      <c r="K97" s="141"/>
      <c r="L97" s="142"/>
      <c r="M97" s="150" t="str">
        <f t="shared" si="88"/>
        <v> </v>
      </c>
      <c r="N97" s="150" t="str">
        <f t="shared" si="89"/>
        <v> </v>
      </c>
      <c r="O97" s="150" t="str">
        <f t="shared" si="90"/>
        <v> </v>
      </c>
      <c r="P97" s="150">
        <f t="shared" si="91"/>
        <v>15</v>
      </c>
      <c r="Q97" s="150" t="str">
        <f t="shared" si="92"/>
        <v> </v>
      </c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136">
        <v>2.0</v>
      </c>
      <c r="B98" s="137" t="s">
        <v>5</v>
      </c>
      <c r="C98" s="138">
        <v>0.5</v>
      </c>
      <c r="D98" s="139">
        <v>5.0</v>
      </c>
      <c r="E98" s="140">
        <v>1.0</v>
      </c>
      <c r="F98" s="140">
        <f>'1RM'!$C$5*C98</f>
        <v>50</v>
      </c>
      <c r="G98" s="141"/>
      <c r="H98" s="142"/>
      <c r="I98" s="141">
        <f t="shared" ref="I98:I101" si="93">D98*E98</f>
        <v>5</v>
      </c>
      <c r="J98" s="142">
        <f t="shared" ref="J98:J101" si="94">F98*I98</f>
        <v>250</v>
      </c>
      <c r="K98" s="141"/>
      <c r="L98" s="142"/>
      <c r="M98" s="5"/>
      <c r="N98" s="5"/>
      <c r="O98" s="5"/>
      <c r="P98" s="5"/>
      <c r="Q98" s="5"/>
      <c r="R98" s="143">
        <f t="shared" ref="R98:R101" si="95">IF(ISNUMBER(SEARCH("Press de banca",$B98)),IF($C98&gt;=0.5,IF($C98&lt;0.6,$D98*$E98," ")," ")," ")</f>
        <v>5</v>
      </c>
      <c r="S98" s="143" t="str">
        <f t="shared" ref="S98:S101" si="96">IF(ISNUMBER(SEARCH("Press de banca",$B98)),IF($C98&gt;=0.6,IF($C98&lt;0.7,$D98*$E98," ")," ")," ")</f>
        <v> </v>
      </c>
      <c r="T98" s="143" t="str">
        <f t="shared" ref="T98:T101" si="97">IF(ISNUMBER(SEARCH("Press de banca",$B98)),IF($C98&gt;=0.7,IF($C98&lt;0.8,$D98*$E98," ")," ")," ")</f>
        <v> </v>
      </c>
      <c r="U98" s="143" t="str">
        <f t="shared" ref="U98:U101" si="98">IF(ISNUMBER(SEARCH("Press de banca",$B98)),IF($C98&gt;=0.8,IF($C98&lt;0.9,$D98*$E98," ")," ")," ")</f>
        <v> </v>
      </c>
      <c r="V98" s="143" t="str">
        <f t="shared" ref="V98:V101" si="99">IF(ISNUMBER(SEARCH("Press de banca",$B98)),IF($C98&gt;=0.9,$D98*$E98," ")," ")</f>
        <v> </v>
      </c>
      <c r="W98" s="5"/>
      <c r="X98" s="5"/>
      <c r="Y98" s="5"/>
      <c r="Z98" s="5"/>
      <c r="AA98" s="5"/>
    </row>
    <row r="99" ht="12.75" customHeight="1">
      <c r="A99" s="136"/>
      <c r="B99" s="144" t="s">
        <v>5</v>
      </c>
      <c r="C99" s="138">
        <v>0.6</v>
      </c>
      <c r="D99" s="139">
        <v>4.0</v>
      </c>
      <c r="E99" s="140">
        <v>1.0</v>
      </c>
      <c r="F99" s="140">
        <f>'1RM'!$C$5*C99</f>
        <v>60</v>
      </c>
      <c r="G99" s="141"/>
      <c r="H99" s="142"/>
      <c r="I99" s="141">
        <f t="shared" si="93"/>
        <v>4</v>
      </c>
      <c r="J99" s="142">
        <f t="shared" si="94"/>
        <v>240</v>
      </c>
      <c r="K99" s="141"/>
      <c r="L99" s="142"/>
      <c r="M99" s="5"/>
      <c r="N99" s="5"/>
      <c r="O99" s="5"/>
      <c r="P99" s="5"/>
      <c r="Q99" s="5"/>
      <c r="R99" s="143" t="str">
        <f t="shared" si="95"/>
        <v> </v>
      </c>
      <c r="S99" s="143">
        <f t="shared" si="96"/>
        <v>4</v>
      </c>
      <c r="T99" s="143" t="str">
        <f t="shared" si="97"/>
        <v> </v>
      </c>
      <c r="U99" s="143" t="str">
        <f t="shared" si="98"/>
        <v> </v>
      </c>
      <c r="V99" s="143" t="str">
        <f t="shared" si="99"/>
        <v> </v>
      </c>
      <c r="W99" s="5"/>
      <c r="X99" s="5"/>
      <c r="Y99" s="5"/>
      <c r="Z99" s="5"/>
      <c r="AA99" s="5"/>
    </row>
    <row r="100" ht="12.75" customHeight="1">
      <c r="A100" s="136"/>
      <c r="B100" s="144" t="s">
        <v>5</v>
      </c>
      <c r="C100" s="138">
        <v>0.7</v>
      </c>
      <c r="D100" s="139">
        <v>3.0</v>
      </c>
      <c r="E100" s="140">
        <v>1.0</v>
      </c>
      <c r="F100" s="140">
        <f>'1RM'!$C$5*C100</f>
        <v>70</v>
      </c>
      <c r="G100" s="141"/>
      <c r="H100" s="142"/>
      <c r="I100" s="141">
        <f t="shared" si="93"/>
        <v>3</v>
      </c>
      <c r="J100" s="142">
        <f t="shared" si="94"/>
        <v>210</v>
      </c>
      <c r="K100" s="141"/>
      <c r="L100" s="142"/>
      <c r="M100" s="5"/>
      <c r="N100" s="5"/>
      <c r="O100" s="5"/>
      <c r="P100" s="5"/>
      <c r="Q100" s="5"/>
      <c r="R100" s="143" t="str">
        <f t="shared" si="95"/>
        <v> </v>
      </c>
      <c r="S100" s="143" t="str">
        <f t="shared" si="96"/>
        <v> </v>
      </c>
      <c r="T100" s="143">
        <f t="shared" si="97"/>
        <v>3</v>
      </c>
      <c r="U100" s="143" t="str">
        <f t="shared" si="98"/>
        <v> </v>
      </c>
      <c r="V100" s="143" t="str">
        <f t="shared" si="99"/>
        <v> </v>
      </c>
      <c r="W100" s="5"/>
      <c r="X100" s="5"/>
      <c r="Y100" s="5"/>
      <c r="Z100" s="5"/>
      <c r="AA100" s="5"/>
    </row>
    <row r="101" ht="12.75" customHeight="1">
      <c r="A101" s="136"/>
      <c r="B101" s="144" t="s">
        <v>5</v>
      </c>
      <c r="C101" s="138">
        <v>0.75</v>
      </c>
      <c r="D101" s="139">
        <v>6.0</v>
      </c>
      <c r="E101" s="140">
        <v>5.0</v>
      </c>
      <c r="F101" s="140">
        <f>'1RM'!$C$5*C101</f>
        <v>75</v>
      </c>
      <c r="G101" s="141"/>
      <c r="H101" s="142"/>
      <c r="I101" s="141">
        <f t="shared" si="93"/>
        <v>30</v>
      </c>
      <c r="J101" s="142">
        <f t="shared" si="94"/>
        <v>2250</v>
      </c>
      <c r="K101" s="141"/>
      <c r="L101" s="142"/>
      <c r="M101" s="5"/>
      <c r="N101" s="5"/>
      <c r="O101" s="5"/>
      <c r="P101" s="5"/>
      <c r="Q101" s="5"/>
      <c r="R101" s="143" t="str">
        <f t="shared" si="95"/>
        <v> </v>
      </c>
      <c r="S101" s="143" t="str">
        <f t="shared" si="96"/>
        <v> </v>
      </c>
      <c r="T101" s="143">
        <f t="shared" si="97"/>
        <v>30</v>
      </c>
      <c r="U101" s="143" t="str">
        <f t="shared" si="98"/>
        <v> </v>
      </c>
      <c r="V101" s="143" t="str">
        <f t="shared" si="99"/>
        <v> </v>
      </c>
      <c r="W101" s="5"/>
      <c r="X101" s="5"/>
      <c r="Y101" s="5"/>
      <c r="Z101" s="5"/>
      <c r="AA101" s="5"/>
    </row>
    <row r="102" ht="12.75" customHeight="1">
      <c r="A102" s="145">
        <v>4.0</v>
      </c>
      <c r="B102" s="146" t="s">
        <v>4</v>
      </c>
      <c r="C102" s="147">
        <v>0.5</v>
      </c>
      <c r="D102" s="148">
        <v>5.0</v>
      </c>
      <c r="E102" s="149">
        <v>1.0</v>
      </c>
      <c r="F102" s="149">
        <f>'1RM'!$C$4*C102</f>
        <v>50</v>
      </c>
      <c r="G102" s="141">
        <f t="shared" ref="G102:G104" si="100">D102*E102</f>
        <v>5</v>
      </c>
      <c r="H102" s="142">
        <f t="shared" ref="H102:H104" si="101">F102*G102</f>
        <v>250</v>
      </c>
      <c r="I102" s="141"/>
      <c r="J102" s="142"/>
      <c r="K102" s="141"/>
      <c r="L102" s="142"/>
      <c r="M102" s="150">
        <f t="shared" ref="M102:M104" si="102">IF(ISNUMBER(SEARCH("Sentadilla",$B102)),IF($C102&gt;=0.5,IF($C102&lt;0.6,$D102*$E102," ")," ")," ")</f>
        <v>5</v>
      </c>
      <c r="N102" s="150" t="str">
        <f t="shared" ref="N102:N104" si="103">IF(ISNUMBER(SEARCH("Sentadilla",$B102)),IF($C102&gt;=0.6,IF($C102&lt;0.7,$D102*$E102," ")," ")," ")</f>
        <v> </v>
      </c>
      <c r="O102" s="150" t="str">
        <f t="shared" ref="O102:O104" si="104">IF(ISNUMBER(SEARCH("Sentadilla",$B102)),IF($C102&gt;=0.7,IF($C102&lt;0.8,$D102*$E102," ")," ")," ")</f>
        <v> </v>
      </c>
      <c r="P102" s="150" t="str">
        <f t="shared" ref="P102:P104" si="105">IF(ISNUMBER(SEARCH("Sentadilla",$B102)),IF($C102&gt;=0.8,IF($C102&lt;0.9,$D102*$E102," ")," ")," ")</f>
        <v> </v>
      </c>
      <c r="Q102" s="150" t="str">
        <f t="shared" ref="Q102:Q104" si="106">IF(ISNUMBER(SEARCH("Sentadilla",$B102)),IF($C102&gt;=0.9,$D102*$E102," ")," ")</f>
        <v> </v>
      </c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145"/>
      <c r="B103" s="151" t="s">
        <v>4</v>
      </c>
      <c r="C103" s="147">
        <v>0.6</v>
      </c>
      <c r="D103" s="148">
        <v>5.0</v>
      </c>
      <c r="E103" s="149">
        <v>1.0</v>
      </c>
      <c r="F103" s="149">
        <f>'1RM'!$C$4*C103</f>
        <v>60</v>
      </c>
      <c r="G103" s="141">
        <f t="shared" si="100"/>
        <v>5</v>
      </c>
      <c r="H103" s="142">
        <f t="shared" si="101"/>
        <v>300</v>
      </c>
      <c r="I103" s="141"/>
      <c r="J103" s="142"/>
      <c r="K103" s="141"/>
      <c r="L103" s="142"/>
      <c r="M103" s="150" t="str">
        <f t="shared" si="102"/>
        <v> </v>
      </c>
      <c r="N103" s="150">
        <f t="shared" si="103"/>
        <v>5</v>
      </c>
      <c r="O103" s="150" t="str">
        <f t="shared" si="104"/>
        <v> </v>
      </c>
      <c r="P103" s="150" t="str">
        <f t="shared" si="105"/>
        <v> </v>
      </c>
      <c r="Q103" s="150" t="str">
        <f t="shared" si="106"/>
        <v> </v>
      </c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145"/>
      <c r="B104" s="151" t="s">
        <v>4</v>
      </c>
      <c r="C104" s="147">
        <v>0.7</v>
      </c>
      <c r="D104" s="148">
        <v>7.0</v>
      </c>
      <c r="E104" s="149">
        <v>4.0</v>
      </c>
      <c r="F104" s="149">
        <f>'1RM'!$C$4*C104</f>
        <v>70</v>
      </c>
      <c r="G104" s="141">
        <f t="shared" si="100"/>
        <v>28</v>
      </c>
      <c r="H104" s="142">
        <f t="shared" si="101"/>
        <v>1960</v>
      </c>
      <c r="I104" s="141"/>
      <c r="J104" s="142"/>
      <c r="K104" s="141"/>
      <c r="L104" s="142"/>
      <c r="M104" s="150" t="str">
        <f t="shared" si="102"/>
        <v> </v>
      </c>
      <c r="N104" s="150" t="str">
        <f t="shared" si="103"/>
        <v> </v>
      </c>
      <c r="O104" s="150">
        <f t="shared" si="104"/>
        <v>28</v>
      </c>
      <c r="P104" s="150" t="str">
        <f t="shared" si="105"/>
        <v> </v>
      </c>
      <c r="Q104" s="150" t="str">
        <f t="shared" si="106"/>
        <v> </v>
      </c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152">
        <v>3.0</v>
      </c>
      <c r="B105" s="153" t="s">
        <v>55</v>
      </c>
      <c r="C105" s="154"/>
      <c r="D105" s="155">
        <v>8.0</v>
      </c>
      <c r="E105" s="156">
        <v>5.0</v>
      </c>
      <c r="F105" s="156"/>
      <c r="G105" s="141"/>
      <c r="H105" s="142"/>
      <c r="I105" s="141"/>
      <c r="J105" s="142"/>
      <c r="K105" s="141"/>
      <c r="L105" s="142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2.75" customHeight="1">
      <c r="A106" s="164">
        <v>5.0</v>
      </c>
      <c r="B106" s="165" t="s">
        <v>56</v>
      </c>
      <c r="C106" s="166"/>
      <c r="D106" s="167">
        <v>8.0</v>
      </c>
      <c r="E106" s="168">
        <v>4.0</v>
      </c>
      <c r="F106" s="168"/>
      <c r="G106" s="141"/>
      <c r="H106" s="142"/>
      <c r="I106" s="141"/>
      <c r="J106" s="142"/>
      <c r="K106" s="141"/>
      <c r="L106" s="142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33"/>
      <c r="B107" s="134"/>
      <c r="C107" s="135"/>
      <c r="D107" s="45"/>
      <c r="E107" s="45"/>
      <c r="F107" s="45"/>
      <c r="G107" s="141"/>
      <c r="H107" s="142"/>
      <c r="I107" s="141"/>
      <c r="J107" s="142"/>
      <c r="K107" s="141"/>
      <c r="L107" s="142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33" t="s">
        <v>66</v>
      </c>
      <c r="B108" s="134"/>
      <c r="C108" s="135" t="s">
        <v>20</v>
      </c>
      <c r="D108" s="45" t="s">
        <v>51</v>
      </c>
      <c r="E108" s="45" t="s">
        <v>52</v>
      </c>
      <c r="F108" s="45" t="s">
        <v>53</v>
      </c>
      <c r="G108" s="141"/>
      <c r="H108" s="142"/>
      <c r="I108" s="141"/>
      <c r="J108" s="142"/>
      <c r="K108" s="141"/>
      <c r="L108" s="142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157">
        <v>1.0</v>
      </c>
      <c r="B109" s="158" t="s">
        <v>96</v>
      </c>
      <c r="C109" s="159">
        <v>0.5</v>
      </c>
      <c r="D109" s="160">
        <v>3.0</v>
      </c>
      <c r="E109" s="161">
        <v>1.0</v>
      </c>
      <c r="F109" s="161">
        <f>'1RM'!$C$6*C109</f>
        <v>50</v>
      </c>
      <c r="G109" s="141"/>
      <c r="H109" s="142"/>
      <c r="I109" s="141"/>
      <c r="J109" s="142"/>
      <c r="K109" s="141">
        <f t="shared" ref="K109:K112" si="107">D109*E109</f>
        <v>3</v>
      </c>
      <c r="L109" s="142">
        <f t="shared" ref="L109:L112" si="108">F109*K109</f>
        <v>150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162">
        <f t="shared" ref="W109:W112" si="109">IF(ISNUMBER(SEARCH("Peso muerto",$B109)),IF($C109&gt;=0.5,IF($C109&lt;0.6,$D109*$E109," ")," ")," ")</f>
        <v>3</v>
      </c>
      <c r="X109" s="162" t="str">
        <f t="shared" ref="X109:X112" si="110">IF(ISNUMBER(SEARCH("Peso muerto",$B109)),IF($C109&gt;=0.6,IF($C109&lt;0.7,$D109*$E109," ")," ")," ")</f>
        <v> </v>
      </c>
      <c r="Y109" s="162" t="str">
        <f t="shared" ref="Y109:Y112" si="111">IF(ISNUMBER(SEARCH("Peso muerto",$B109)),IF($C109&gt;=0.7,IF($C109&lt;0.8,$D109*$E109," ")," ")," ")</f>
        <v> </v>
      </c>
      <c r="Z109" s="162" t="str">
        <f t="shared" ref="Z109:Z112" si="112">IF(ISNUMBER(SEARCH("Peso muerto",$B109)),IF($C109&gt;=0.8,IF($C109&lt;0.9,$D109*$E109," ")," ")," ")</f>
        <v> </v>
      </c>
      <c r="AA109" s="162" t="str">
        <f t="shared" ref="AA109:AA112" si="113">IF(ISNUMBER(SEARCH("Peso muerto",$B109)),IF($C109&gt;=0.9,$D109*$E109," ")," ")</f>
        <v> </v>
      </c>
    </row>
    <row r="110" ht="12.75" customHeight="1">
      <c r="A110" s="157"/>
      <c r="B110" s="163" t="s">
        <v>96</v>
      </c>
      <c r="C110" s="159">
        <v>0.6</v>
      </c>
      <c r="D110" s="160">
        <v>3.0</v>
      </c>
      <c r="E110" s="161">
        <v>1.0</v>
      </c>
      <c r="F110" s="161">
        <f>'1RM'!$C$6*C110</f>
        <v>60</v>
      </c>
      <c r="G110" s="141"/>
      <c r="H110" s="142"/>
      <c r="I110" s="141"/>
      <c r="J110" s="142"/>
      <c r="K110" s="141">
        <f t="shared" si="107"/>
        <v>3</v>
      </c>
      <c r="L110" s="142">
        <f t="shared" si="108"/>
        <v>180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162" t="str">
        <f t="shared" si="109"/>
        <v> </v>
      </c>
      <c r="X110" s="162">
        <f t="shared" si="110"/>
        <v>3</v>
      </c>
      <c r="Y110" s="162" t="str">
        <f t="shared" si="111"/>
        <v> </v>
      </c>
      <c r="Z110" s="162" t="str">
        <f t="shared" si="112"/>
        <v> </v>
      </c>
      <c r="AA110" s="162" t="str">
        <f t="shared" si="113"/>
        <v> </v>
      </c>
    </row>
    <row r="111" ht="12.75" customHeight="1">
      <c r="A111" s="157"/>
      <c r="B111" s="163" t="s">
        <v>96</v>
      </c>
      <c r="C111" s="159">
        <v>0.7</v>
      </c>
      <c r="D111" s="160">
        <v>3.0</v>
      </c>
      <c r="E111" s="161">
        <v>1.0</v>
      </c>
      <c r="F111" s="161">
        <f>'1RM'!$C$6*C111</f>
        <v>70</v>
      </c>
      <c r="G111" s="141"/>
      <c r="H111" s="142"/>
      <c r="I111" s="141"/>
      <c r="J111" s="142"/>
      <c r="K111" s="141">
        <f t="shared" si="107"/>
        <v>3</v>
      </c>
      <c r="L111" s="142">
        <f t="shared" si="108"/>
        <v>210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162" t="str">
        <f t="shared" si="109"/>
        <v> </v>
      </c>
      <c r="X111" s="162" t="str">
        <f t="shared" si="110"/>
        <v> </v>
      </c>
      <c r="Y111" s="162">
        <f t="shared" si="111"/>
        <v>3</v>
      </c>
      <c r="Z111" s="162" t="str">
        <f t="shared" si="112"/>
        <v> </v>
      </c>
      <c r="AA111" s="162" t="str">
        <f t="shared" si="113"/>
        <v> </v>
      </c>
    </row>
    <row r="112" ht="12.75" customHeight="1">
      <c r="A112" s="157"/>
      <c r="B112" s="163" t="s">
        <v>96</v>
      </c>
      <c r="C112" s="159">
        <v>0.75</v>
      </c>
      <c r="D112" s="160">
        <v>3.0</v>
      </c>
      <c r="E112" s="161">
        <v>4.0</v>
      </c>
      <c r="F112" s="161">
        <f>'1RM'!$C$6*C112</f>
        <v>75</v>
      </c>
      <c r="G112" s="141"/>
      <c r="H112" s="142"/>
      <c r="I112" s="141"/>
      <c r="J112" s="142"/>
      <c r="K112" s="141">
        <f t="shared" si="107"/>
        <v>12</v>
      </c>
      <c r="L112" s="142">
        <f t="shared" si="108"/>
        <v>900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162" t="str">
        <f t="shared" si="109"/>
        <v> </v>
      </c>
      <c r="X112" s="162" t="str">
        <f t="shared" si="110"/>
        <v> </v>
      </c>
      <c r="Y112" s="162">
        <f t="shared" si="111"/>
        <v>12</v>
      </c>
      <c r="Z112" s="162" t="str">
        <f t="shared" si="112"/>
        <v> </v>
      </c>
      <c r="AA112" s="162" t="str">
        <f t="shared" si="113"/>
        <v> </v>
      </c>
    </row>
    <row r="113" ht="12.75" customHeight="1">
      <c r="A113" s="136">
        <v>2.0</v>
      </c>
      <c r="B113" s="137" t="s">
        <v>5</v>
      </c>
      <c r="C113" s="138">
        <v>0.5</v>
      </c>
      <c r="D113" s="139">
        <v>5.0</v>
      </c>
      <c r="E113" s="140">
        <v>1.0</v>
      </c>
      <c r="F113" s="140">
        <f>'1RM'!$C$5*C113</f>
        <v>50</v>
      </c>
      <c r="G113" s="141"/>
      <c r="H113" s="142"/>
      <c r="I113" s="141">
        <f t="shared" ref="I113:I115" si="114">D113*E113</f>
        <v>5</v>
      </c>
      <c r="J113" s="142">
        <f t="shared" ref="J113:J115" si="115">F113*I113</f>
        <v>250</v>
      </c>
      <c r="K113" s="141"/>
      <c r="L113" s="142"/>
      <c r="M113" s="5"/>
      <c r="N113" s="5"/>
      <c r="O113" s="5"/>
      <c r="P113" s="5"/>
      <c r="Q113" s="5"/>
      <c r="R113" s="143">
        <f t="shared" ref="R113:R115" si="116">IF(ISNUMBER(SEARCH("Press de banca",$B113)),IF($C113&gt;=0.5,IF($C113&lt;0.6,$D113*$E113," ")," ")," ")</f>
        <v>5</v>
      </c>
      <c r="S113" s="143" t="str">
        <f t="shared" ref="S113:S115" si="117">IF(ISNUMBER(SEARCH("Press de banca",$B113)),IF($C113&gt;=0.6,IF($C113&lt;0.7,$D113*$E113," ")," ")," ")</f>
        <v> </v>
      </c>
      <c r="T113" s="143" t="str">
        <f t="shared" ref="T113:T115" si="118">IF(ISNUMBER(SEARCH("Press de banca",$B113)),IF($C113&gt;=0.7,IF($C113&lt;0.8,$D113*$E113," ")," ")," ")</f>
        <v> </v>
      </c>
      <c r="U113" s="143" t="str">
        <f t="shared" ref="U113:U115" si="119">IF(ISNUMBER(SEARCH("Press de banca",$B113)),IF($C113&gt;=0.8,IF($C113&lt;0.9,$D113*$E113," ")," ")," ")</f>
        <v> </v>
      </c>
      <c r="V113" s="143" t="str">
        <f t="shared" ref="V113:V115" si="120">IF(ISNUMBER(SEARCH("Press de banca",$B113)),IF($C113&gt;=0.9,$D113*$E113," ")," ")</f>
        <v> </v>
      </c>
      <c r="W113" s="5"/>
      <c r="X113" s="5"/>
      <c r="Y113" s="5"/>
      <c r="Z113" s="5"/>
      <c r="AA113" s="5"/>
    </row>
    <row r="114" ht="12.75" customHeight="1">
      <c r="A114" s="136"/>
      <c r="B114" s="144" t="s">
        <v>5</v>
      </c>
      <c r="C114" s="138">
        <v>0.6</v>
      </c>
      <c r="D114" s="139">
        <v>5.0</v>
      </c>
      <c r="E114" s="140">
        <v>1.0</v>
      </c>
      <c r="F114" s="140">
        <f>'1RM'!$C$5*C114</f>
        <v>60</v>
      </c>
      <c r="G114" s="141"/>
      <c r="H114" s="142"/>
      <c r="I114" s="141">
        <f t="shared" si="114"/>
        <v>5</v>
      </c>
      <c r="J114" s="142">
        <f t="shared" si="115"/>
        <v>300</v>
      </c>
      <c r="K114" s="141"/>
      <c r="L114" s="142"/>
      <c r="M114" s="5"/>
      <c r="N114" s="5"/>
      <c r="O114" s="5"/>
      <c r="P114" s="5"/>
      <c r="Q114" s="5"/>
      <c r="R114" s="143" t="str">
        <f t="shared" si="116"/>
        <v> </v>
      </c>
      <c r="S114" s="143">
        <f t="shared" si="117"/>
        <v>5</v>
      </c>
      <c r="T114" s="143" t="str">
        <f t="shared" si="118"/>
        <v> </v>
      </c>
      <c r="U114" s="143" t="str">
        <f t="shared" si="119"/>
        <v> </v>
      </c>
      <c r="V114" s="143" t="str">
        <f t="shared" si="120"/>
        <v> </v>
      </c>
      <c r="W114" s="5"/>
      <c r="X114" s="5"/>
      <c r="Y114" s="5"/>
      <c r="Z114" s="5"/>
      <c r="AA114" s="5"/>
    </row>
    <row r="115" ht="12.75" customHeight="1">
      <c r="A115" s="136"/>
      <c r="B115" s="144" t="s">
        <v>5</v>
      </c>
      <c r="C115" s="138">
        <v>0.7</v>
      </c>
      <c r="D115" s="139">
        <v>8.0</v>
      </c>
      <c r="E115" s="140">
        <v>4.0</v>
      </c>
      <c r="F115" s="140">
        <f>'1RM'!$C$5*C115</f>
        <v>70</v>
      </c>
      <c r="G115" s="141"/>
      <c r="H115" s="142"/>
      <c r="I115" s="141">
        <f t="shared" si="114"/>
        <v>32</v>
      </c>
      <c r="J115" s="142">
        <f t="shared" si="115"/>
        <v>2240</v>
      </c>
      <c r="K115" s="141"/>
      <c r="L115" s="142"/>
      <c r="M115" s="5"/>
      <c r="N115" s="5"/>
      <c r="O115" s="5"/>
      <c r="P115" s="5"/>
      <c r="Q115" s="5"/>
      <c r="R115" s="143" t="str">
        <f t="shared" si="116"/>
        <v> </v>
      </c>
      <c r="S115" s="143" t="str">
        <f t="shared" si="117"/>
        <v> </v>
      </c>
      <c r="T115" s="143">
        <f t="shared" si="118"/>
        <v>32</v>
      </c>
      <c r="U115" s="143" t="str">
        <f t="shared" si="119"/>
        <v> </v>
      </c>
      <c r="V115" s="143" t="str">
        <f t="shared" si="120"/>
        <v> </v>
      </c>
      <c r="W115" s="5"/>
      <c r="X115" s="5"/>
      <c r="Y115" s="5"/>
      <c r="Z115" s="5"/>
      <c r="AA115" s="5"/>
    </row>
    <row r="116" ht="12.75" customHeight="1">
      <c r="A116" s="157">
        <v>3.0</v>
      </c>
      <c r="B116" s="158" t="s">
        <v>68</v>
      </c>
      <c r="C116" s="159">
        <v>0.6</v>
      </c>
      <c r="D116" s="160">
        <v>4.0</v>
      </c>
      <c r="E116" s="161">
        <v>1.0</v>
      </c>
      <c r="F116" s="161">
        <f>'1RM'!$C$6*C116</f>
        <v>60</v>
      </c>
      <c r="G116" s="141"/>
      <c r="H116" s="142"/>
      <c r="I116" s="141"/>
      <c r="J116" s="142"/>
      <c r="K116" s="141">
        <f t="shared" ref="K116:K118" si="121">D116*E116</f>
        <v>4</v>
      </c>
      <c r="L116" s="142">
        <f t="shared" ref="L116:L118" si="122">F116*K116</f>
        <v>240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162" t="str">
        <f t="shared" ref="W116:W118" si="123">IF(ISNUMBER(SEARCH("Peso muerto",$B116)),IF($C116&gt;=0.5,IF($C116&lt;0.6,$D116*$E116," ")," ")," ")</f>
        <v> </v>
      </c>
      <c r="X116" s="162">
        <f t="shared" ref="X116:X118" si="124">IF(ISNUMBER(SEARCH("Peso muerto",$B116)),IF($C116&gt;=0.6,IF($C116&lt;0.7,$D116*$E116," ")," ")," ")</f>
        <v>4</v>
      </c>
      <c r="Y116" s="162" t="str">
        <f t="shared" ref="Y116:Y118" si="125">IF(ISNUMBER(SEARCH("Peso muerto",$B116)),IF($C116&gt;=0.7,IF($C116&lt;0.8,$D116*$E116," ")," ")," ")</f>
        <v> </v>
      </c>
      <c r="Z116" s="162" t="str">
        <f t="shared" ref="Z116:Z118" si="126">IF(ISNUMBER(SEARCH("Peso muerto",$B116)),IF($C116&gt;=0.8,IF($C116&lt;0.9,$D116*$E116," ")," ")," ")</f>
        <v> </v>
      </c>
      <c r="AA116" s="162" t="str">
        <f t="shared" ref="AA116:AA118" si="127">IF(ISNUMBER(SEARCH("Peso muerto",$B116)),IF($C116&gt;=0.9,$D116*$E116," ")," ")</f>
        <v> </v>
      </c>
    </row>
    <row r="117" ht="12.75" customHeight="1">
      <c r="A117" s="157"/>
      <c r="B117" s="163" t="s">
        <v>68</v>
      </c>
      <c r="C117" s="159">
        <v>0.7</v>
      </c>
      <c r="D117" s="160">
        <v>4.0</v>
      </c>
      <c r="E117" s="161">
        <v>1.0</v>
      </c>
      <c r="F117" s="161">
        <f>'1RM'!$C$6*C117</f>
        <v>70</v>
      </c>
      <c r="G117" s="141"/>
      <c r="H117" s="142"/>
      <c r="I117" s="141"/>
      <c r="J117" s="142"/>
      <c r="K117" s="141">
        <f t="shared" si="121"/>
        <v>4</v>
      </c>
      <c r="L117" s="142">
        <f t="shared" si="122"/>
        <v>280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162" t="str">
        <f t="shared" si="123"/>
        <v> </v>
      </c>
      <c r="X117" s="162" t="str">
        <f t="shared" si="124"/>
        <v> </v>
      </c>
      <c r="Y117" s="162">
        <f t="shared" si="125"/>
        <v>4</v>
      </c>
      <c r="Z117" s="162" t="str">
        <f t="shared" si="126"/>
        <v> </v>
      </c>
      <c r="AA117" s="162" t="str">
        <f t="shared" si="127"/>
        <v> </v>
      </c>
    </row>
    <row r="118" ht="12.75" customHeight="1">
      <c r="A118" s="157"/>
      <c r="B118" s="163" t="s">
        <v>68</v>
      </c>
      <c r="C118" s="159">
        <v>0.8</v>
      </c>
      <c r="D118" s="160">
        <v>4.0</v>
      </c>
      <c r="E118" s="161">
        <v>4.0</v>
      </c>
      <c r="F118" s="161">
        <f>'1RM'!$C$6*C118</f>
        <v>80</v>
      </c>
      <c r="G118" s="141"/>
      <c r="H118" s="142"/>
      <c r="I118" s="141"/>
      <c r="J118" s="142"/>
      <c r="K118" s="141">
        <f t="shared" si="121"/>
        <v>16</v>
      </c>
      <c r="L118" s="142">
        <f t="shared" si="122"/>
        <v>1280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162" t="str">
        <f t="shared" si="123"/>
        <v> </v>
      </c>
      <c r="X118" s="162" t="str">
        <f t="shared" si="124"/>
        <v> </v>
      </c>
      <c r="Y118" s="162" t="str">
        <f t="shared" si="125"/>
        <v> </v>
      </c>
      <c r="Z118" s="162">
        <f t="shared" si="126"/>
        <v>16</v>
      </c>
      <c r="AA118" s="162" t="str">
        <f t="shared" si="127"/>
        <v> </v>
      </c>
    </row>
    <row r="119" ht="12.75" customHeight="1">
      <c r="A119" s="152">
        <v>4.0</v>
      </c>
      <c r="B119" s="153" t="s">
        <v>69</v>
      </c>
      <c r="C119" s="154"/>
      <c r="D119" s="156">
        <v>4.0</v>
      </c>
      <c r="E119" s="156">
        <v>5.0</v>
      </c>
      <c r="F119" s="154"/>
      <c r="G119" s="141"/>
      <c r="H119" s="142"/>
      <c r="I119" s="141"/>
      <c r="J119" s="142"/>
      <c r="K119" s="141"/>
      <c r="L119" s="142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152">
        <v>5.0</v>
      </c>
      <c r="B120" s="153" t="s">
        <v>60</v>
      </c>
      <c r="C120" s="154"/>
      <c r="D120" s="155">
        <v>6.0</v>
      </c>
      <c r="E120" s="156">
        <v>5.0</v>
      </c>
      <c r="F120" s="156"/>
      <c r="G120" s="141"/>
      <c r="H120" s="142"/>
      <c r="I120" s="141"/>
      <c r="J120" s="142"/>
      <c r="K120" s="141"/>
      <c r="L120" s="142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152">
        <v>6.0</v>
      </c>
      <c r="B121" s="153" t="s">
        <v>65</v>
      </c>
      <c r="C121" s="154"/>
      <c r="D121" s="155">
        <v>8.0</v>
      </c>
      <c r="E121" s="156">
        <v>4.0</v>
      </c>
      <c r="F121" s="156"/>
      <c r="G121" s="141"/>
      <c r="H121" s="142"/>
      <c r="I121" s="141"/>
      <c r="J121" s="142"/>
      <c r="K121" s="141"/>
      <c r="L121" s="142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169"/>
      <c r="B122" s="170"/>
      <c r="C122" s="171"/>
      <c r="D122" s="172"/>
      <c r="E122" s="172"/>
      <c r="F122" s="172"/>
      <c r="G122" s="173">
        <f t="shared" ref="G122:AA122" si="128">SUM(G61:G121)</f>
        <v>84</v>
      </c>
      <c r="H122" s="173">
        <f t="shared" si="128"/>
        <v>5755</v>
      </c>
      <c r="I122" s="173">
        <f t="shared" si="128"/>
        <v>121</v>
      </c>
      <c r="J122" s="173">
        <f t="shared" si="128"/>
        <v>8235</v>
      </c>
      <c r="K122" s="173">
        <f t="shared" si="128"/>
        <v>64</v>
      </c>
      <c r="L122" s="173">
        <f t="shared" si="128"/>
        <v>4585</v>
      </c>
      <c r="M122" s="172">
        <f t="shared" si="128"/>
        <v>15</v>
      </c>
      <c r="N122" s="172">
        <f t="shared" si="128"/>
        <v>13</v>
      </c>
      <c r="O122" s="172">
        <f t="shared" si="128"/>
        <v>34</v>
      </c>
      <c r="P122" s="172">
        <f t="shared" si="128"/>
        <v>17</v>
      </c>
      <c r="Q122" s="172">
        <f t="shared" si="128"/>
        <v>5</v>
      </c>
      <c r="R122" s="172">
        <f t="shared" si="128"/>
        <v>20</v>
      </c>
      <c r="S122" s="172">
        <f t="shared" si="128"/>
        <v>17</v>
      </c>
      <c r="T122" s="172">
        <f t="shared" si="128"/>
        <v>77</v>
      </c>
      <c r="U122" s="172">
        <f t="shared" si="128"/>
        <v>2</v>
      </c>
      <c r="V122" s="172">
        <f t="shared" si="128"/>
        <v>5</v>
      </c>
      <c r="W122" s="172">
        <f t="shared" si="128"/>
        <v>8</v>
      </c>
      <c r="X122" s="172">
        <f t="shared" si="128"/>
        <v>11</v>
      </c>
      <c r="Y122" s="172">
        <f t="shared" si="128"/>
        <v>22</v>
      </c>
      <c r="Z122" s="172">
        <f t="shared" si="128"/>
        <v>18</v>
      </c>
      <c r="AA122" s="172">
        <f t="shared" si="128"/>
        <v>5</v>
      </c>
    </row>
    <row r="123" ht="12.75" customHeight="1">
      <c r="A123" s="33" t="s">
        <v>23</v>
      </c>
      <c r="B123" s="33"/>
      <c r="C123" s="133"/>
      <c r="D123" s="42"/>
      <c r="E123" s="42"/>
      <c r="F123" s="42"/>
      <c r="G123" s="141"/>
      <c r="H123" s="142"/>
      <c r="I123" s="141"/>
      <c r="J123" s="142"/>
      <c r="K123" s="141"/>
      <c r="L123" s="142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33" t="s">
        <v>50</v>
      </c>
      <c r="B124" s="134"/>
      <c r="C124" s="135" t="s">
        <v>20</v>
      </c>
      <c r="D124" s="45" t="s">
        <v>51</v>
      </c>
      <c r="E124" s="45" t="s">
        <v>52</v>
      </c>
      <c r="F124" s="45" t="s">
        <v>53</v>
      </c>
      <c r="G124" s="141"/>
      <c r="H124" s="142"/>
      <c r="I124" s="141"/>
      <c r="J124" s="142"/>
      <c r="K124" s="141"/>
      <c r="L124" s="142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136">
        <v>1.0</v>
      </c>
      <c r="B125" s="137" t="s">
        <v>5</v>
      </c>
      <c r="C125" s="138">
        <v>0.5</v>
      </c>
      <c r="D125" s="139">
        <v>5.0</v>
      </c>
      <c r="E125" s="140">
        <v>1.0</v>
      </c>
      <c r="F125" s="140">
        <f>'1RM'!$C$5*C125</f>
        <v>50</v>
      </c>
      <c r="G125" s="141"/>
      <c r="H125" s="142"/>
      <c r="I125" s="141">
        <f t="shared" ref="I125:I128" si="129">D125*E125</f>
        <v>5</v>
      </c>
      <c r="J125" s="142">
        <f t="shared" ref="J125:J128" si="130">F125*I125</f>
        <v>250</v>
      </c>
      <c r="K125" s="141"/>
      <c r="L125" s="142"/>
      <c r="M125" s="5"/>
      <c r="N125" s="5"/>
      <c r="O125" s="5"/>
      <c r="P125" s="5"/>
      <c r="Q125" s="5"/>
      <c r="R125" s="143">
        <f t="shared" ref="R125:R128" si="131">IF(ISNUMBER(SEARCH("Press de banca",$B125)),IF($C125&gt;=0.5,IF($C125&lt;0.6,$D125*$E125," ")," ")," ")</f>
        <v>5</v>
      </c>
      <c r="S125" s="143" t="str">
        <f t="shared" ref="S125:S128" si="132">IF(ISNUMBER(SEARCH("Press de banca",$B125)),IF($C125&gt;=0.6,IF($C125&lt;0.7,$D125*$E125," ")," ")," ")</f>
        <v> </v>
      </c>
      <c r="T125" s="143" t="str">
        <f t="shared" ref="T125:T128" si="133">IF(ISNUMBER(SEARCH("Press de banca",$B125)),IF($C125&gt;=0.7,IF($C125&lt;0.8,$D125*$E125," ")," ")," ")</f>
        <v> </v>
      </c>
      <c r="U125" s="143" t="str">
        <f t="shared" ref="U125:U128" si="134">IF(ISNUMBER(SEARCH("Press de banca",$B125)),IF($C125&gt;=0.8,IF($C125&lt;0.9,$D125*$E125," ")," ")," ")</f>
        <v> </v>
      </c>
      <c r="V125" s="143" t="str">
        <f t="shared" ref="V125:V128" si="135">IF(ISNUMBER(SEARCH("Press de banca",$B125)),IF($C125&gt;=0.9,$D125*$E125," ")," ")</f>
        <v> </v>
      </c>
      <c r="W125" s="5"/>
      <c r="X125" s="5"/>
      <c r="Y125" s="5"/>
      <c r="Z125" s="5"/>
      <c r="AA125" s="5"/>
    </row>
    <row r="126" ht="12.75" customHeight="1">
      <c r="A126" s="136"/>
      <c r="B126" s="144" t="s">
        <v>5</v>
      </c>
      <c r="C126" s="138">
        <v>0.6</v>
      </c>
      <c r="D126" s="139">
        <v>4.0</v>
      </c>
      <c r="E126" s="140">
        <v>1.0</v>
      </c>
      <c r="F126" s="140">
        <f>'1RM'!$C$5*C126</f>
        <v>60</v>
      </c>
      <c r="G126" s="141"/>
      <c r="H126" s="142"/>
      <c r="I126" s="141">
        <f t="shared" si="129"/>
        <v>4</v>
      </c>
      <c r="J126" s="142">
        <f t="shared" si="130"/>
        <v>240</v>
      </c>
      <c r="K126" s="141"/>
      <c r="L126" s="142"/>
      <c r="M126" s="5"/>
      <c r="N126" s="5"/>
      <c r="O126" s="5"/>
      <c r="P126" s="5"/>
      <c r="Q126" s="5"/>
      <c r="R126" s="143" t="str">
        <f t="shared" si="131"/>
        <v> </v>
      </c>
      <c r="S126" s="143">
        <f t="shared" si="132"/>
        <v>4</v>
      </c>
      <c r="T126" s="143" t="str">
        <f t="shared" si="133"/>
        <v> </v>
      </c>
      <c r="U126" s="143" t="str">
        <f t="shared" si="134"/>
        <v> </v>
      </c>
      <c r="V126" s="143" t="str">
        <f t="shared" si="135"/>
        <v> </v>
      </c>
      <c r="W126" s="5"/>
      <c r="X126" s="5"/>
      <c r="Y126" s="5"/>
      <c r="Z126" s="5"/>
      <c r="AA126" s="5"/>
    </row>
    <row r="127" ht="12.75" customHeight="1">
      <c r="A127" s="136"/>
      <c r="B127" s="144" t="s">
        <v>5</v>
      </c>
      <c r="C127" s="138">
        <v>0.7</v>
      </c>
      <c r="D127" s="139">
        <v>3.0</v>
      </c>
      <c r="E127" s="140">
        <v>1.0</v>
      </c>
      <c r="F127" s="140">
        <f>'1RM'!$C$5*C127</f>
        <v>70</v>
      </c>
      <c r="G127" s="141"/>
      <c r="H127" s="142"/>
      <c r="I127" s="141">
        <f t="shared" si="129"/>
        <v>3</v>
      </c>
      <c r="J127" s="142">
        <f t="shared" si="130"/>
        <v>210</v>
      </c>
      <c r="K127" s="141"/>
      <c r="L127" s="142"/>
      <c r="M127" s="5"/>
      <c r="N127" s="5"/>
      <c r="O127" s="5"/>
      <c r="P127" s="5"/>
      <c r="Q127" s="5"/>
      <c r="R127" s="143" t="str">
        <f t="shared" si="131"/>
        <v> </v>
      </c>
      <c r="S127" s="143" t="str">
        <f t="shared" si="132"/>
        <v> </v>
      </c>
      <c r="T127" s="143">
        <f t="shared" si="133"/>
        <v>3</v>
      </c>
      <c r="U127" s="143" t="str">
        <f t="shared" si="134"/>
        <v> </v>
      </c>
      <c r="V127" s="143" t="str">
        <f t="shared" si="135"/>
        <v> </v>
      </c>
      <c r="W127" s="5"/>
      <c r="X127" s="5"/>
      <c r="Y127" s="5"/>
      <c r="Z127" s="5"/>
      <c r="AA127" s="5"/>
    </row>
    <row r="128" ht="12.75" customHeight="1">
      <c r="A128" s="136"/>
      <c r="B128" s="144" t="s">
        <v>5</v>
      </c>
      <c r="C128" s="138">
        <v>0.8</v>
      </c>
      <c r="D128" s="139">
        <v>5.0</v>
      </c>
      <c r="E128" s="140">
        <v>4.0</v>
      </c>
      <c r="F128" s="140">
        <f>'1RM'!$C$5*C128</f>
        <v>80</v>
      </c>
      <c r="G128" s="141"/>
      <c r="H128" s="142"/>
      <c r="I128" s="141">
        <f t="shared" si="129"/>
        <v>20</v>
      </c>
      <c r="J128" s="142">
        <f t="shared" si="130"/>
        <v>1600</v>
      </c>
      <c r="K128" s="141"/>
      <c r="L128" s="142"/>
      <c r="M128" s="5"/>
      <c r="N128" s="5"/>
      <c r="O128" s="5"/>
      <c r="P128" s="5"/>
      <c r="Q128" s="5"/>
      <c r="R128" s="143" t="str">
        <f t="shared" si="131"/>
        <v> </v>
      </c>
      <c r="S128" s="143" t="str">
        <f t="shared" si="132"/>
        <v> </v>
      </c>
      <c r="T128" s="143" t="str">
        <f t="shared" si="133"/>
        <v> </v>
      </c>
      <c r="U128" s="143">
        <f t="shared" si="134"/>
        <v>20</v>
      </c>
      <c r="V128" s="143" t="str">
        <f t="shared" si="135"/>
        <v> </v>
      </c>
      <c r="W128" s="5"/>
      <c r="X128" s="5"/>
      <c r="Y128" s="5"/>
      <c r="Z128" s="5"/>
      <c r="AA128" s="5"/>
    </row>
    <row r="129" ht="12.75" customHeight="1">
      <c r="A129" s="145">
        <v>2.0</v>
      </c>
      <c r="B129" s="146" t="s">
        <v>4</v>
      </c>
      <c r="C129" s="147">
        <v>0.5</v>
      </c>
      <c r="D129" s="148">
        <v>5.0</v>
      </c>
      <c r="E129" s="149">
        <v>1.0</v>
      </c>
      <c r="F129" s="149">
        <f>'1RM'!$C$4*C129</f>
        <v>50</v>
      </c>
      <c r="G129" s="141">
        <f t="shared" ref="G129:G132" si="136">D129*E129</f>
        <v>5</v>
      </c>
      <c r="H129" s="142">
        <f t="shared" ref="H129:H132" si="137">F129*G129</f>
        <v>250</v>
      </c>
      <c r="I129" s="141"/>
      <c r="J129" s="142"/>
      <c r="K129" s="141"/>
      <c r="L129" s="142"/>
      <c r="M129" s="150">
        <f t="shared" ref="M129:M132" si="138">IF(ISNUMBER(SEARCH("Sentadilla",$B129)),IF($C129&gt;=0.5,IF($C129&lt;0.6,$D129*$E129," ")," ")," ")</f>
        <v>5</v>
      </c>
      <c r="N129" s="150" t="str">
        <f t="shared" ref="N129:N132" si="139">IF(ISNUMBER(SEARCH("Sentadilla",$B129)),IF($C129&gt;=0.6,IF($C129&lt;0.7,$D129*$E129," ")," ")," ")</f>
        <v> </v>
      </c>
      <c r="O129" s="150" t="str">
        <f t="shared" ref="O129:O132" si="140">IF(ISNUMBER(SEARCH("Sentadilla",$B129)),IF($C129&gt;=0.7,IF($C129&lt;0.8,$D129*$E129," ")," ")," ")</f>
        <v> </v>
      </c>
      <c r="P129" s="150" t="str">
        <f t="shared" ref="P129:P132" si="141">IF(ISNUMBER(SEARCH("Sentadilla",$B129)),IF($C129&gt;=0.8,IF($C129&lt;0.9,$D129*$E129," ")," ")," ")</f>
        <v> </v>
      </c>
      <c r="Q129" s="150" t="str">
        <f t="shared" ref="Q129:Q132" si="142">IF(ISNUMBER(SEARCH("Sentadilla",$B129)),IF($C129&gt;=0.9,$D129*$E129," ")," ")</f>
        <v> </v>
      </c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145"/>
      <c r="B130" s="151" t="s">
        <v>4</v>
      </c>
      <c r="C130" s="147">
        <v>0.6</v>
      </c>
      <c r="D130" s="148">
        <v>4.0</v>
      </c>
      <c r="E130" s="149">
        <v>1.0</v>
      </c>
      <c r="F130" s="149">
        <f>'1RM'!$C$4*C130</f>
        <v>60</v>
      </c>
      <c r="G130" s="141">
        <f t="shared" si="136"/>
        <v>4</v>
      </c>
      <c r="H130" s="142">
        <f t="shared" si="137"/>
        <v>240</v>
      </c>
      <c r="I130" s="141"/>
      <c r="J130" s="142"/>
      <c r="K130" s="141"/>
      <c r="L130" s="142"/>
      <c r="M130" s="150" t="str">
        <f t="shared" si="138"/>
        <v> </v>
      </c>
      <c r="N130" s="150">
        <f t="shared" si="139"/>
        <v>4</v>
      </c>
      <c r="O130" s="150" t="str">
        <f t="shared" si="140"/>
        <v> </v>
      </c>
      <c r="P130" s="150" t="str">
        <f t="shared" si="141"/>
        <v> </v>
      </c>
      <c r="Q130" s="150" t="str">
        <f t="shared" si="142"/>
        <v> </v>
      </c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145"/>
      <c r="B131" s="151" t="s">
        <v>4</v>
      </c>
      <c r="C131" s="147">
        <v>0.7</v>
      </c>
      <c r="D131" s="148">
        <v>3.0</v>
      </c>
      <c r="E131" s="149">
        <v>1.0</v>
      </c>
      <c r="F131" s="149">
        <f>'1RM'!$C$4*C131</f>
        <v>70</v>
      </c>
      <c r="G131" s="141">
        <f t="shared" si="136"/>
        <v>3</v>
      </c>
      <c r="H131" s="142">
        <f t="shared" si="137"/>
        <v>210</v>
      </c>
      <c r="I131" s="141"/>
      <c r="J131" s="142"/>
      <c r="K131" s="141"/>
      <c r="L131" s="142"/>
      <c r="M131" s="150" t="str">
        <f t="shared" si="138"/>
        <v> </v>
      </c>
      <c r="N131" s="150" t="str">
        <f t="shared" si="139"/>
        <v> </v>
      </c>
      <c r="O131" s="150">
        <f t="shared" si="140"/>
        <v>3</v>
      </c>
      <c r="P131" s="150" t="str">
        <f t="shared" si="141"/>
        <v> </v>
      </c>
      <c r="Q131" s="150" t="str">
        <f t="shared" si="142"/>
        <v> </v>
      </c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145"/>
      <c r="B132" s="151" t="s">
        <v>4</v>
      </c>
      <c r="C132" s="147">
        <v>0.8</v>
      </c>
      <c r="D132" s="148">
        <v>5.0</v>
      </c>
      <c r="E132" s="149">
        <v>5.0</v>
      </c>
      <c r="F132" s="149">
        <f>'1RM'!$C$4*C132</f>
        <v>80</v>
      </c>
      <c r="G132" s="141">
        <f t="shared" si="136"/>
        <v>25</v>
      </c>
      <c r="H132" s="142">
        <f t="shared" si="137"/>
        <v>2000</v>
      </c>
      <c r="I132" s="141"/>
      <c r="J132" s="142"/>
      <c r="K132" s="141"/>
      <c r="L132" s="142"/>
      <c r="M132" s="150" t="str">
        <f t="shared" si="138"/>
        <v> </v>
      </c>
      <c r="N132" s="150" t="str">
        <f t="shared" si="139"/>
        <v> </v>
      </c>
      <c r="O132" s="150" t="str">
        <f t="shared" si="140"/>
        <v> </v>
      </c>
      <c r="P132" s="150">
        <f t="shared" si="141"/>
        <v>25</v>
      </c>
      <c r="Q132" s="150" t="str">
        <f t="shared" si="142"/>
        <v> </v>
      </c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136">
        <v>3.0</v>
      </c>
      <c r="B133" s="137" t="s">
        <v>85</v>
      </c>
      <c r="C133" s="138">
        <v>0.6</v>
      </c>
      <c r="D133" s="139">
        <v>4.0</v>
      </c>
      <c r="E133" s="140">
        <v>1.0</v>
      </c>
      <c r="F133" s="140">
        <f>'1RM'!$C$5*C133</f>
        <v>60</v>
      </c>
      <c r="G133" s="141"/>
      <c r="H133" s="142"/>
      <c r="I133" s="141">
        <f t="shared" ref="I133:I135" si="143">D133*E133</f>
        <v>4</v>
      </c>
      <c r="J133" s="142">
        <f t="shared" ref="J133:J135" si="144">F133*I133</f>
        <v>240</v>
      </c>
      <c r="K133" s="141"/>
      <c r="L133" s="142"/>
      <c r="M133" s="5"/>
      <c r="N133" s="5"/>
      <c r="O133" s="5"/>
      <c r="P133" s="5"/>
      <c r="Q133" s="5"/>
      <c r="R133" s="143" t="str">
        <f t="shared" ref="R133:R135" si="145">IF(ISNUMBER(SEARCH("Press de banca",$B133)),IF($C133&gt;=0.5,IF($C133&lt;0.6,$D133*$E133," ")," ")," ")</f>
        <v> </v>
      </c>
      <c r="S133" s="143">
        <f t="shared" ref="S133:S135" si="146">IF(ISNUMBER(SEARCH("Press de banca",$B133)),IF($C133&gt;=0.6,IF($C133&lt;0.7,$D133*$E133," ")," ")," ")</f>
        <v>4</v>
      </c>
      <c r="T133" s="143" t="str">
        <f t="shared" ref="T133:T135" si="147">IF(ISNUMBER(SEARCH("Press de banca",$B133)),IF($C133&gt;=0.7,IF($C133&lt;0.8,$D133*$E133," ")," ")," ")</f>
        <v> </v>
      </c>
      <c r="U133" s="143" t="str">
        <f t="shared" ref="U133:U135" si="148">IF(ISNUMBER(SEARCH("Press de banca",$B133)),IF($C133&gt;=0.8,IF($C133&lt;0.9,$D133*$E133," ")," ")," ")</f>
        <v> </v>
      </c>
      <c r="V133" s="143" t="str">
        <f t="shared" ref="V133:V135" si="149">IF(ISNUMBER(SEARCH("Press de banca",$B133)),IF($C133&gt;=0.9,$D133*$E133," ")," ")</f>
        <v> </v>
      </c>
      <c r="W133" s="5"/>
      <c r="X133" s="5"/>
      <c r="Y133" s="5"/>
      <c r="Z133" s="5"/>
      <c r="AA133" s="5"/>
    </row>
    <row r="134" ht="12.75" customHeight="1">
      <c r="A134" s="136"/>
      <c r="B134" s="144" t="s">
        <v>85</v>
      </c>
      <c r="C134" s="138">
        <v>0.7</v>
      </c>
      <c r="D134" s="139">
        <v>4.0</v>
      </c>
      <c r="E134" s="140">
        <v>1.0</v>
      </c>
      <c r="F134" s="140">
        <f>'1RM'!$C$5*C134</f>
        <v>70</v>
      </c>
      <c r="G134" s="141"/>
      <c r="H134" s="142"/>
      <c r="I134" s="141">
        <f t="shared" si="143"/>
        <v>4</v>
      </c>
      <c r="J134" s="142">
        <f t="shared" si="144"/>
        <v>280</v>
      </c>
      <c r="K134" s="141"/>
      <c r="L134" s="142"/>
      <c r="M134" s="5"/>
      <c r="N134" s="5"/>
      <c r="O134" s="5"/>
      <c r="P134" s="5"/>
      <c r="Q134" s="5"/>
      <c r="R134" s="143" t="str">
        <f t="shared" si="145"/>
        <v> </v>
      </c>
      <c r="S134" s="143" t="str">
        <f t="shared" si="146"/>
        <v> </v>
      </c>
      <c r="T134" s="143">
        <f t="shared" si="147"/>
        <v>4</v>
      </c>
      <c r="U134" s="143" t="str">
        <f t="shared" si="148"/>
        <v> </v>
      </c>
      <c r="V134" s="143" t="str">
        <f t="shared" si="149"/>
        <v> </v>
      </c>
      <c r="W134" s="5"/>
      <c r="X134" s="5"/>
      <c r="Y134" s="5"/>
      <c r="Z134" s="5"/>
      <c r="AA134" s="5"/>
    </row>
    <row r="135" ht="12.75" customHeight="1">
      <c r="A135" s="136"/>
      <c r="B135" s="144" t="s">
        <v>85</v>
      </c>
      <c r="C135" s="138">
        <v>0.8</v>
      </c>
      <c r="D135" s="139">
        <v>4.0</v>
      </c>
      <c r="E135" s="140">
        <v>4.0</v>
      </c>
      <c r="F135" s="140">
        <f>'1RM'!$C$5*C135</f>
        <v>80</v>
      </c>
      <c r="G135" s="141"/>
      <c r="H135" s="142"/>
      <c r="I135" s="141">
        <f t="shared" si="143"/>
        <v>16</v>
      </c>
      <c r="J135" s="142">
        <f t="shared" si="144"/>
        <v>1280</v>
      </c>
      <c r="K135" s="141"/>
      <c r="L135" s="142"/>
      <c r="M135" s="5"/>
      <c r="N135" s="5"/>
      <c r="O135" s="5"/>
      <c r="P135" s="5"/>
      <c r="Q135" s="5"/>
      <c r="R135" s="143" t="str">
        <f t="shared" si="145"/>
        <v> </v>
      </c>
      <c r="S135" s="143" t="str">
        <f t="shared" si="146"/>
        <v> </v>
      </c>
      <c r="T135" s="143" t="str">
        <f t="shared" si="147"/>
        <v> </v>
      </c>
      <c r="U135" s="143">
        <f t="shared" si="148"/>
        <v>16</v>
      </c>
      <c r="V135" s="143" t="str">
        <f t="shared" si="149"/>
        <v> </v>
      </c>
      <c r="W135" s="5"/>
      <c r="X135" s="5"/>
      <c r="Y135" s="5"/>
      <c r="Z135" s="5"/>
      <c r="AA135" s="5"/>
    </row>
    <row r="136" ht="12.75" customHeight="1">
      <c r="A136" s="152">
        <v>4.0</v>
      </c>
      <c r="B136" s="153" t="s">
        <v>55</v>
      </c>
      <c r="C136" s="154"/>
      <c r="D136" s="155">
        <v>6.0</v>
      </c>
      <c r="E136" s="156">
        <v>4.0</v>
      </c>
      <c r="F136" s="156"/>
      <c r="G136" s="141"/>
      <c r="H136" s="142"/>
      <c r="I136" s="141"/>
      <c r="J136" s="142"/>
      <c r="K136" s="141"/>
      <c r="L136" s="142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164">
        <v>5.0</v>
      </c>
      <c r="B137" s="165" t="s">
        <v>61</v>
      </c>
      <c r="C137" s="166"/>
      <c r="D137" s="167">
        <v>5.0</v>
      </c>
      <c r="E137" s="168">
        <v>5.0</v>
      </c>
      <c r="F137" s="168"/>
      <c r="G137" s="141"/>
      <c r="H137" s="142"/>
      <c r="I137" s="141"/>
      <c r="J137" s="142"/>
      <c r="K137" s="141"/>
      <c r="L137" s="142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33"/>
      <c r="B138" s="134"/>
      <c r="C138" s="133"/>
      <c r="D138" s="42"/>
      <c r="E138" s="42"/>
      <c r="F138" s="42"/>
      <c r="G138" s="141"/>
      <c r="H138" s="142"/>
      <c r="I138" s="141"/>
      <c r="J138" s="142"/>
      <c r="K138" s="141"/>
      <c r="L138" s="142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33" t="s">
        <v>57</v>
      </c>
      <c r="B139" s="134"/>
      <c r="C139" s="135" t="s">
        <v>20</v>
      </c>
      <c r="D139" s="45" t="s">
        <v>51</v>
      </c>
      <c r="E139" s="45" t="s">
        <v>52</v>
      </c>
      <c r="F139" s="45" t="s">
        <v>53</v>
      </c>
      <c r="G139" s="141"/>
      <c r="H139" s="142"/>
      <c r="I139" s="141"/>
      <c r="J139" s="142"/>
      <c r="K139" s="141"/>
      <c r="L139" s="142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157">
        <v>1.0</v>
      </c>
      <c r="B140" s="158" t="s">
        <v>103</v>
      </c>
      <c r="C140" s="159">
        <v>0.5</v>
      </c>
      <c r="D140" s="160">
        <v>4.0</v>
      </c>
      <c r="E140" s="161">
        <v>1.0</v>
      </c>
      <c r="F140" s="161">
        <f>'1RM'!$C$6*C140</f>
        <v>50</v>
      </c>
      <c r="G140" s="141"/>
      <c r="H140" s="142"/>
      <c r="I140" s="141"/>
      <c r="J140" s="142"/>
      <c r="K140" s="141">
        <f t="shared" ref="K140:K142" si="150">D140*E140</f>
        <v>4</v>
      </c>
      <c r="L140" s="142">
        <f t="shared" ref="L140:L142" si="151">F140*K140</f>
        <v>200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162">
        <f t="shared" ref="W140:W142" si="152">IF(ISNUMBER(SEARCH("Peso muerto",$B140)),IF($C140&gt;=0.5,IF($C140&lt;0.6,$D140*$E140," ")," ")," ")</f>
        <v>4</v>
      </c>
      <c r="X140" s="162" t="str">
        <f t="shared" ref="X140:X142" si="153">IF(ISNUMBER(SEARCH("Peso muerto",$B140)),IF($C140&gt;=0.6,IF($C140&lt;0.7,$D140*$E140," ")," ")," ")</f>
        <v> </v>
      </c>
      <c r="Y140" s="162" t="str">
        <f t="shared" ref="Y140:Y142" si="154">IF(ISNUMBER(SEARCH("Peso muerto",$B140)),IF($C140&gt;=0.7,IF($C140&lt;0.8,$D140*$E140," ")," ")," ")</f>
        <v> </v>
      </c>
      <c r="Z140" s="162" t="str">
        <f t="shared" ref="Z140:Z142" si="155">IF(ISNUMBER(SEARCH("Peso muerto",$B140)),IF($C140&gt;=0.8,IF($C140&lt;0.9,$D140*$E140," ")," ")," ")</f>
        <v> </v>
      </c>
      <c r="AA140" s="162" t="str">
        <f t="shared" ref="AA140:AA142" si="156">IF(ISNUMBER(SEARCH("Peso muerto",$B140)),IF($C140&gt;=0.9,$D140*$E140," ")," ")</f>
        <v> </v>
      </c>
    </row>
    <row r="141" ht="12.75" customHeight="1">
      <c r="A141" s="157"/>
      <c r="B141" s="163" t="s">
        <v>103</v>
      </c>
      <c r="C141" s="159">
        <v>0.6</v>
      </c>
      <c r="D141" s="160">
        <v>4.0</v>
      </c>
      <c r="E141" s="161">
        <v>1.0</v>
      </c>
      <c r="F141" s="161">
        <f>'1RM'!$C$6*C141</f>
        <v>60</v>
      </c>
      <c r="G141" s="141"/>
      <c r="H141" s="142"/>
      <c r="I141" s="141"/>
      <c r="J141" s="142"/>
      <c r="K141" s="141">
        <f t="shared" si="150"/>
        <v>4</v>
      </c>
      <c r="L141" s="142">
        <f t="shared" si="151"/>
        <v>240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162" t="str">
        <f t="shared" si="152"/>
        <v> </v>
      </c>
      <c r="X141" s="162">
        <f t="shared" si="153"/>
        <v>4</v>
      </c>
      <c r="Y141" s="162" t="str">
        <f t="shared" si="154"/>
        <v> </v>
      </c>
      <c r="Z141" s="162" t="str">
        <f t="shared" si="155"/>
        <v> </v>
      </c>
      <c r="AA141" s="162" t="str">
        <f t="shared" si="156"/>
        <v> </v>
      </c>
    </row>
    <row r="142" ht="12.75" customHeight="1">
      <c r="A142" s="157"/>
      <c r="B142" s="163" t="s">
        <v>103</v>
      </c>
      <c r="C142" s="159">
        <v>0.7</v>
      </c>
      <c r="D142" s="160">
        <v>4.0</v>
      </c>
      <c r="E142" s="161">
        <v>4.0</v>
      </c>
      <c r="F142" s="161">
        <f>'1RM'!$C$6*C142</f>
        <v>70</v>
      </c>
      <c r="G142" s="141"/>
      <c r="H142" s="142"/>
      <c r="I142" s="141"/>
      <c r="J142" s="142"/>
      <c r="K142" s="141">
        <f t="shared" si="150"/>
        <v>16</v>
      </c>
      <c r="L142" s="142">
        <f t="shared" si="151"/>
        <v>1120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162" t="str">
        <f t="shared" si="152"/>
        <v> </v>
      </c>
      <c r="X142" s="162" t="str">
        <f t="shared" si="153"/>
        <v> </v>
      </c>
      <c r="Y142" s="162">
        <f t="shared" si="154"/>
        <v>16</v>
      </c>
      <c r="Z142" s="162" t="str">
        <f t="shared" si="155"/>
        <v> </v>
      </c>
      <c r="AA142" s="162" t="str">
        <f t="shared" si="156"/>
        <v> </v>
      </c>
    </row>
    <row r="143" ht="12.75" customHeight="1">
      <c r="A143" s="136">
        <v>2.0</v>
      </c>
      <c r="B143" s="137" t="s">
        <v>5</v>
      </c>
      <c r="C143" s="138">
        <v>0.5</v>
      </c>
      <c r="D143" s="139">
        <v>5.0</v>
      </c>
      <c r="E143" s="140">
        <v>1.0</v>
      </c>
      <c r="F143" s="140">
        <f>'1RM'!$C$5*C143</f>
        <v>50</v>
      </c>
      <c r="G143" s="141"/>
      <c r="H143" s="142"/>
      <c r="I143" s="141">
        <f t="shared" ref="I143:I151" si="157">D143*E143</f>
        <v>5</v>
      </c>
      <c r="J143" s="142">
        <f t="shared" ref="J143:J151" si="158">F143*I143</f>
        <v>250</v>
      </c>
      <c r="K143" s="141"/>
      <c r="L143" s="142"/>
      <c r="M143" s="5"/>
      <c r="N143" s="5"/>
      <c r="O143" s="5"/>
      <c r="P143" s="5"/>
      <c r="Q143" s="5"/>
      <c r="R143" s="143">
        <f t="shared" ref="R143:R152" si="159">IF(ISNUMBER(SEARCH("Press de banca",$B143)),IF($C143&gt;=0.5,IF($C143&lt;0.6,$D143*$E143," ")," ")," ")</f>
        <v>5</v>
      </c>
      <c r="S143" s="143" t="str">
        <f t="shared" ref="S143:S152" si="160">IF(ISNUMBER(SEARCH("Press de banca",$B143)),IF($C143&gt;=0.6,IF($C143&lt;0.7,$D143*$E143," ")," ")," ")</f>
        <v> </v>
      </c>
      <c r="T143" s="143" t="str">
        <f t="shared" ref="T143:T152" si="161">IF(ISNUMBER(SEARCH("Press de banca",$B143)),IF($C143&gt;=0.7,IF($C143&lt;0.8,$D143*$E143," ")," ")," ")</f>
        <v> </v>
      </c>
      <c r="U143" s="143" t="str">
        <f t="shared" ref="U143:U152" si="162">IF(ISNUMBER(SEARCH("Press de banca",$B143)),IF($C143&gt;=0.8,IF($C143&lt;0.9,$D143*$E143," ")," ")," ")</f>
        <v> </v>
      </c>
      <c r="V143" s="143" t="str">
        <f t="shared" ref="V143:V152" si="163">IF(ISNUMBER(SEARCH("Press de banca",$B143)),IF($C143&gt;=0.9,$D143*$E143," ")," ")</f>
        <v> </v>
      </c>
      <c r="W143" s="5"/>
      <c r="X143" s="5"/>
      <c r="Y143" s="5"/>
      <c r="Z143" s="5"/>
      <c r="AA143" s="5"/>
    </row>
    <row r="144" ht="12.75" customHeight="1">
      <c r="A144" s="136"/>
      <c r="B144" s="144" t="s">
        <v>5</v>
      </c>
      <c r="C144" s="138">
        <v>0.6</v>
      </c>
      <c r="D144" s="139">
        <v>4.0</v>
      </c>
      <c r="E144" s="140">
        <v>1.0</v>
      </c>
      <c r="F144" s="140">
        <f>'1RM'!$C$5*C144</f>
        <v>60</v>
      </c>
      <c r="G144" s="141"/>
      <c r="H144" s="142"/>
      <c r="I144" s="141">
        <f t="shared" si="157"/>
        <v>4</v>
      </c>
      <c r="J144" s="142">
        <f t="shared" si="158"/>
        <v>240</v>
      </c>
      <c r="K144" s="141"/>
      <c r="L144" s="142"/>
      <c r="M144" s="5"/>
      <c r="N144" s="5"/>
      <c r="O144" s="5"/>
      <c r="P144" s="5"/>
      <c r="Q144" s="5"/>
      <c r="R144" s="143" t="str">
        <f t="shared" si="159"/>
        <v> </v>
      </c>
      <c r="S144" s="143">
        <f t="shared" si="160"/>
        <v>4</v>
      </c>
      <c r="T144" s="143" t="str">
        <f t="shared" si="161"/>
        <v> </v>
      </c>
      <c r="U144" s="143" t="str">
        <f t="shared" si="162"/>
        <v> </v>
      </c>
      <c r="V144" s="143" t="str">
        <f t="shared" si="163"/>
        <v> </v>
      </c>
      <c r="W144" s="5"/>
      <c r="X144" s="5"/>
      <c r="Y144" s="5"/>
      <c r="Z144" s="5"/>
      <c r="AA144" s="5"/>
    </row>
    <row r="145" ht="12.75" customHeight="1">
      <c r="A145" s="136"/>
      <c r="B145" s="144" t="s">
        <v>5</v>
      </c>
      <c r="C145" s="138">
        <v>0.7</v>
      </c>
      <c r="D145" s="139">
        <v>3.0</v>
      </c>
      <c r="E145" s="140">
        <v>1.0</v>
      </c>
      <c r="F145" s="140">
        <f>'1RM'!$C$5*C145</f>
        <v>70</v>
      </c>
      <c r="G145" s="141"/>
      <c r="H145" s="142"/>
      <c r="I145" s="141">
        <f t="shared" si="157"/>
        <v>3</v>
      </c>
      <c r="J145" s="142">
        <f t="shared" si="158"/>
        <v>210</v>
      </c>
      <c r="K145" s="141"/>
      <c r="L145" s="142"/>
      <c r="M145" s="5"/>
      <c r="N145" s="5"/>
      <c r="O145" s="5"/>
      <c r="P145" s="5"/>
      <c r="Q145" s="5"/>
      <c r="R145" s="143" t="str">
        <f t="shared" si="159"/>
        <v> </v>
      </c>
      <c r="S145" s="143" t="str">
        <f t="shared" si="160"/>
        <v> </v>
      </c>
      <c r="T145" s="143">
        <f t="shared" si="161"/>
        <v>3</v>
      </c>
      <c r="U145" s="143" t="str">
        <f t="shared" si="162"/>
        <v> </v>
      </c>
      <c r="V145" s="143" t="str">
        <f t="shared" si="163"/>
        <v> </v>
      </c>
      <c r="W145" s="5"/>
      <c r="X145" s="5"/>
      <c r="Y145" s="5"/>
      <c r="Z145" s="5"/>
      <c r="AA145" s="5"/>
    </row>
    <row r="146" ht="12.75" customHeight="1">
      <c r="A146" s="136"/>
      <c r="B146" s="144" t="s">
        <v>5</v>
      </c>
      <c r="C146" s="138">
        <v>0.8</v>
      </c>
      <c r="D146" s="139">
        <v>3.0</v>
      </c>
      <c r="E146" s="140">
        <v>2.0</v>
      </c>
      <c r="F146" s="140">
        <f>'1RM'!$C$5*C146</f>
        <v>80</v>
      </c>
      <c r="G146" s="141"/>
      <c r="H146" s="142"/>
      <c r="I146" s="141">
        <f t="shared" si="157"/>
        <v>6</v>
      </c>
      <c r="J146" s="142">
        <f t="shared" si="158"/>
        <v>480</v>
      </c>
      <c r="K146" s="141"/>
      <c r="L146" s="142"/>
      <c r="M146" s="5"/>
      <c r="N146" s="5"/>
      <c r="O146" s="5"/>
      <c r="P146" s="5"/>
      <c r="Q146" s="5"/>
      <c r="R146" s="143" t="str">
        <f t="shared" si="159"/>
        <v> </v>
      </c>
      <c r="S146" s="143" t="str">
        <f t="shared" si="160"/>
        <v> </v>
      </c>
      <c r="T146" s="143" t="str">
        <f t="shared" si="161"/>
        <v> </v>
      </c>
      <c r="U146" s="143">
        <f t="shared" si="162"/>
        <v>6</v>
      </c>
      <c r="V146" s="143" t="str">
        <f t="shared" si="163"/>
        <v> </v>
      </c>
      <c r="W146" s="5"/>
      <c r="X146" s="5"/>
      <c r="Y146" s="5"/>
      <c r="Z146" s="5"/>
      <c r="AA146" s="5"/>
    </row>
    <row r="147" ht="12.75" customHeight="1">
      <c r="A147" s="136"/>
      <c r="B147" s="144" t="s">
        <v>5</v>
      </c>
      <c r="C147" s="138">
        <v>0.85</v>
      </c>
      <c r="D147" s="139">
        <v>2.0</v>
      </c>
      <c r="E147" s="140">
        <v>2.0</v>
      </c>
      <c r="F147" s="140">
        <f>'1RM'!$C$5*C147</f>
        <v>85</v>
      </c>
      <c r="G147" s="141"/>
      <c r="H147" s="142"/>
      <c r="I147" s="141">
        <f t="shared" si="157"/>
        <v>4</v>
      </c>
      <c r="J147" s="142">
        <f t="shared" si="158"/>
        <v>340</v>
      </c>
      <c r="K147" s="141"/>
      <c r="L147" s="142"/>
      <c r="M147" s="5"/>
      <c r="N147" s="5"/>
      <c r="O147" s="5"/>
      <c r="P147" s="5"/>
      <c r="Q147" s="5"/>
      <c r="R147" s="143" t="str">
        <f t="shared" si="159"/>
        <v> </v>
      </c>
      <c r="S147" s="143" t="str">
        <f t="shared" si="160"/>
        <v> </v>
      </c>
      <c r="T147" s="143" t="str">
        <f t="shared" si="161"/>
        <v> </v>
      </c>
      <c r="U147" s="143">
        <f t="shared" si="162"/>
        <v>4</v>
      </c>
      <c r="V147" s="143" t="str">
        <f t="shared" si="163"/>
        <v> </v>
      </c>
      <c r="W147" s="5"/>
      <c r="X147" s="5"/>
      <c r="Y147" s="5"/>
      <c r="Z147" s="5"/>
      <c r="AA147" s="5"/>
    </row>
    <row r="148" ht="12.75" customHeight="1">
      <c r="A148" s="136"/>
      <c r="B148" s="144" t="s">
        <v>5</v>
      </c>
      <c r="C148" s="138">
        <v>0.8</v>
      </c>
      <c r="D148" s="139">
        <v>3.0</v>
      </c>
      <c r="E148" s="140">
        <v>1.0</v>
      </c>
      <c r="F148" s="140">
        <f>'1RM'!$C$5*C148</f>
        <v>80</v>
      </c>
      <c r="G148" s="141"/>
      <c r="H148" s="142"/>
      <c r="I148" s="141">
        <f t="shared" si="157"/>
        <v>3</v>
      </c>
      <c r="J148" s="142">
        <f t="shared" si="158"/>
        <v>240</v>
      </c>
      <c r="K148" s="141"/>
      <c r="L148" s="142"/>
      <c r="M148" s="5"/>
      <c r="N148" s="5"/>
      <c r="O148" s="5"/>
      <c r="P148" s="5"/>
      <c r="Q148" s="5"/>
      <c r="R148" s="143" t="str">
        <f t="shared" si="159"/>
        <v> </v>
      </c>
      <c r="S148" s="143" t="str">
        <f t="shared" si="160"/>
        <v> </v>
      </c>
      <c r="T148" s="143" t="str">
        <f t="shared" si="161"/>
        <v> </v>
      </c>
      <c r="U148" s="143">
        <f t="shared" si="162"/>
        <v>3</v>
      </c>
      <c r="V148" s="143" t="str">
        <f t="shared" si="163"/>
        <v> </v>
      </c>
      <c r="W148" s="5"/>
      <c r="X148" s="5"/>
      <c r="Y148" s="5"/>
      <c r="Z148" s="5"/>
      <c r="AA148" s="5"/>
    </row>
    <row r="149" ht="12.75" customHeight="1">
      <c r="A149" s="136"/>
      <c r="B149" s="144" t="s">
        <v>5</v>
      </c>
      <c r="C149" s="138">
        <v>0.7</v>
      </c>
      <c r="D149" s="139">
        <v>5.0</v>
      </c>
      <c r="E149" s="140">
        <v>1.0</v>
      </c>
      <c r="F149" s="140">
        <f>'1RM'!$C$5*C149</f>
        <v>70</v>
      </c>
      <c r="G149" s="141"/>
      <c r="H149" s="142"/>
      <c r="I149" s="141">
        <f t="shared" si="157"/>
        <v>5</v>
      </c>
      <c r="J149" s="142">
        <f t="shared" si="158"/>
        <v>350</v>
      </c>
      <c r="K149" s="141"/>
      <c r="L149" s="142"/>
      <c r="M149" s="5"/>
      <c r="N149" s="5"/>
      <c r="O149" s="5"/>
      <c r="P149" s="5"/>
      <c r="Q149" s="5"/>
      <c r="R149" s="143" t="str">
        <f t="shared" si="159"/>
        <v> </v>
      </c>
      <c r="S149" s="143" t="str">
        <f t="shared" si="160"/>
        <v> </v>
      </c>
      <c r="T149" s="143">
        <f t="shared" si="161"/>
        <v>5</v>
      </c>
      <c r="U149" s="143" t="str">
        <f t="shared" si="162"/>
        <v> </v>
      </c>
      <c r="V149" s="143" t="str">
        <f t="shared" si="163"/>
        <v> </v>
      </c>
      <c r="W149" s="5"/>
      <c r="X149" s="5"/>
      <c r="Y149" s="5"/>
      <c r="Z149" s="5"/>
      <c r="AA149" s="5"/>
    </row>
    <row r="150" ht="12.75" customHeight="1">
      <c r="A150" s="136"/>
      <c r="B150" s="144" t="s">
        <v>5</v>
      </c>
      <c r="C150" s="138">
        <v>0.6</v>
      </c>
      <c r="D150" s="139">
        <v>7.0</v>
      </c>
      <c r="E150" s="140">
        <v>1.0</v>
      </c>
      <c r="F150" s="140">
        <f>'1RM'!$C$5*C150</f>
        <v>60</v>
      </c>
      <c r="G150" s="141"/>
      <c r="H150" s="142"/>
      <c r="I150" s="141">
        <f t="shared" si="157"/>
        <v>7</v>
      </c>
      <c r="J150" s="142">
        <f t="shared" si="158"/>
        <v>420</v>
      </c>
      <c r="K150" s="141"/>
      <c r="L150" s="142"/>
      <c r="M150" s="5"/>
      <c r="N150" s="5"/>
      <c r="O150" s="5"/>
      <c r="P150" s="5"/>
      <c r="Q150" s="5"/>
      <c r="R150" s="143" t="str">
        <f t="shared" si="159"/>
        <v> </v>
      </c>
      <c r="S150" s="143">
        <f t="shared" si="160"/>
        <v>7</v>
      </c>
      <c r="T150" s="143" t="str">
        <f t="shared" si="161"/>
        <v> </v>
      </c>
      <c r="U150" s="143" t="str">
        <f t="shared" si="162"/>
        <v> </v>
      </c>
      <c r="V150" s="143" t="str">
        <f t="shared" si="163"/>
        <v> </v>
      </c>
      <c r="W150" s="5"/>
      <c r="X150" s="5"/>
      <c r="Y150" s="5"/>
      <c r="Z150" s="5"/>
      <c r="AA150" s="5"/>
    </row>
    <row r="151" ht="12.75" customHeight="1">
      <c r="A151" s="136"/>
      <c r="B151" s="144" t="s">
        <v>5</v>
      </c>
      <c r="C151" s="138">
        <v>0.5</v>
      </c>
      <c r="D151" s="139">
        <v>9.0</v>
      </c>
      <c r="E151" s="140">
        <v>1.0</v>
      </c>
      <c r="F151" s="140">
        <f>'1RM'!$C$5*C151</f>
        <v>50</v>
      </c>
      <c r="G151" s="141"/>
      <c r="H151" s="142"/>
      <c r="I151" s="141">
        <f t="shared" si="157"/>
        <v>9</v>
      </c>
      <c r="J151" s="142">
        <f t="shared" si="158"/>
        <v>450</v>
      </c>
      <c r="K151" s="141"/>
      <c r="L151" s="142"/>
      <c r="M151" s="5"/>
      <c r="N151" s="5"/>
      <c r="O151" s="5"/>
      <c r="P151" s="5"/>
      <c r="Q151" s="5"/>
      <c r="R151" s="143">
        <f t="shared" si="159"/>
        <v>9</v>
      </c>
      <c r="S151" s="143" t="str">
        <f t="shared" si="160"/>
        <v> </v>
      </c>
      <c r="T151" s="143" t="str">
        <f t="shared" si="161"/>
        <v> </v>
      </c>
      <c r="U151" s="143" t="str">
        <f t="shared" si="162"/>
        <v> </v>
      </c>
      <c r="V151" s="143" t="str">
        <f t="shared" si="163"/>
        <v> </v>
      </c>
      <c r="W151" s="5"/>
      <c r="X151" s="5"/>
      <c r="Y151" s="5"/>
      <c r="Z151" s="5"/>
      <c r="AA151" s="5"/>
    </row>
    <row r="152" ht="12.75" customHeight="1">
      <c r="A152" s="157">
        <v>3.0</v>
      </c>
      <c r="B152" s="158" t="s">
        <v>104</v>
      </c>
      <c r="C152" s="159">
        <v>0.5</v>
      </c>
      <c r="D152" s="160">
        <v>4.0</v>
      </c>
      <c r="E152" s="161">
        <v>1.0</v>
      </c>
      <c r="F152" s="161">
        <f>'1RM'!$C$6*C152</f>
        <v>50</v>
      </c>
      <c r="G152" s="141"/>
      <c r="H152" s="142"/>
      <c r="I152" s="141"/>
      <c r="J152" s="142"/>
      <c r="K152" s="141">
        <f t="shared" ref="K152:K155" si="164">D152*E152</f>
        <v>4</v>
      </c>
      <c r="L152" s="142">
        <f t="shared" ref="L152:L155" si="165">F152*K152</f>
        <v>200</v>
      </c>
      <c r="M152" s="5"/>
      <c r="N152" s="5"/>
      <c r="O152" s="5"/>
      <c r="P152" s="5"/>
      <c r="Q152" s="5"/>
      <c r="R152" s="143" t="str">
        <f t="shared" si="159"/>
        <v> </v>
      </c>
      <c r="S152" s="143" t="str">
        <f t="shared" si="160"/>
        <v> </v>
      </c>
      <c r="T152" s="143" t="str">
        <f t="shared" si="161"/>
        <v> </v>
      </c>
      <c r="U152" s="143" t="str">
        <f t="shared" si="162"/>
        <v> </v>
      </c>
      <c r="V152" s="143" t="str">
        <f t="shared" si="163"/>
        <v> </v>
      </c>
      <c r="W152" s="162">
        <f t="shared" ref="W152:W155" si="166">IF(ISNUMBER(SEARCH("Peso muerto",$B152)),IF($C152&gt;=0.5,IF($C152&lt;0.6,$D152*$E152," ")," ")," ")</f>
        <v>4</v>
      </c>
      <c r="X152" s="162" t="str">
        <f t="shared" ref="X152:X155" si="167">IF(ISNUMBER(SEARCH("Peso muerto",$B152)),IF($C152&gt;=0.6,IF($C152&lt;0.7,$D152*$E152," ")," ")," ")</f>
        <v> </v>
      </c>
      <c r="Y152" s="162" t="str">
        <f t="shared" ref="Y152:Y155" si="168">IF(ISNUMBER(SEARCH("Peso muerto",$B152)),IF($C152&gt;=0.7,IF($C152&lt;0.8,$D152*$E152," ")," ")," ")</f>
        <v> </v>
      </c>
      <c r="Z152" s="162" t="str">
        <f t="shared" ref="Z152:Z155" si="169">IF(ISNUMBER(SEARCH("Peso muerto",$B152)),IF($C152&gt;=0.8,IF($C152&lt;0.9,$D152*$E152," ")," ")," ")</f>
        <v> </v>
      </c>
      <c r="AA152" s="162" t="str">
        <f t="shared" ref="AA152:AA155" si="170">IF(ISNUMBER(SEARCH("Peso muerto",$B152)),IF($C152&gt;=0.9,$D152*$E152," ")," ")</f>
        <v> </v>
      </c>
    </row>
    <row r="153" ht="12.75" customHeight="1">
      <c r="A153" s="157"/>
      <c r="B153" s="184" t="s">
        <v>104</v>
      </c>
      <c r="C153" s="159">
        <v>0.6</v>
      </c>
      <c r="D153" s="160">
        <v>4.0</v>
      </c>
      <c r="E153" s="161">
        <v>1.0</v>
      </c>
      <c r="F153" s="161">
        <f>'1RM'!$C$6*C153</f>
        <v>60</v>
      </c>
      <c r="G153" s="141"/>
      <c r="H153" s="142"/>
      <c r="I153" s="141"/>
      <c r="J153" s="142"/>
      <c r="K153" s="141">
        <f t="shared" si="164"/>
        <v>4</v>
      </c>
      <c r="L153" s="142">
        <f t="shared" si="165"/>
        <v>240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162" t="str">
        <f t="shared" si="166"/>
        <v> </v>
      </c>
      <c r="X153" s="162">
        <f t="shared" si="167"/>
        <v>4</v>
      </c>
      <c r="Y153" s="162" t="str">
        <f t="shared" si="168"/>
        <v> </v>
      </c>
      <c r="Z153" s="162" t="str">
        <f t="shared" si="169"/>
        <v> </v>
      </c>
      <c r="AA153" s="162" t="str">
        <f t="shared" si="170"/>
        <v> </v>
      </c>
    </row>
    <row r="154" ht="12.75" customHeight="1">
      <c r="A154" s="157"/>
      <c r="B154" s="184" t="s">
        <v>104</v>
      </c>
      <c r="C154" s="159">
        <v>0.7</v>
      </c>
      <c r="D154" s="160">
        <v>4.0</v>
      </c>
      <c r="E154" s="161">
        <v>1.0</v>
      </c>
      <c r="F154" s="161">
        <f>'1RM'!$C$6*C154</f>
        <v>70</v>
      </c>
      <c r="G154" s="141"/>
      <c r="H154" s="142"/>
      <c r="I154" s="141"/>
      <c r="J154" s="142"/>
      <c r="K154" s="141">
        <f t="shared" si="164"/>
        <v>4</v>
      </c>
      <c r="L154" s="142">
        <f t="shared" si="165"/>
        <v>280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162" t="str">
        <f t="shared" si="166"/>
        <v> </v>
      </c>
      <c r="X154" s="162" t="str">
        <f t="shared" si="167"/>
        <v> </v>
      </c>
      <c r="Y154" s="162">
        <f t="shared" si="168"/>
        <v>4</v>
      </c>
      <c r="Z154" s="162" t="str">
        <f t="shared" si="169"/>
        <v> </v>
      </c>
      <c r="AA154" s="162" t="str">
        <f t="shared" si="170"/>
        <v> </v>
      </c>
    </row>
    <row r="155" ht="12.75" customHeight="1">
      <c r="A155" s="157"/>
      <c r="B155" s="184" t="s">
        <v>105</v>
      </c>
      <c r="C155" s="159">
        <v>0.75</v>
      </c>
      <c r="D155" s="160">
        <v>3.0</v>
      </c>
      <c r="E155" s="161">
        <v>4.0</v>
      </c>
      <c r="F155" s="161">
        <f>'1RM'!$C$6*C155</f>
        <v>75</v>
      </c>
      <c r="G155" s="141"/>
      <c r="H155" s="142"/>
      <c r="I155" s="141"/>
      <c r="J155" s="142"/>
      <c r="K155" s="141">
        <f t="shared" si="164"/>
        <v>12</v>
      </c>
      <c r="L155" s="142">
        <f t="shared" si="165"/>
        <v>900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162" t="str">
        <f t="shared" si="166"/>
        <v> </v>
      </c>
      <c r="X155" s="162" t="str">
        <f t="shared" si="167"/>
        <v> </v>
      </c>
      <c r="Y155" s="162">
        <f t="shared" si="168"/>
        <v>12</v>
      </c>
      <c r="Z155" s="162" t="str">
        <f t="shared" si="169"/>
        <v> </v>
      </c>
      <c r="AA155" s="162" t="str">
        <f t="shared" si="170"/>
        <v> </v>
      </c>
    </row>
    <row r="156" ht="12.75" customHeight="1">
      <c r="A156" s="152">
        <v>4.0</v>
      </c>
      <c r="B156" s="153" t="s">
        <v>83</v>
      </c>
      <c r="C156" s="154"/>
      <c r="D156" s="156">
        <v>6.0</v>
      </c>
      <c r="E156" s="156">
        <v>5.0</v>
      </c>
      <c r="F156" s="156"/>
      <c r="G156" s="141"/>
      <c r="H156" s="142"/>
      <c r="I156" s="141"/>
      <c r="J156" s="142"/>
      <c r="K156" s="141"/>
      <c r="L156" s="142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152">
        <v>5.0</v>
      </c>
      <c r="B157" s="153" t="s">
        <v>60</v>
      </c>
      <c r="C157" s="154"/>
      <c r="D157" s="155">
        <v>6.0</v>
      </c>
      <c r="E157" s="156">
        <v>5.0</v>
      </c>
      <c r="F157" s="156"/>
      <c r="G157" s="141"/>
      <c r="H157" s="142"/>
      <c r="I157" s="141"/>
      <c r="J157" s="142"/>
      <c r="K157" s="141"/>
      <c r="L157" s="142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152">
        <v>6.0</v>
      </c>
      <c r="B158" s="153" t="s">
        <v>56</v>
      </c>
      <c r="C158" s="154"/>
      <c r="D158" s="155">
        <v>10.0</v>
      </c>
      <c r="E158" s="156">
        <v>4.0</v>
      </c>
      <c r="F158" s="156"/>
      <c r="G158" s="141"/>
      <c r="H158" s="142"/>
      <c r="I158" s="141"/>
      <c r="J158" s="142"/>
      <c r="K158" s="141"/>
      <c r="L158" s="142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33"/>
      <c r="B159" s="134"/>
      <c r="C159" s="133"/>
      <c r="D159" s="42"/>
      <c r="E159" s="42"/>
      <c r="F159" s="42"/>
      <c r="G159" s="141"/>
      <c r="H159" s="142"/>
      <c r="I159" s="141"/>
      <c r="J159" s="142"/>
      <c r="K159" s="141"/>
      <c r="L159" s="142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33" t="s">
        <v>62</v>
      </c>
      <c r="B160" s="134"/>
      <c r="C160" s="135" t="s">
        <v>20</v>
      </c>
      <c r="D160" s="45" t="s">
        <v>51</v>
      </c>
      <c r="E160" s="45" t="s">
        <v>52</v>
      </c>
      <c r="F160" s="45" t="s">
        <v>53</v>
      </c>
      <c r="G160" s="141"/>
      <c r="H160" s="142"/>
      <c r="I160" s="141"/>
      <c r="J160" s="142"/>
      <c r="K160" s="141"/>
      <c r="L160" s="142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145">
        <v>1.0</v>
      </c>
      <c r="B161" s="146" t="s">
        <v>4</v>
      </c>
      <c r="C161" s="147">
        <v>0.5</v>
      </c>
      <c r="D161" s="148">
        <v>5.0</v>
      </c>
      <c r="E161" s="149">
        <v>1.0</v>
      </c>
      <c r="F161" s="149">
        <f>'1RM'!$C$4*C161</f>
        <v>50</v>
      </c>
      <c r="G161" s="141">
        <f t="shared" ref="G161:G168" si="171">D161*E161</f>
        <v>5</v>
      </c>
      <c r="H161" s="142">
        <f t="shared" ref="H161:H168" si="172">F161*G161</f>
        <v>250</v>
      </c>
      <c r="I161" s="141"/>
      <c r="J161" s="142"/>
      <c r="K161" s="141"/>
      <c r="L161" s="142"/>
      <c r="M161" s="150">
        <f t="shared" ref="M161:M168" si="173">IF(ISNUMBER(SEARCH("Sentadilla",$B161)),IF($C161&gt;=0.5,IF($C161&lt;0.6,$D161*$E161," ")," ")," ")</f>
        <v>5</v>
      </c>
      <c r="N161" s="150" t="str">
        <f t="shared" ref="N161:N168" si="174">IF(ISNUMBER(SEARCH("Sentadilla",$B161)),IF($C161&gt;=0.6,IF($C161&lt;0.7,$D161*$E161," ")," ")," ")</f>
        <v> </v>
      </c>
      <c r="O161" s="150" t="str">
        <f t="shared" ref="O161:O168" si="175">IF(ISNUMBER(SEARCH("Sentadilla",$B161)),IF($C161&gt;=0.7,IF($C161&lt;0.8,$D161*$E161," ")," ")," ")</f>
        <v> </v>
      </c>
      <c r="P161" s="150" t="str">
        <f t="shared" ref="P161:P168" si="176">IF(ISNUMBER(SEARCH("Sentadilla",$B161)),IF($C161&gt;=0.8,IF($C161&lt;0.9,$D161*$E161," ")," ")," ")</f>
        <v> </v>
      </c>
      <c r="Q161" s="150" t="str">
        <f t="shared" ref="Q161:Q168" si="177">IF(ISNUMBER(SEARCH("Sentadilla",$B161)),IF($C161&gt;=0.9,$D161*$E161," ")," ")</f>
        <v> </v>
      </c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145"/>
      <c r="B162" s="151" t="s">
        <v>4</v>
      </c>
      <c r="C162" s="147">
        <v>0.6</v>
      </c>
      <c r="D162" s="148">
        <v>5.0</v>
      </c>
      <c r="E162" s="149">
        <v>1.0</v>
      </c>
      <c r="F162" s="149">
        <f>'1RM'!$C$4*C162</f>
        <v>60</v>
      </c>
      <c r="G162" s="141">
        <f t="shared" si="171"/>
        <v>5</v>
      </c>
      <c r="H162" s="142">
        <f t="shared" si="172"/>
        <v>300</v>
      </c>
      <c r="I162" s="141"/>
      <c r="J162" s="142"/>
      <c r="K162" s="141"/>
      <c r="L162" s="142"/>
      <c r="M162" s="150" t="str">
        <f t="shared" si="173"/>
        <v> </v>
      </c>
      <c r="N162" s="150">
        <f t="shared" si="174"/>
        <v>5</v>
      </c>
      <c r="O162" s="150" t="str">
        <f t="shared" si="175"/>
        <v> </v>
      </c>
      <c r="P162" s="150" t="str">
        <f t="shared" si="176"/>
        <v> </v>
      </c>
      <c r="Q162" s="150" t="str">
        <f t="shared" si="177"/>
        <v> </v>
      </c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145"/>
      <c r="B163" s="151" t="s">
        <v>4</v>
      </c>
      <c r="C163" s="147">
        <v>0.65</v>
      </c>
      <c r="D163" s="148">
        <v>10.0</v>
      </c>
      <c r="E163" s="149">
        <v>1.0</v>
      </c>
      <c r="F163" s="149">
        <f>'1RM'!$C$4*C163</f>
        <v>65</v>
      </c>
      <c r="G163" s="141">
        <f t="shared" si="171"/>
        <v>10</v>
      </c>
      <c r="H163" s="142">
        <f t="shared" si="172"/>
        <v>650</v>
      </c>
      <c r="I163" s="141"/>
      <c r="J163" s="142"/>
      <c r="K163" s="141"/>
      <c r="L163" s="142"/>
      <c r="M163" s="150" t="str">
        <f t="shared" si="173"/>
        <v> </v>
      </c>
      <c r="N163" s="150">
        <f t="shared" si="174"/>
        <v>10</v>
      </c>
      <c r="O163" s="150" t="str">
        <f t="shared" si="175"/>
        <v> </v>
      </c>
      <c r="P163" s="150" t="str">
        <f t="shared" si="176"/>
        <v> </v>
      </c>
      <c r="Q163" s="150" t="str">
        <f t="shared" si="177"/>
        <v> </v>
      </c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145"/>
      <c r="B164" s="151" t="s">
        <v>4</v>
      </c>
      <c r="C164" s="147">
        <v>0.65</v>
      </c>
      <c r="D164" s="148">
        <v>7.0</v>
      </c>
      <c r="E164" s="149">
        <v>1.0</v>
      </c>
      <c r="F164" s="149">
        <f>'1RM'!$C$4*C164</f>
        <v>65</v>
      </c>
      <c r="G164" s="141">
        <f t="shared" si="171"/>
        <v>7</v>
      </c>
      <c r="H164" s="142">
        <f t="shared" si="172"/>
        <v>455</v>
      </c>
      <c r="I164" s="141"/>
      <c r="J164" s="142"/>
      <c r="K164" s="141"/>
      <c r="L164" s="142"/>
      <c r="M164" s="150" t="str">
        <f t="shared" si="173"/>
        <v> </v>
      </c>
      <c r="N164" s="150">
        <f t="shared" si="174"/>
        <v>7</v>
      </c>
      <c r="O164" s="150" t="str">
        <f t="shared" si="175"/>
        <v> </v>
      </c>
      <c r="P164" s="150" t="str">
        <f t="shared" si="176"/>
        <v> </v>
      </c>
      <c r="Q164" s="150" t="str">
        <f t="shared" si="177"/>
        <v> </v>
      </c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145"/>
      <c r="B165" s="151" t="s">
        <v>4</v>
      </c>
      <c r="C165" s="147">
        <v>0.65</v>
      </c>
      <c r="D165" s="148">
        <v>10.0</v>
      </c>
      <c r="E165" s="149">
        <v>1.0</v>
      </c>
      <c r="F165" s="149">
        <f>'1RM'!$C$4*C165</f>
        <v>65</v>
      </c>
      <c r="G165" s="141">
        <f t="shared" si="171"/>
        <v>10</v>
      </c>
      <c r="H165" s="142">
        <f t="shared" si="172"/>
        <v>650</v>
      </c>
      <c r="I165" s="141"/>
      <c r="J165" s="142"/>
      <c r="K165" s="141"/>
      <c r="L165" s="142"/>
      <c r="M165" s="150" t="str">
        <f t="shared" si="173"/>
        <v> </v>
      </c>
      <c r="N165" s="150">
        <f t="shared" si="174"/>
        <v>10</v>
      </c>
      <c r="O165" s="150" t="str">
        <f t="shared" si="175"/>
        <v> </v>
      </c>
      <c r="P165" s="150" t="str">
        <f t="shared" si="176"/>
        <v> </v>
      </c>
      <c r="Q165" s="150" t="str">
        <f t="shared" si="177"/>
        <v> </v>
      </c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2.75" customHeight="1">
      <c r="A166" s="145"/>
      <c r="B166" s="151" t="s">
        <v>4</v>
      </c>
      <c r="C166" s="147">
        <v>0.65</v>
      </c>
      <c r="D166" s="148">
        <v>7.0</v>
      </c>
      <c r="E166" s="149">
        <v>1.0</v>
      </c>
      <c r="F166" s="149">
        <f>'1RM'!$C$4*C166</f>
        <v>65</v>
      </c>
      <c r="G166" s="141">
        <f t="shared" si="171"/>
        <v>7</v>
      </c>
      <c r="H166" s="142">
        <f t="shared" si="172"/>
        <v>455</v>
      </c>
      <c r="I166" s="141"/>
      <c r="J166" s="142"/>
      <c r="K166" s="141"/>
      <c r="L166" s="142"/>
      <c r="M166" s="150" t="str">
        <f t="shared" si="173"/>
        <v> </v>
      </c>
      <c r="N166" s="150">
        <f t="shared" si="174"/>
        <v>7</v>
      </c>
      <c r="O166" s="150" t="str">
        <f t="shared" si="175"/>
        <v> </v>
      </c>
      <c r="P166" s="150" t="str">
        <f t="shared" si="176"/>
        <v> </v>
      </c>
      <c r="Q166" s="150" t="str">
        <f t="shared" si="177"/>
        <v> </v>
      </c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2.75" customHeight="1">
      <c r="A167" s="145"/>
      <c r="B167" s="151" t="s">
        <v>4</v>
      </c>
      <c r="C167" s="147">
        <v>0.65</v>
      </c>
      <c r="D167" s="148">
        <v>10.0</v>
      </c>
      <c r="E167" s="149">
        <v>1.0</v>
      </c>
      <c r="F167" s="149">
        <f>'1RM'!$C$4*C167</f>
        <v>65</v>
      </c>
      <c r="G167" s="141">
        <f t="shared" si="171"/>
        <v>10</v>
      </c>
      <c r="H167" s="142">
        <f t="shared" si="172"/>
        <v>650</v>
      </c>
      <c r="I167" s="141"/>
      <c r="J167" s="142"/>
      <c r="K167" s="141"/>
      <c r="L167" s="142"/>
      <c r="M167" s="150" t="str">
        <f t="shared" si="173"/>
        <v> </v>
      </c>
      <c r="N167" s="150">
        <f t="shared" si="174"/>
        <v>10</v>
      </c>
      <c r="O167" s="150" t="str">
        <f t="shared" si="175"/>
        <v> </v>
      </c>
      <c r="P167" s="150" t="str">
        <f t="shared" si="176"/>
        <v> </v>
      </c>
      <c r="Q167" s="150" t="str">
        <f t="shared" si="177"/>
        <v> </v>
      </c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145"/>
      <c r="B168" s="151" t="s">
        <v>4</v>
      </c>
      <c r="C168" s="147">
        <v>0.65</v>
      </c>
      <c r="D168" s="148">
        <v>7.0</v>
      </c>
      <c r="E168" s="149">
        <v>1.0</v>
      </c>
      <c r="F168" s="149">
        <f>'1RM'!$C$4*C168</f>
        <v>65</v>
      </c>
      <c r="G168" s="141">
        <f t="shared" si="171"/>
        <v>7</v>
      </c>
      <c r="H168" s="142">
        <f t="shared" si="172"/>
        <v>455</v>
      </c>
      <c r="I168" s="141"/>
      <c r="J168" s="142"/>
      <c r="K168" s="141"/>
      <c r="L168" s="142"/>
      <c r="M168" s="150" t="str">
        <f t="shared" si="173"/>
        <v> </v>
      </c>
      <c r="N168" s="150">
        <f t="shared" si="174"/>
        <v>7</v>
      </c>
      <c r="O168" s="150" t="str">
        <f t="shared" si="175"/>
        <v> </v>
      </c>
      <c r="P168" s="150" t="str">
        <f t="shared" si="176"/>
        <v> </v>
      </c>
      <c r="Q168" s="150" t="str">
        <f t="shared" si="177"/>
        <v> </v>
      </c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2.75" customHeight="1">
      <c r="A169" s="136">
        <v>2.0</v>
      </c>
      <c r="B169" s="137" t="s">
        <v>5</v>
      </c>
      <c r="C169" s="138">
        <v>0.5</v>
      </c>
      <c r="D169" s="139">
        <v>5.0</v>
      </c>
      <c r="E169" s="140">
        <v>1.0</v>
      </c>
      <c r="F169" s="140">
        <f>'1RM'!$C$5*C169</f>
        <v>50</v>
      </c>
      <c r="G169" s="141"/>
      <c r="H169" s="142"/>
      <c r="I169" s="141">
        <f t="shared" ref="I169:I172" si="178">D169*E169</f>
        <v>5</v>
      </c>
      <c r="J169" s="142">
        <f t="shared" ref="J169:J172" si="179">F169*I169</f>
        <v>250</v>
      </c>
      <c r="K169" s="141"/>
      <c r="L169" s="142"/>
      <c r="M169" s="5"/>
      <c r="N169" s="5"/>
      <c r="O169" s="5"/>
      <c r="P169" s="5"/>
      <c r="Q169" s="5"/>
      <c r="R169" s="143">
        <f t="shared" ref="R169:R172" si="180">IF(ISNUMBER(SEARCH("Press de banca",$B169)),IF($C169&gt;=0.5,IF($C169&lt;0.6,$D169*$E169," ")," ")," ")</f>
        <v>5</v>
      </c>
      <c r="S169" s="143" t="str">
        <f t="shared" ref="S169:S172" si="181">IF(ISNUMBER(SEARCH("Press de banca",$B169)),IF($C169&gt;=0.6,IF($C169&lt;0.7,$D169*$E169," ")," ")," ")</f>
        <v> </v>
      </c>
      <c r="T169" s="143" t="str">
        <f t="shared" ref="T169:T172" si="182">IF(ISNUMBER(SEARCH("Press de banca",$B169)),IF($C169&gt;=0.7,IF($C169&lt;0.8,$D169*$E169," ")," ")," ")</f>
        <v> </v>
      </c>
      <c r="U169" s="143" t="str">
        <f t="shared" ref="U169:U172" si="183">IF(ISNUMBER(SEARCH("Press de banca",$B169)),IF($C169&gt;=0.8,IF($C169&lt;0.9,$D169*$E169," ")," ")," ")</f>
        <v> </v>
      </c>
      <c r="V169" s="143" t="str">
        <f t="shared" ref="V169:V172" si="184">IF(ISNUMBER(SEARCH("Press de banca",$B169)),IF($C169&gt;=0.9,$D169*$E169," ")," ")</f>
        <v> </v>
      </c>
      <c r="W169" s="5"/>
      <c r="X169" s="5"/>
      <c r="Y169" s="5"/>
      <c r="Z169" s="5"/>
      <c r="AA169" s="5"/>
    </row>
    <row r="170" ht="12.75" customHeight="1">
      <c r="A170" s="136"/>
      <c r="B170" s="144" t="s">
        <v>5</v>
      </c>
      <c r="C170" s="138">
        <v>0.6</v>
      </c>
      <c r="D170" s="139">
        <v>4.0</v>
      </c>
      <c r="E170" s="140">
        <v>1.0</v>
      </c>
      <c r="F170" s="140">
        <f>'1RM'!$C$5*C170</f>
        <v>60</v>
      </c>
      <c r="G170" s="141"/>
      <c r="H170" s="142"/>
      <c r="I170" s="141">
        <f t="shared" si="178"/>
        <v>4</v>
      </c>
      <c r="J170" s="142">
        <f t="shared" si="179"/>
        <v>240</v>
      </c>
      <c r="K170" s="141"/>
      <c r="L170" s="142"/>
      <c r="M170" s="5"/>
      <c r="N170" s="5"/>
      <c r="O170" s="5"/>
      <c r="P170" s="5"/>
      <c r="Q170" s="5"/>
      <c r="R170" s="143" t="str">
        <f t="shared" si="180"/>
        <v> </v>
      </c>
      <c r="S170" s="143">
        <f t="shared" si="181"/>
        <v>4</v>
      </c>
      <c r="T170" s="143" t="str">
        <f t="shared" si="182"/>
        <v> </v>
      </c>
      <c r="U170" s="143" t="str">
        <f t="shared" si="183"/>
        <v> </v>
      </c>
      <c r="V170" s="143" t="str">
        <f t="shared" si="184"/>
        <v> </v>
      </c>
      <c r="W170" s="5"/>
      <c r="X170" s="5"/>
      <c r="Y170" s="5"/>
      <c r="Z170" s="5"/>
      <c r="AA170" s="5"/>
    </row>
    <row r="171" ht="12.75" customHeight="1">
      <c r="A171" s="136"/>
      <c r="B171" s="144" t="s">
        <v>5</v>
      </c>
      <c r="C171" s="138">
        <v>0.7</v>
      </c>
      <c r="D171" s="139">
        <v>3.0</v>
      </c>
      <c r="E171" s="140">
        <v>1.0</v>
      </c>
      <c r="F171" s="140">
        <f>'1RM'!$C$5*C171</f>
        <v>70</v>
      </c>
      <c r="G171" s="141"/>
      <c r="H171" s="142"/>
      <c r="I171" s="141">
        <f t="shared" si="178"/>
        <v>3</v>
      </c>
      <c r="J171" s="142">
        <f t="shared" si="179"/>
        <v>210</v>
      </c>
      <c r="K171" s="141"/>
      <c r="L171" s="142"/>
      <c r="M171" s="5"/>
      <c r="N171" s="5"/>
      <c r="O171" s="5"/>
      <c r="P171" s="5"/>
      <c r="Q171" s="5"/>
      <c r="R171" s="143" t="str">
        <f t="shared" si="180"/>
        <v> </v>
      </c>
      <c r="S171" s="143" t="str">
        <f t="shared" si="181"/>
        <v> </v>
      </c>
      <c r="T171" s="143">
        <f t="shared" si="182"/>
        <v>3</v>
      </c>
      <c r="U171" s="143" t="str">
        <f t="shared" si="183"/>
        <v> </v>
      </c>
      <c r="V171" s="143" t="str">
        <f t="shared" si="184"/>
        <v> </v>
      </c>
      <c r="W171" s="5"/>
      <c r="X171" s="5"/>
      <c r="Y171" s="5"/>
      <c r="Z171" s="5"/>
      <c r="AA171" s="5"/>
    </row>
    <row r="172" ht="12.75" customHeight="1">
      <c r="A172" s="136"/>
      <c r="B172" s="144" t="s">
        <v>5</v>
      </c>
      <c r="C172" s="138">
        <v>0.8</v>
      </c>
      <c r="D172" s="139">
        <v>5.0</v>
      </c>
      <c r="E172" s="140">
        <v>5.0</v>
      </c>
      <c r="F172" s="140">
        <f>'1RM'!$C$5*C172</f>
        <v>80</v>
      </c>
      <c r="G172" s="141"/>
      <c r="H172" s="142"/>
      <c r="I172" s="141">
        <f t="shared" si="178"/>
        <v>25</v>
      </c>
      <c r="J172" s="142">
        <f t="shared" si="179"/>
        <v>2000</v>
      </c>
      <c r="K172" s="141"/>
      <c r="L172" s="142"/>
      <c r="M172" s="5"/>
      <c r="N172" s="5"/>
      <c r="O172" s="5"/>
      <c r="P172" s="5"/>
      <c r="Q172" s="5"/>
      <c r="R172" s="143" t="str">
        <f t="shared" si="180"/>
        <v> </v>
      </c>
      <c r="S172" s="143" t="str">
        <f t="shared" si="181"/>
        <v> </v>
      </c>
      <c r="T172" s="143" t="str">
        <f t="shared" si="182"/>
        <v> </v>
      </c>
      <c r="U172" s="143">
        <f t="shared" si="183"/>
        <v>25</v>
      </c>
      <c r="V172" s="143" t="str">
        <f t="shared" si="184"/>
        <v> </v>
      </c>
      <c r="W172" s="5"/>
      <c r="X172" s="5"/>
      <c r="Y172" s="5"/>
      <c r="Z172" s="5"/>
      <c r="AA172" s="5"/>
    </row>
    <row r="173" ht="12.75" customHeight="1">
      <c r="A173" s="152">
        <v>3.0</v>
      </c>
      <c r="B173" s="153" t="s">
        <v>69</v>
      </c>
      <c r="C173" s="154"/>
      <c r="D173" s="155">
        <v>4.0</v>
      </c>
      <c r="E173" s="156">
        <v>5.0</v>
      </c>
      <c r="F173" s="156"/>
      <c r="G173" s="141"/>
      <c r="H173" s="142"/>
      <c r="I173" s="141"/>
      <c r="J173" s="142"/>
      <c r="K173" s="141"/>
      <c r="L173" s="142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2.75" customHeight="1">
      <c r="A174" s="152">
        <v>4.0</v>
      </c>
      <c r="B174" s="153" t="s">
        <v>55</v>
      </c>
      <c r="C174" s="154"/>
      <c r="D174" s="155">
        <v>6.0</v>
      </c>
      <c r="E174" s="156">
        <v>4.0</v>
      </c>
      <c r="F174" s="156"/>
      <c r="G174" s="141"/>
      <c r="H174" s="142"/>
      <c r="I174" s="141"/>
      <c r="J174" s="142"/>
      <c r="K174" s="141"/>
      <c r="L174" s="142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2.75" customHeight="1">
      <c r="A175" s="152">
        <v>5.0</v>
      </c>
      <c r="B175" s="153" t="s">
        <v>65</v>
      </c>
      <c r="C175" s="154"/>
      <c r="D175" s="155">
        <v>8.0</v>
      </c>
      <c r="E175" s="156">
        <v>4.0</v>
      </c>
      <c r="F175" s="156"/>
      <c r="G175" s="141"/>
      <c r="H175" s="142"/>
      <c r="I175" s="141"/>
      <c r="J175" s="142"/>
      <c r="K175" s="141"/>
      <c r="L175" s="142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2.75" customHeight="1">
      <c r="A176" s="33"/>
      <c r="B176" s="134"/>
      <c r="C176" s="135"/>
      <c r="D176" s="45"/>
      <c r="E176" s="45"/>
      <c r="F176" s="45"/>
      <c r="G176" s="141"/>
      <c r="H176" s="142"/>
      <c r="I176" s="141"/>
      <c r="J176" s="142"/>
      <c r="K176" s="141"/>
      <c r="L176" s="142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2.75" customHeight="1">
      <c r="A177" s="33" t="s">
        <v>66</v>
      </c>
      <c r="B177" s="134"/>
      <c r="C177" s="135" t="s">
        <v>20</v>
      </c>
      <c r="D177" s="45" t="s">
        <v>51</v>
      </c>
      <c r="E177" s="45" t="s">
        <v>52</v>
      </c>
      <c r="F177" s="45" t="s">
        <v>53</v>
      </c>
      <c r="G177" s="141"/>
      <c r="H177" s="142"/>
      <c r="I177" s="141"/>
      <c r="J177" s="142"/>
      <c r="K177" s="141"/>
      <c r="L177" s="142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2.75" customHeight="1">
      <c r="A178" s="157">
        <v>1.0</v>
      </c>
      <c r="B178" s="158" t="s">
        <v>59</v>
      </c>
      <c r="C178" s="159">
        <v>0.5</v>
      </c>
      <c r="D178" s="160">
        <v>3.0</v>
      </c>
      <c r="E178" s="161">
        <v>1.0</v>
      </c>
      <c r="F178" s="161">
        <f>'1RM'!$C$6*C178</f>
        <v>50</v>
      </c>
      <c r="G178" s="141"/>
      <c r="H178" s="142"/>
      <c r="I178" s="141"/>
      <c r="J178" s="142"/>
      <c r="K178" s="141">
        <f t="shared" ref="K178:K181" si="185">D178*E178</f>
        <v>3</v>
      </c>
      <c r="L178" s="142">
        <f t="shared" ref="L178:L181" si="186">F178*K178</f>
        <v>150</v>
      </c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162">
        <f t="shared" ref="W178:W181" si="187">IF(ISNUMBER(SEARCH("Peso muerto",$B178)),IF($C178&gt;=0.5,IF($C178&lt;0.6,$D178*$E178," ")," ")," ")</f>
        <v>3</v>
      </c>
      <c r="X178" s="162" t="str">
        <f t="shared" ref="X178:X181" si="188">IF(ISNUMBER(SEARCH("Peso muerto",$B178)),IF($C178&gt;=0.6,IF($C178&lt;0.7,$D178*$E178," ")," ")," ")</f>
        <v> </v>
      </c>
      <c r="Y178" s="162" t="str">
        <f t="shared" ref="Y178:Y181" si="189">IF(ISNUMBER(SEARCH("Peso muerto",$B178)),IF($C178&gt;=0.7,IF($C178&lt;0.8,$D178*$E178," ")," ")," ")</f>
        <v> </v>
      </c>
      <c r="Z178" s="162" t="str">
        <f t="shared" ref="Z178:Z181" si="190">IF(ISNUMBER(SEARCH("Peso muerto",$B178)),IF($C178&gt;=0.8,IF($C178&lt;0.9,$D178*$E178," ")," ")," ")</f>
        <v> </v>
      </c>
      <c r="AA178" s="162" t="str">
        <f t="shared" ref="AA178:AA181" si="191">IF(ISNUMBER(SEARCH("Peso muerto",$B178)),IF($C178&gt;=0.9,$D178*$E178," ")," ")</f>
        <v> </v>
      </c>
    </row>
    <row r="179" ht="12.75" customHeight="1">
      <c r="A179" s="157"/>
      <c r="B179" s="163" t="s">
        <v>59</v>
      </c>
      <c r="C179" s="159">
        <v>0.6</v>
      </c>
      <c r="D179" s="160">
        <v>3.0</v>
      </c>
      <c r="E179" s="161">
        <v>1.0</v>
      </c>
      <c r="F179" s="161">
        <f>'1RM'!$C$6*C179</f>
        <v>60</v>
      </c>
      <c r="G179" s="141"/>
      <c r="H179" s="142"/>
      <c r="I179" s="141"/>
      <c r="J179" s="142"/>
      <c r="K179" s="141">
        <f t="shared" si="185"/>
        <v>3</v>
      </c>
      <c r="L179" s="142">
        <f t="shared" si="186"/>
        <v>180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162" t="str">
        <f t="shared" si="187"/>
        <v> </v>
      </c>
      <c r="X179" s="162">
        <f t="shared" si="188"/>
        <v>3</v>
      </c>
      <c r="Y179" s="162" t="str">
        <f t="shared" si="189"/>
        <v> </v>
      </c>
      <c r="Z179" s="162" t="str">
        <f t="shared" si="190"/>
        <v> </v>
      </c>
      <c r="AA179" s="162" t="str">
        <f t="shared" si="191"/>
        <v> </v>
      </c>
    </row>
    <row r="180" ht="12.75" customHeight="1">
      <c r="A180" s="157"/>
      <c r="B180" s="163" t="s">
        <v>59</v>
      </c>
      <c r="C180" s="159">
        <v>0.7</v>
      </c>
      <c r="D180" s="160">
        <v>3.0</v>
      </c>
      <c r="E180" s="161">
        <v>1.0</v>
      </c>
      <c r="F180" s="161">
        <f>'1RM'!$C$6*C180</f>
        <v>70</v>
      </c>
      <c r="G180" s="141"/>
      <c r="H180" s="142"/>
      <c r="I180" s="141"/>
      <c r="J180" s="142"/>
      <c r="K180" s="141">
        <f t="shared" si="185"/>
        <v>3</v>
      </c>
      <c r="L180" s="142">
        <f t="shared" si="186"/>
        <v>210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162" t="str">
        <f t="shared" si="187"/>
        <v> </v>
      </c>
      <c r="X180" s="162" t="str">
        <f t="shared" si="188"/>
        <v> </v>
      </c>
      <c r="Y180" s="162">
        <f t="shared" si="189"/>
        <v>3</v>
      </c>
      <c r="Z180" s="162" t="str">
        <f t="shared" si="190"/>
        <v> </v>
      </c>
      <c r="AA180" s="162" t="str">
        <f t="shared" si="191"/>
        <v> </v>
      </c>
    </row>
    <row r="181" ht="12.75" customHeight="1">
      <c r="A181" s="157"/>
      <c r="B181" s="163" t="s">
        <v>59</v>
      </c>
      <c r="C181" s="159">
        <v>0.75</v>
      </c>
      <c r="D181" s="160">
        <v>2.0</v>
      </c>
      <c r="E181" s="161">
        <v>4.0</v>
      </c>
      <c r="F181" s="161">
        <f>'1RM'!$C$6*C181</f>
        <v>75</v>
      </c>
      <c r="G181" s="141"/>
      <c r="H181" s="142"/>
      <c r="I181" s="141"/>
      <c r="J181" s="142"/>
      <c r="K181" s="141">
        <f t="shared" si="185"/>
        <v>8</v>
      </c>
      <c r="L181" s="142">
        <f t="shared" si="186"/>
        <v>600</v>
      </c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162" t="str">
        <f t="shared" si="187"/>
        <v> </v>
      </c>
      <c r="X181" s="162" t="str">
        <f t="shared" si="188"/>
        <v> </v>
      </c>
      <c r="Y181" s="162">
        <f t="shared" si="189"/>
        <v>8</v>
      </c>
      <c r="Z181" s="162" t="str">
        <f t="shared" si="190"/>
        <v> </v>
      </c>
      <c r="AA181" s="162" t="str">
        <f t="shared" si="191"/>
        <v> </v>
      </c>
    </row>
    <row r="182" ht="12.75" customHeight="1">
      <c r="A182" s="136">
        <v>2.0</v>
      </c>
      <c r="B182" s="137" t="s">
        <v>89</v>
      </c>
      <c r="C182" s="138">
        <v>0.5</v>
      </c>
      <c r="D182" s="139">
        <v>4.0</v>
      </c>
      <c r="E182" s="140">
        <v>1.0</v>
      </c>
      <c r="F182" s="140">
        <f>'1RM'!$C$5*C182</f>
        <v>50</v>
      </c>
      <c r="G182" s="141"/>
      <c r="H182" s="142"/>
      <c r="I182" s="141">
        <f t="shared" ref="I182:I184" si="192">D182*E182</f>
        <v>4</v>
      </c>
      <c r="J182" s="142">
        <f t="shared" ref="J182:J184" si="193">F182*I182</f>
        <v>200</v>
      </c>
      <c r="K182" s="141"/>
      <c r="L182" s="142"/>
      <c r="M182" s="5"/>
      <c r="N182" s="5"/>
      <c r="O182" s="5"/>
      <c r="P182" s="5"/>
      <c r="Q182" s="5"/>
      <c r="R182" s="143">
        <f t="shared" ref="R182:R184" si="194">IF(ISNUMBER(SEARCH("Press de banca",$B182)),IF($C182&gt;=0.5,IF($C182&lt;0.6,$D182*$E182," ")," ")," ")</f>
        <v>4</v>
      </c>
      <c r="S182" s="143" t="str">
        <f t="shared" ref="S182:S184" si="195">IF(ISNUMBER(SEARCH("Press de banca",$B182)),IF($C182&gt;=0.6,IF($C182&lt;0.7,$D182*$E182," ")," ")," ")</f>
        <v> </v>
      </c>
      <c r="T182" s="143" t="str">
        <f t="shared" ref="T182:T184" si="196">IF(ISNUMBER(SEARCH("Press de banca",$B182)),IF($C182&gt;=0.7,IF($C182&lt;0.8,$D182*$E182," ")," ")," ")</f>
        <v> </v>
      </c>
      <c r="U182" s="143" t="str">
        <f t="shared" ref="U182:U184" si="197">IF(ISNUMBER(SEARCH("Press de banca",$B182)),IF($C182&gt;=0.8,IF($C182&lt;0.9,$D182*$E182," ")," ")," ")</f>
        <v> </v>
      </c>
      <c r="V182" s="143" t="str">
        <f t="shared" ref="V182:V184" si="198">IF(ISNUMBER(SEARCH("Press de banca",$B182)),IF($C182&gt;=0.9,$D182*$E182," ")," ")</f>
        <v> </v>
      </c>
      <c r="W182" s="5"/>
      <c r="X182" s="5"/>
      <c r="Y182" s="5"/>
      <c r="Z182" s="5"/>
      <c r="AA182" s="5"/>
    </row>
    <row r="183" ht="12.75" customHeight="1">
      <c r="A183" s="136"/>
      <c r="B183" s="144" t="s">
        <v>89</v>
      </c>
      <c r="C183" s="138">
        <v>0.6</v>
      </c>
      <c r="D183" s="139">
        <v>4.0</v>
      </c>
      <c r="E183" s="140">
        <v>1.0</v>
      </c>
      <c r="F183" s="140">
        <f>'1RM'!$C$5*C183</f>
        <v>60</v>
      </c>
      <c r="G183" s="141"/>
      <c r="H183" s="142"/>
      <c r="I183" s="141">
        <f t="shared" si="192"/>
        <v>4</v>
      </c>
      <c r="J183" s="142">
        <f t="shared" si="193"/>
        <v>240</v>
      </c>
      <c r="K183" s="141"/>
      <c r="L183" s="142"/>
      <c r="M183" s="5"/>
      <c r="N183" s="5"/>
      <c r="O183" s="5"/>
      <c r="P183" s="5"/>
      <c r="Q183" s="5"/>
      <c r="R183" s="143" t="str">
        <f t="shared" si="194"/>
        <v> </v>
      </c>
      <c r="S183" s="143">
        <f t="shared" si="195"/>
        <v>4</v>
      </c>
      <c r="T183" s="143" t="str">
        <f t="shared" si="196"/>
        <v> </v>
      </c>
      <c r="U183" s="143" t="str">
        <f t="shared" si="197"/>
        <v> </v>
      </c>
      <c r="V183" s="143" t="str">
        <f t="shared" si="198"/>
        <v> </v>
      </c>
      <c r="W183" s="5"/>
      <c r="X183" s="5"/>
      <c r="Y183" s="5"/>
      <c r="Z183" s="5"/>
      <c r="AA183" s="5"/>
    </row>
    <row r="184" ht="12.75" customHeight="1">
      <c r="A184" s="136"/>
      <c r="B184" s="144" t="s">
        <v>89</v>
      </c>
      <c r="C184" s="138">
        <v>0.7</v>
      </c>
      <c r="D184" s="139">
        <v>4.0</v>
      </c>
      <c r="E184" s="140">
        <v>4.0</v>
      </c>
      <c r="F184" s="140">
        <f>'1RM'!$C$5*C184</f>
        <v>70</v>
      </c>
      <c r="G184" s="141"/>
      <c r="H184" s="142"/>
      <c r="I184" s="141">
        <f t="shared" si="192"/>
        <v>16</v>
      </c>
      <c r="J184" s="142">
        <f t="shared" si="193"/>
        <v>1120</v>
      </c>
      <c r="K184" s="141"/>
      <c r="L184" s="142"/>
      <c r="M184" s="5"/>
      <c r="N184" s="5"/>
      <c r="O184" s="5"/>
      <c r="P184" s="5"/>
      <c r="Q184" s="5"/>
      <c r="R184" s="143" t="str">
        <f t="shared" si="194"/>
        <v> </v>
      </c>
      <c r="S184" s="143" t="str">
        <f t="shared" si="195"/>
        <v> </v>
      </c>
      <c r="T184" s="143">
        <f t="shared" si="196"/>
        <v>16</v>
      </c>
      <c r="U184" s="143" t="str">
        <f t="shared" si="197"/>
        <v> </v>
      </c>
      <c r="V184" s="143" t="str">
        <f t="shared" si="198"/>
        <v> </v>
      </c>
      <c r="W184" s="5"/>
      <c r="X184" s="5"/>
      <c r="Y184" s="5"/>
      <c r="Z184" s="5"/>
      <c r="AA184" s="5"/>
    </row>
    <row r="185" ht="12.75" customHeight="1">
      <c r="A185" s="152">
        <v>3.0</v>
      </c>
      <c r="B185" s="153" t="s">
        <v>61</v>
      </c>
      <c r="C185" s="154"/>
      <c r="D185" s="155">
        <v>5.0</v>
      </c>
      <c r="E185" s="156">
        <v>5.0</v>
      </c>
      <c r="F185" s="156"/>
      <c r="G185" s="141"/>
      <c r="H185" s="142"/>
      <c r="I185" s="141"/>
      <c r="J185" s="142"/>
      <c r="K185" s="141"/>
      <c r="L185" s="142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2.75" customHeight="1">
      <c r="A186" s="152">
        <v>4.0</v>
      </c>
      <c r="B186" s="153" t="s">
        <v>70</v>
      </c>
      <c r="C186" s="154"/>
      <c r="D186" s="155">
        <v>6.0</v>
      </c>
      <c r="E186" s="156">
        <v>5.0</v>
      </c>
      <c r="F186" s="156"/>
      <c r="G186" s="141"/>
      <c r="H186" s="142"/>
      <c r="I186" s="141"/>
      <c r="J186" s="142"/>
      <c r="K186" s="141"/>
      <c r="L186" s="142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2.75" customHeight="1">
      <c r="A187" s="169"/>
      <c r="B187" s="170"/>
      <c r="C187" s="171"/>
      <c r="D187" s="172"/>
      <c r="E187" s="172"/>
      <c r="F187" s="172"/>
      <c r="G187" s="173">
        <f t="shared" ref="G187:AA187" si="199">SUM(G125:G186)</f>
        <v>98</v>
      </c>
      <c r="H187" s="174">
        <f t="shared" si="199"/>
        <v>6565</v>
      </c>
      <c r="I187" s="173">
        <f t="shared" si="199"/>
        <v>163</v>
      </c>
      <c r="J187" s="174">
        <f t="shared" si="199"/>
        <v>11340</v>
      </c>
      <c r="K187" s="173">
        <f t="shared" si="199"/>
        <v>65</v>
      </c>
      <c r="L187" s="174">
        <f t="shared" si="199"/>
        <v>4320</v>
      </c>
      <c r="M187" s="172">
        <f t="shared" si="199"/>
        <v>10</v>
      </c>
      <c r="N187" s="172">
        <f t="shared" si="199"/>
        <v>60</v>
      </c>
      <c r="O187" s="169">
        <f t="shared" si="199"/>
        <v>3</v>
      </c>
      <c r="P187" s="169">
        <f t="shared" si="199"/>
        <v>25</v>
      </c>
      <c r="Q187" s="172">
        <f t="shared" si="199"/>
        <v>0</v>
      </c>
      <c r="R187" s="175">
        <f t="shared" si="199"/>
        <v>28</v>
      </c>
      <c r="S187" s="175">
        <f t="shared" si="199"/>
        <v>27</v>
      </c>
      <c r="T187" s="175">
        <f t="shared" si="199"/>
        <v>34</v>
      </c>
      <c r="U187" s="175">
        <f t="shared" si="199"/>
        <v>74</v>
      </c>
      <c r="V187" s="175">
        <f t="shared" si="199"/>
        <v>0</v>
      </c>
      <c r="W187" s="175">
        <f t="shared" si="199"/>
        <v>11</v>
      </c>
      <c r="X187" s="175">
        <f t="shared" si="199"/>
        <v>11</v>
      </c>
      <c r="Y187" s="175">
        <f t="shared" si="199"/>
        <v>43</v>
      </c>
      <c r="Z187" s="175">
        <f t="shared" si="199"/>
        <v>0</v>
      </c>
      <c r="AA187" s="175">
        <f t="shared" si="199"/>
        <v>0</v>
      </c>
    </row>
    <row r="188" ht="12.75" customHeight="1">
      <c r="A188" s="33" t="s">
        <v>24</v>
      </c>
      <c r="B188" s="33"/>
      <c r="C188" s="133"/>
      <c r="D188" s="42"/>
      <c r="E188" s="42"/>
      <c r="F188" s="42"/>
      <c r="G188" s="141"/>
      <c r="H188" s="142"/>
      <c r="I188" s="141"/>
      <c r="J188" s="142"/>
      <c r="K188" s="141"/>
      <c r="L188" s="142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2.75" customHeight="1">
      <c r="A189" s="33" t="s">
        <v>50</v>
      </c>
      <c r="B189" s="134"/>
      <c r="C189" s="135" t="s">
        <v>20</v>
      </c>
      <c r="D189" s="45" t="s">
        <v>51</v>
      </c>
      <c r="E189" s="45" t="s">
        <v>52</v>
      </c>
      <c r="F189" s="45" t="s">
        <v>53</v>
      </c>
      <c r="G189" s="141"/>
      <c r="H189" s="142"/>
      <c r="I189" s="141"/>
      <c r="J189" s="142"/>
      <c r="K189" s="141"/>
      <c r="L189" s="142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2.75" customHeight="1">
      <c r="A190" s="136">
        <v>1.0</v>
      </c>
      <c r="B190" s="137" t="s">
        <v>85</v>
      </c>
      <c r="C190" s="138">
        <v>0.55</v>
      </c>
      <c r="D190" s="139">
        <v>3.0</v>
      </c>
      <c r="E190" s="140">
        <v>1.0</v>
      </c>
      <c r="F190" s="140">
        <f>'1RM'!$C$5*C190</f>
        <v>55</v>
      </c>
      <c r="G190" s="141"/>
      <c r="H190" s="142"/>
      <c r="I190" s="141">
        <f t="shared" ref="I190:I194" si="200">D190*E190</f>
        <v>3</v>
      </c>
      <c r="J190" s="142">
        <f t="shared" ref="J190:J194" si="201">F190*I190</f>
        <v>165</v>
      </c>
      <c r="K190" s="141"/>
      <c r="L190" s="142"/>
      <c r="M190" s="5"/>
      <c r="N190" s="5"/>
      <c r="O190" s="5"/>
      <c r="P190" s="5"/>
      <c r="Q190" s="5"/>
      <c r="R190" s="143">
        <f t="shared" ref="R190:R194" si="202">IF(ISNUMBER(SEARCH("Press de banca",$B190)),IF($C190&gt;=0.5,IF($C190&lt;0.6,$D190*$E190," ")," ")," ")</f>
        <v>3</v>
      </c>
      <c r="S190" s="143" t="str">
        <f t="shared" ref="S190:S194" si="203">IF(ISNUMBER(SEARCH("Press de banca",$B190)),IF($C190&gt;=0.6,IF($C190&lt;0.7,$D190*$E190," ")," ")," ")</f>
        <v> </v>
      </c>
      <c r="T190" s="143" t="str">
        <f t="shared" ref="T190:T194" si="204">IF(ISNUMBER(SEARCH("Press de banca",$B190)),IF($C190&gt;=0.7,IF($C190&lt;0.8,$D190*$E190," ")," ")," ")</f>
        <v> </v>
      </c>
      <c r="U190" s="143" t="str">
        <f t="shared" ref="U190:U194" si="205">IF(ISNUMBER(SEARCH("Press de banca",$B190)),IF($C190&gt;=0.8,IF($C190&lt;0.9,$D190*$E190," ")," ")," ")</f>
        <v> </v>
      </c>
      <c r="V190" s="143" t="str">
        <f t="shared" ref="V190:V194" si="206">IF(ISNUMBER(SEARCH("Press de banca",$B190)),IF($C190&gt;=0.9,$D190*$E190," ")," ")</f>
        <v> </v>
      </c>
      <c r="W190" s="5"/>
      <c r="X190" s="5"/>
      <c r="Y190" s="5"/>
      <c r="Z190" s="5"/>
      <c r="AA190" s="5"/>
    </row>
    <row r="191" ht="12.75" customHeight="1">
      <c r="A191" s="136"/>
      <c r="B191" s="144" t="s">
        <v>85</v>
      </c>
      <c r="C191" s="138">
        <v>0.65</v>
      </c>
      <c r="D191" s="139">
        <v>3.0</v>
      </c>
      <c r="E191" s="140">
        <v>1.0</v>
      </c>
      <c r="F191" s="140">
        <f>'1RM'!$C$5*C191</f>
        <v>65</v>
      </c>
      <c r="G191" s="141"/>
      <c r="H191" s="142"/>
      <c r="I191" s="141">
        <f t="shared" si="200"/>
        <v>3</v>
      </c>
      <c r="J191" s="142">
        <f t="shared" si="201"/>
        <v>195</v>
      </c>
      <c r="K191" s="141"/>
      <c r="L191" s="142"/>
      <c r="M191" s="5"/>
      <c r="N191" s="5"/>
      <c r="O191" s="5"/>
      <c r="P191" s="5"/>
      <c r="Q191" s="5"/>
      <c r="R191" s="143" t="str">
        <f t="shared" si="202"/>
        <v> </v>
      </c>
      <c r="S191" s="143">
        <f t="shared" si="203"/>
        <v>3</v>
      </c>
      <c r="T191" s="143" t="str">
        <f t="shared" si="204"/>
        <v> </v>
      </c>
      <c r="U191" s="143" t="str">
        <f t="shared" si="205"/>
        <v> </v>
      </c>
      <c r="V191" s="143" t="str">
        <f t="shared" si="206"/>
        <v> </v>
      </c>
      <c r="W191" s="5"/>
      <c r="X191" s="5"/>
      <c r="Y191" s="5"/>
      <c r="Z191" s="5"/>
      <c r="AA191" s="5"/>
    </row>
    <row r="192" ht="12.75" customHeight="1">
      <c r="A192" s="136"/>
      <c r="B192" s="144" t="s">
        <v>85</v>
      </c>
      <c r="C192" s="138">
        <v>0.75</v>
      </c>
      <c r="D192" s="139">
        <v>3.0</v>
      </c>
      <c r="E192" s="140">
        <v>1.0</v>
      </c>
      <c r="F192" s="140">
        <f>'1RM'!$C$5*C192</f>
        <v>75</v>
      </c>
      <c r="G192" s="141"/>
      <c r="H192" s="142"/>
      <c r="I192" s="141">
        <f t="shared" si="200"/>
        <v>3</v>
      </c>
      <c r="J192" s="142">
        <f t="shared" si="201"/>
        <v>225</v>
      </c>
      <c r="K192" s="141"/>
      <c r="L192" s="142"/>
      <c r="M192" s="5"/>
      <c r="N192" s="5"/>
      <c r="O192" s="5"/>
      <c r="P192" s="5"/>
      <c r="Q192" s="5"/>
      <c r="R192" s="143" t="str">
        <f t="shared" si="202"/>
        <v> </v>
      </c>
      <c r="S192" s="143" t="str">
        <f t="shared" si="203"/>
        <v> </v>
      </c>
      <c r="T192" s="143">
        <f t="shared" si="204"/>
        <v>3</v>
      </c>
      <c r="U192" s="143" t="str">
        <f t="shared" si="205"/>
        <v> </v>
      </c>
      <c r="V192" s="143" t="str">
        <f t="shared" si="206"/>
        <v> </v>
      </c>
      <c r="W192" s="5"/>
      <c r="X192" s="5"/>
      <c r="Y192" s="5"/>
      <c r="Z192" s="5"/>
      <c r="AA192" s="5"/>
    </row>
    <row r="193" ht="12.75" customHeight="1">
      <c r="A193" s="136"/>
      <c r="B193" s="144" t="s">
        <v>85</v>
      </c>
      <c r="C193" s="138">
        <v>0.85</v>
      </c>
      <c r="D193" s="139">
        <v>3.0</v>
      </c>
      <c r="E193" s="140">
        <v>2.0</v>
      </c>
      <c r="F193" s="140">
        <f>'1RM'!$C$5*C193</f>
        <v>85</v>
      </c>
      <c r="G193" s="141"/>
      <c r="H193" s="142"/>
      <c r="I193" s="141">
        <f t="shared" si="200"/>
        <v>6</v>
      </c>
      <c r="J193" s="142">
        <f t="shared" si="201"/>
        <v>510</v>
      </c>
      <c r="K193" s="141"/>
      <c r="L193" s="142"/>
      <c r="M193" s="5"/>
      <c r="N193" s="5"/>
      <c r="O193" s="5"/>
      <c r="P193" s="5"/>
      <c r="Q193" s="5"/>
      <c r="R193" s="143" t="str">
        <f t="shared" si="202"/>
        <v> </v>
      </c>
      <c r="S193" s="143" t="str">
        <f t="shared" si="203"/>
        <v> </v>
      </c>
      <c r="T193" s="143" t="str">
        <f t="shared" si="204"/>
        <v> </v>
      </c>
      <c r="U193" s="143">
        <f t="shared" si="205"/>
        <v>6</v>
      </c>
      <c r="V193" s="143" t="str">
        <f t="shared" si="206"/>
        <v> </v>
      </c>
      <c r="W193" s="5"/>
      <c r="X193" s="5"/>
      <c r="Y193" s="5"/>
      <c r="Z193" s="5"/>
      <c r="AA193" s="5"/>
    </row>
    <row r="194" ht="12.75" customHeight="1">
      <c r="A194" s="136"/>
      <c r="B194" s="144" t="s">
        <v>85</v>
      </c>
      <c r="C194" s="138">
        <v>0.9</v>
      </c>
      <c r="D194" s="139">
        <v>2.0</v>
      </c>
      <c r="E194" s="140">
        <v>3.0</v>
      </c>
      <c r="F194" s="140">
        <f>'1RM'!$C$5*C194</f>
        <v>90</v>
      </c>
      <c r="G194" s="141"/>
      <c r="H194" s="142"/>
      <c r="I194" s="141">
        <f t="shared" si="200"/>
        <v>6</v>
      </c>
      <c r="J194" s="142">
        <f t="shared" si="201"/>
        <v>540</v>
      </c>
      <c r="K194" s="141"/>
      <c r="L194" s="142"/>
      <c r="M194" s="5"/>
      <c r="N194" s="5"/>
      <c r="O194" s="5"/>
      <c r="P194" s="5"/>
      <c r="Q194" s="5"/>
      <c r="R194" s="143" t="str">
        <f t="shared" si="202"/>
        <v> </v>
      </c>
      <c r="S194" s="143" t="str">
        <f t="shared" si="203"/>
        <v> </v>
      </c>
      <c r="T194" s="143" t="str">
        <f t="shared" si="204"/>
        <v> </v>
      </c>
      <c r="U194" s="143" t="str">
        <f t="shared" si="205"/>
        <v> </v>
      </c>
      <c r="V194" s="143">
        <f t="shared" si="206"/>
        <v>6</v>
      </c>
      <c r="W194" s="5"/>
      <c r="X194" s="5"/>
      <c r="Y194" s="5"/>
      <c r="Z194" s="5"/>
      <c r="AA194" s="5"/>
    </row>
    <row r="195" ht="12.75" customHeight="1">
      <c r="A195" s="145">
        <v>2.0</v>
      </c>
      <c r="B195" s="146" t="s">
        <v>4</v>
      </c>
      <c r="C195" s="147">
        <v>0.5</v>
      </c>
      <c r="D195" s="148">
        <v>5.0</v>
      </c>
      <c r="E195" s="149">
        <v>1.0</v>
      </c>
      <c r="F195" s="149">
        <f>'1RM'!$C$4*C195</f>
        <v>50</v>
      </c>
      <c r="G195" s="141">
        <f t="shared" ref="G195:G200" si="207">D195*E195</f>
        <v>5</v>
      </c>
      <c r="H195" s="142">
        <f t="shared" ref="H195:H200" si="208">F195*G195</f>
        <v>250</v>
      </c>
      <c r="I195" s="141"/>
      <c r="J195" s="142"/>
      <c r="K195" s="141"/>
      <c r="L195" s="142"/>
      <c r="M195" s="150">
        <f t="shared" ref="M195:M200" si="209">IF(ISNUMBER(SEARCH("Sentadilla",$B195)),IF($C195&gt;=0.5,IF($C195&lt;0.6,$D195*$E195," ")," ")," ")</f>
        <v>5</v>
      </c>
      <c r="N195" s="150" t="str">
        <f t="shared" ref="N195:N200" si="210">IF(ISNUMBER(SEARCH("Sentadilla",$B195)),IF($C195&gt;=0.6,IF($C195&lt;0.7,$D195*$E195," ")," ")," ")</f>
        <v> </v>
      </c>
      <c r="O195" s="150" t="str">
        <f t="shared" ref="O195:O200" si="211">IF(ISNUMBER(SEARCH("Sentadilla",$B195)),IF($C195&gt;=0.7,IF($C195&lt;0.8,$D195*$E195," ")," ")," ")</f>
        <v> </v>
      </c>
      <c r="P195" s="150" t="str">
        <f t="shared" ref="P195:P200" si="212">IF(ISNUMBER(SEARCH("Sentadilla",$B195)),IF($C195&gt;=0.8,IF($C195&lt;0.9,$D195*$E195," ")," ")," ")</f>
        <v> </v>
      </c>
      <c r="Q195" s="150" t="str">
        <f t="shared" ref="Q195:Q200" si="213">IF(ISNUMBER(SEARCH("Sentadilla",$B195)),IF($C195&gt;=0.9,$D195*$E195," ")," ")</f>
        <v> </v>
      </c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2.75" customHeight="1">
      <c r="A196" s="145"/>
      <c r="B196" s="151" t="s">
        <v>4</v>
      </c>
      <c r="C196" s="147">
        <v>0.6</v>
      </c>
      <c r="D196" s="148">
        <v>4.0</v>
      </c>
      <c r="E196" s="149">
        <v>1.0</v>
      </c>
      <c r="F196" s="149">
        <f>'1RM'!$C$4*C196</f>
        <v>60</v>
      </c>
      <c r="G196" s="141">
        <f t="shared" si="207"/>
        <v>4</v>
      </c>
      <c r="H196" s="142">
        <f t="shared" si="208"/>
        <v>240</v>
      </c>
      <c r="I196" s="141"/>
      <c r="J196" s="142"/>
      <c r="K196" s="141"/>
      <c r="L196" s="142"/>
      <c r="M196" s="150" t="str">
        <f t="shared" si="209"/>
        <v> </v>
      </c>
      <c r="N196" s="150">
        <f t="shared" si="210"/>
        <v>4</v>
      </c>
      <c r="O196" s="150" t="str">
        <f t="shared" si="211"/>
        <v> </v>
      </c>
      <c r="P196" s="150" t="str">
        <f t="shared" si="212"/>
        <v> </v>
      </c>
      <c r="Q196" s="150" t="str">
        <f t="shared" si="213"/>
        <v> </v>
      </c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2.75" customHeight="1">
      <c r="A197" s="145"/>
      <c r="B197" s="151" t="s">
        <v>4</v>
      </c>
      <c r="C197" s="147">
        <v>0.7</v>
      </c>
      <c r="D197" s="148">
        <v>3.0</v>
      </c>
      <c r="E197" s="149">
        <v>1.0</v>
      </c>
      <c r="F197" s="149">
        <f>'1RM'!$C$4*C197</f>
        <v>70</v>
      </c>
      <c r="G197" s="141">
        <f t="shared" si="207"/>
        <v>3</v>
      </c>
      <c r="H197" s="142">
        <f t="shared" si="208"/>
        <v>210</v>
      </c>
      <c r="I197" s="141"/>
      <c r="J197" s="142"/>
      <c r="K197" s="141"/>
      <c r="L197" s="142"/>
      <c r="M197" s="150" t="str">
        <f t="shared" si="209"/>
        <v> </v>
      </c>
      <c r="N197" s="150" t="str">
        <f t="shared" si="210"/>
        <v> </v>
      </c>
      <c r="O197" s="150">
        <f t="shared" si="211"/>
        <v>3</v>
      </c>
      <c r="P197" s="150" t="str">
        <f t="shared" si="212"/>
        <v> </v>
      </c>
      <c r="Q197" s="150" t="str">
        <f t="shared" si="213"/>
        <v> </v>
      </c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2.75" customHeight="1">
      <c r="A198" s="145"/>
      <c r="B198" s="151" t="s">
        <v>4</v>
      </c>
      <c r="C198" s="147">
        <v>0.8</v>
      </c>
      <c r="D198" s="148">
        <v>3.0</v>
      </c>
      <c r="E198" s="149">
        <v>2.0</v>
      </c>
      <c r="F198" s="149">
        <f>'1RM'!$C$4*C198</f>
        <v>80</v>
      </c>
      <c r="G198" s="141">
        <f t="shared" si="207"/>
        <v>6</v>
      </c>
      <c r="H198" s="142">
        <f t="shared" si="208"/>
        <v>480</v>
      </c>
      <c r="I198" s="141"/>
      <c r="J198" s="142"/>
      <c r="K198" s="141"/>
      <c r="L198" s="142"/>
      <c r="M198" s="150" t="str">
        <f t="shared" si="209"/>
        <v> </v>
      </c>
      <c r="N198" s="150" t="str">
        <f t="shared" si="210"/>
        <v> </v>
      </c>
      <c r="O198" s="150" t="str">
        <f t="shared" si="211"/>
        <v> </v>
      </c>
      <c r="P198" s="150">
        <f t="shared" si="212"/>
        <v>6</v>
      </c>
      <c r="Q198" s="150" t="str">
        <f t="shared" si="213"/>
        <v> </v>
      </c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2.75" customHeight="1">
      <c r="A199" s="145"/>
      <c r="B199" s="151" t="s">
        <v>4</v>
      </c>
      <c r="C199" s="147">
        <v>0.85</v>
      </c>
      <c r="D199" s="148">
        <v>2.0</v>
      </c>
      <c r="E199" s="149">
        <v>2.0</v>
      </c>
      <c r="F199" s="149">
        <f>'1RM'!$C$4*C199</f>
        <v>85</v>
      </c>
      <c r="G199" s="141">
        <f t="shared" si="207"/>
        <v>4</v>
      </c>
      <c r="H199" s="142">
        <f t="shared" si="208"/>
        <v>340</v>
      </c>
      <c r="I199" s="141"/>
      <c r="J199" s="142"/>
      <c r="K199" s="141"/>
      <c r="L199" s="142"/>
      <c r="M199" s="150" t="str">
        <f t="shared" si="209"/>
        <v> </v>
      </c>
      <c r="N199" s="150" t="str">
        <f t="shared" si="210"/>
        <v> </v>
      </c>
      <c r="O199" s="150" t="str">
        <f t="shared" si="211"/>
        <v> </v>
      </c>
      <c r="P199" s="150">
        <f t="shared" si="212"/>
        <v>4</v>
      </c>
      <c r="Q199" s="150" t="str">
        <f t="shared" si="213"/>
        <v> </v>
      </c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2.75" customHeight="1">
      <c r="A200" s="145"/>
      <c r="B200" s="151" t="s">
        <v>4</v>
      </c>
      <c r="C200" s="147">
        <v>0.8</v>
      </c>
      <c r="D200" s="148">
        <v>3.0</v>
      </c>
      <c r="E200" s="149">
        <v>2.0</v>
      </c>
      <c r="F200" s="149">
        <f>'1RM'!$C$4*C200</f>
        <v>80</v>
      </c>
      <c r="G200" s="141">
        <f t="shared" si="207"/>
        <v>6</v>
      </c>
      <c r="H200" s="142">
        <f t="shared" si="208"/>
        <v>480</v>
      </c>
      <c r="I200" s="141"/>
      <c r="J200" s="142"/>
      <c r="K200" s="141"/>
      <c r="L200" s="142"/>
      <c r="M200" s="150" t="str">
        <f t="shared" si="209"/>
        <v> </v>
      </c>
      <c r="N200" s="150" t="str">
        <f t="shared" si="210"/>
        <v> </v>
      </c>
      <c r="O200" s="150" t="str">
        <f t="shared" si="211"/>
        <v> </v>
      </c>
      <c r="P200" s="150">
        <f t="shared" si="212"/>
        <v>6</v>
      </c>
      <c r="Q200" s="150" t="str">
        <f t="shared" si="213"/>
        <v> </v>
      </c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2.75" customHeight="1">
      <c r="A201" s="136">
        <v>3.0</v>
      </c>
      <c r="B201" s="137" t="s">
        <v>106</v>
      </c>
      <c r="C201" s="138">
        <v>0.5</v>
      </c>
      <c r="D201" s="139">
        <v>4.0</v>
      </c>
      <c r="E201" s="140">
        <v>1.0</v>
      </c>
      <c r="F201" s="140">
        <f>'1RM'!$C$5*C201</f>
        <v>50</v>
      </c>
      <c r="G201" s="141"/>
      <c r="H201" s="142"/>
      <c r="I201" s="141">
        <f t="shared" ref="I201:I203" si="214">D201*E201</f>
        <v>4</v>
      </c>
      <c r="J201" s="142">
        <f t="shared" ref="J201:J203" si="215">F201*I201</f>
        <v>200</v>
      </c>
      <c r="K201" s="141"/>
      <c r="L201" s="142"/>
      <c r="M201" s="5"/>
      <c r="N201" s="5"/>
      <c r="O201" s="5"/>
      <c r="P201" s="5"/>
      <c r="Q201" s="5"/>
      <c r="R201" s="143">
        <f t="shared" ref="R201:R203" si="216">IF(ISNUMBER(SEARCH("Press de banca",$B201)),IF($C201&gt;=0.5,IF($C201&lt;0.6,$D201*$E201," ")," ")," ")</f>
        <v>4</v>
      </c>
      <c r="S201" s="143" t="str">
        <f t="shared" ref="S201:S203" si="217">IF(ISNUMBER(SEARCH("Press de banca",$B201)),IF($C201&gt;=0.6,IF($C201&lt;0.7,$D201*$E201," ")," ")," ")</f>
        <v> </v>
      </c>
      <c r="T201" s="143" t="str">
        <f t="shared" ref="T201:T203" si="218">IF(ISNUMBER(SEARCH("Press de banca",$B201)),IF($C201&gt;=0.7,IF($C201&lt;0.8,$D201*$E201," ")," ")," ")</f>
        <v> </v>
      </c>
      <c r="U201" s="143" t="str">
        <f t="shared" ref="U201:U203" si="219">IF(ISNUMBER(SEARCH("Press de banca",$B201)),IF($C201&gt;=0.8,IF($C201&lt;0.9,$D201*$E201," ")," ")," ")</f>
        <v> </v>
      </c>
      <c r="V201" s="143" t="str">
        <f t="shared" ref="V201:V203" si="220">IF(ISNUMBER(SEARCH("Press de banca",$B201)),IF($C201&gt;=0.9,$D201*$E201," ")," ")</f>
        <v> </v>
      </c>
      <c r="W201" s="5"/>
      <c r="X201" s="5"/>
      <c r="Y201" s="5"/>
      <c r="Z201" s="5"/>
      <c r="AA201" s="5"/>
    </row>
    <row r="202" ht="12.75" customHeight="1">
      <c r="A202" s="136"/>
      <c r="B202" s="144" t="s">
        <v>106</v>
      </c>
      <c r="C202" s="138">
        <v>0.6</v>
      </c>
      <c r="D202" s="139">
        <v>4.0</v>
      </c>
      <c r="E202" s="140">
        <v>1.0</v>
      </c>
      <c r="F202" s="140">
        <f>'1RM'!$C$5*C202</f>
        <v>60</v>
      </c>
      <c r="G202" s="141"/>
      <c r="H202" s="142"/>
      <c r="I202" s="141">
        <f t="shared" si="214"/>
        <v>4</v>
      </c>
      <c r="J202" s="142">
        <f t="shared" si="215"/>
        <v>240</v>
      </c>
      <c r="K202" s="141"/>
      <c r="L202" s="142"/>
      <c r="M202" s="5"/>
      <c r="N202" s="5"/>
      <c r="O202" s="5"/>
      <c r="P202" s="5"/>
      <c r="Q202" s="5"/>
      <c r="R202" s="143" t="str">
        <f t="shared" si="216"/>
        <v> </v>
      </c>
      <c r="S202" s="143">
        <f t="shared" si="217"/>
        <v>4</v>
      </c>
      <c r="T202" s="143" t="str">
        <f t="shared" si="218"/>
        <v> </v>
      </c>
      <c r="U202" s="143" t="str">
        <f t="shared" si="219"/>
        <v> </v>
      </c>
      <c r="V202" s="143" t="str">
        <f t="shared" si="220"/>
        <v> </v>
      </c>
      <c r="W202" s="5"/>
      <c r="X202" s="5"/>
      <c r="Y202" s="5"/>
      <c r="Z202" s="5"/>
      <c r="AA202" s="5"/>
    </row>
    <row r="203" ht="12.75" customHeight="1">
      <c r="A203" s="136"/>
      <c r="B203" s="144" t="s">
        <v>106</v>
      </c>
      <c r="C203" s="138">
        <v>0.7</v>
      </c>
      <c r="D203" s="139">
        <v>4.0</v>
      </c>
      <c r="E203" s="140">
        <v>5.0</v>
      </c>
      <c r="F203" s="140">
        <f>'1RM'!$C$5*C203</f>
        <v>70</v>
      </c>
      <c r="G203" s="141"/>
      <c r="H203" s="142"/>
      <c r="I203" s="141">
        <f t="shared" si="214"/>
        <v>20</v>
      </c>
      <c r="J203" s="142">
        <f t="shared" si="215"/>
        <v>1400</v>
      </c>
      <c r="K203" s="141"/>
      <c r="L203" s="142"/>
      <c r="M203" s="5"/>
      <c r="N203" s="5"/>
      <c r="O203" s="5"/>
      <c r="P203" s="5"/>
      <c r="Q203" s="5"/>
      <c r="R203" s="143" t="str">
        <f t="shared" si="216"/>
        <v> </v>
      </c>
      <c r="S203" s="143" t="str">
        <f t="shared" si="217"/>
        <v> </v>
      </c>
      <c r="T203" s="143">
        <f t="shared" si="218"/>
        <v>20</v>
      </c>
      <c r="U203" s="143" t="str">
        <f t="shared" si="219"/>
        <v> </v>
      </c>
      <c r="V203" s="143" t="str">
        <f t="shared" si="220"/>
        <v> </v>
      </c>
      <c r="W203" s="5"/>
      <c r="X203" s="5"/>
      <c r="Y203" s="5"/>
      <c r="Z203" s="5"/>
      <c r="AA203" s="5"/>
    </row>
    <row r="204" ht="12.75" customHeight="1">
      <c r="A204" s="164">
        <v>4.0</v>
      </c>
      <c r="B204" s="165" t="s">
        <v>55</v>
      </c>
      <c r="C204" s="166"/>
      <c r="D204" s="167">
        <v>6.0</v>
      </c>
      <c r="E204" s="168">
        <v>4.0</v>
      </c>
      <c r="F204" s="168"/>
      <c r="G204" s="141"/>
      <c r="H204" s="142"/>
      <c r="I204" s="141"/>
      <c r="J204" s="142"/>
      <c r="K204" s="141"/>
      <c r="L204" s="142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2.75" customHeight="1">
      <c r="A205" s="164">
        <v>5.0</v>
      </c>
      <c r="B205" s="165" t="s">
        <v>56</v>
      </c>
      <c r="C205" s="166"/>
      <c r="D205" s="167">
        <v>10.0</v>
      </c>
      <c r="E205" s="168">
        <v>3.0</v>
      </c>
      <c r="F205" s="168"/>
      <c r="G205" s="141"/>
      <c r="H205" s="142"/>
      <c r="I205" s="141"/>
      <c r="J205" s="142"/>
      <c r="K205" s="141"/>
      <c r="L205" s="142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2.75" customHeight="1">
      <c r="A206" s="33"/>
      <c r="B206" s="134"/>
      <c r="C206" s="133"/>
      <c r="D206" s="42"/>
      <c r="E206" s="42"/>
      <c r="F206" s="42"/>
      <c r="G206" s="141"/>
      <c r="H206" s="142"/>
      <c r="I206" s="141"/>
      <c r="J206" s="142"/>
      <c r="K206" s="141"/>
      <c r="L206" s="142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2.75" customHeight="1">
      <c r="A207" s="33" t="s">
        <v>57</v>
      </c>
      <c r="B207" s="134"/>
      <c r="C207" s="135" t="s">
        <v>20</v>
      </c>
      <c r="D207" s="45" t="s">
        <v>51</v>
      </c>
      <c r="E207" s="45" t="s">
        <v>52</v>
      </c>
      <c r="F207" s="45" t="s">
        <v>53</v>
      </c>
      <c r="G207" s="141"/>
      <c r="H207" s="142"/>
      <c r="I207" s="141"/>
      <c r="J207" s="142"/>
      <c r="K207" s="141"/>
      <c r="L207" s="142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2.75" customHeight="1">
      <c r="A208" s="157">
        <v>1.0</v>
      </c>
      <c r="B208" s="158" t="s">
        <v>59</v>
      </c>
      <c r="C208" s="159">
        <v>0.5</v>
      </c>
      <c r="D208" s="160">
        <v>3.0</v>
      </c>
      <c r="E208" s="161">
        <v>1.0</v>
      </c>
      <c r="F208" s="161">
        <f>'1RM'!$C$6*C208</f>
        <v>50</v>
      </c>
      <c r="G208" s="141"/>
      <c r="H208" s="142"/>
      <c r="I208" s="141"/>
      <c r="J208" s="142"/>
      <c r="K208" s="141">
        <f t="shared" ref="K208:K211" si="221">D208*E208</f>
        <v>3</v>
      </c>
      <c r="L208" s="142">
        <f t="shared" ref="L208:L211" si="222">F208*K208</f>
        <v>150</v>
      </c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162">
        <f t="shared" ref="W208:W211" si="223">IF(ISNUMBER(SEARCH("Peso muerto",$B208)),IF($C208&gt;=0.5,IF($C208&lt;0.6,$D208*$E208," ")," ")," ")</f>
        <v>3</v>
      </c>
      <c r="X208" s="162" t="str">
        <f t="shared" ref="X208:X211" si="224">IF(ISNUMBER(SEARCH("Peso muerto",$B208)),IF($C208&gt;=0.6,IF($C208&lt;0.7,$D208*$E208," ")," ")," ")</f>
        <v> </v>
      </c>
      <c r="Y208" s="162" t="str">
        <f t="shared" ref="Y208:Y211" si="225">IF(ISNUMBER(SEARCH("Peso muerto",$B208)),IF($C208&gt;=0.7,IF($C208&lt;0.8,$D208*$E208," ")," ")," ")</f>
        <v> </v>
      </c>
      <c r="Z208" s="162" t="str">
        <f t="shared" ref="Z208:Z211" si="226">IF(ISNUMBER(SEARCH("Peso muerto",$B208)),IF($C208&gt;=0.8,IF($C208&lt;0.9,$D208*$E208," ")," ")," ")</f>
        <v> </v>
      </c>
      <c r="AA208" s="162" t="str">
        <f t="shared" ref="AA208:AA211" si="227">IF(ISNUMBER(SEARCH("Peso muerto",$B208)),IF($C208&gt;=0.9,$D208*$E208," ")," ")</f>
        <v> </v>
      </c>
    </row>
    <row r="209" ht="12.75" customHeight="1">
      <c r="A209" s="157"/>
      <c r="B209" s="163" t="s">
        <v>59</v>
      </c>
      <c r="C209" s="159">
        <v>0.6</v>
      </c>
      <c r="D209" s="160">
        <v>3.0</v>
      </c>
      <c r="E209" s="161">
        <v>1.0</v>
      </c>
      <c r="F209" s="161">
        <f>'1RM'!$C$6*C209</f>
        <v>60</v>
      </c>
      <c r="G209" s="141"/>
      <c r="H209" s="142"/>
      <c r="I209" s="141"/>
      <c r="J209" s="142"/>
      <c r="K209" s="141">
        <f t="shared" si="221"/>
        <v>3</v>
      </c>
      <c r="L209" s="142">
        <f t="shared" si="222"/>
        <v>180</v>
      </c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162" t="str">
        <f t="shared" si="223"/>
        <v> </v>
      </c>
      <c r="X209" s="162">
        <f t="shared" si="224"/>
        <v>3</v>
      </c>
      <c r="Y209" s="162" t="str">
        <f t="shared" si="225"/>
        <v> </v>
      </c>
      <c r="Z209" s="162" t="str">
        <f t="shared" si="226"/>
        <v> </v>
      </c>
      <c r="AA209" s="162" t="str">
        <f t="shared" si="227"/>
        <v> </v>
      </c>
    </row>
    <row r="210" ht="12.75" customHeight="1">
      <c r="A210" s="157"/>
      <c r="B210" s="163" t="s">
        <v>59</v>
      </c>
      <c r="C210" s="159">
        <v>0.7</v>
      </c>
      <c r="D210" s="160">
        <v>3.0</v>
      </c>
      <c r="E210" s="161">
        <v>1.0</v>
      </c>
      <c r="F210" s="161">
        <f>'1RM'!$C$6*C210</f>
        <v>70</v>
      </c>
      <c r="G210" s="141"/>
      <c r="H210" s="142"/>
      <c r="I210" s="141"/>
      <c r="J210" s="142"/>
      <c r="K210" s="141">
        <f t="shared" si="221"/>
        <v>3</v>
      </c>
      <c r="L210" s="142">
        <f t="shared" si="222"/>
        <v>210</v>
      </c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162" t="str">
        <f t="shared" si="223"/>
        <v> </v>
      </c>
      <c r="X210" s="162" t="str">
        <f t="shared" si="224"/>
        <v> </v>
      </c>
      <c r="Y210" s="162">
        <f t="shared" si="225"/>
        <v>3</v>
      </c>
      <c r="Z210" s="162" t="str">
        <f t="shared" si="226"/>
        <v> </v>
      </c>
      <c r="AA210" s="162" t="str">
        <f t="shared" si="227"/>
        <v> </v>
      </c>
    </row>
    <row r="211" ht="12.75" customHeight="1">
      <c r="A211" s="157"/>
      <c r="B211" s="163" t="s">
        <v>59</v>
      </c>
      <c r="C211" s="159">
        <v>0.8</v>
      </c>
      <c r="D211" s="160">
        <v>2.0</v>
      </c>
      <c r="E211" s="161">
        <v>4.0</v>
      </c>
      <c r="F211" s="161">
        <f>'1RM'!$C$6*C211</f>
        <v>80</v>
      </c>
      <c r="G211" s="141"/>
      <c r="H211" s="142"/>
      <c r="I211" s="141"/>
      <c r="J211" s="142"/>
      <c r="K211" s="141">
        <f t="shared" si="221"/>
        <v>8</v>
      </c>
      <c r="L211" s="142">
        <f t="shared" si="222"/>
        <v>640</v>
      </c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162" t="str">
        <f t="shared" si="223"/>
        <v> </v>
      </c>
      <c r="X211" s="162" t="str">
        <f t="shared" si="224"/>
        <v> </v>
      </c>
      <c r="Y211" s="162" t="str">
        <f t="shared" si="225"/>
        <v> </v>
      </c>
      <c r="Z211" s="162">
        <f t="shared" si="226"/>
        <v>8</v>
      </c>
      <c r="AA211" s="162" t="str">
        <f t="shared" si="227"/>
        <v> </v>
      </c>
    </row>
    <row r="212" ht="12.75" customHeight="1">
      <c r="A212" s="136">
        <v>2.0</v>
      </c>
      <c r="B212" s="137" t="s">
        <v>5</v>
      </c>
      <c r="C212" s="138">
        <v>0.5</v>
      </c>
      <c r="D212" s="139">
        <v>5.0</v>
      </c>
      <c r="E212" s="140">
        <v>1.0</v>
      </c>
      <c r="F212" s="140">
        <f>'1RM'!$C$5*C212</f>
        <v>50</v>
      </c>
      <c r="G212" s="141"/>
      <c r="H212" s="142"/>
      <c r="I212" s="141">
        <f t="shared" ref="I212:I217" si="228">D212*E212</f>
        <v>5</v>
      </c>
      <c r="J212" s="142">
        <f t="shared" ref="J212:J217" si="229">F212*I212</f>
        <v>250</v>
      </c>
      <c r="K212" s="141"/>
      <c r="L212" s="142"/>
      <c r="M212" s="5"/>
      <c r="N212" s="5"/>
      <c r="O212" s="5"/>
      <c r="P212" s="5"/>
      <c r="Q212" s="5"/>
      <c r="R212" s="143">
        <f t="shared" ref="R212:R217" si="230">IF(ISNUMBER(SEARCH("Press de banca",$B212)),IF($C212&gt;=0.5,IF($C212&lt;0.6,$D212*$E212," ")," ")," ")</f>
        <v>5</v>
      </c>
      <c r="S212" s="143" t="str">
        <f t="shared" ref="S212:S217" si="231">IF(ISNUMBER(SEARCH("Press de banca",$B212)),IF($C212&gt;=0.6,IF($C212&lt;0.7,$D212*$E212," ")," ")," ")</f>
        <v> </v>
      </c>
      <c r="T212" s="143" t="str">
        <f t="shared" ref="T212:T217" si="232">IF(ISNUMBER(SEARCH("Press de banca",$B212)),IF($C212&gt;=0.7,IF($C212&lt;0.8,$D212*$E212," ")," ")," ")</f>
        <v> </v>
      </c>
      <c r="U212" s="143" t="str">
        <f t="shared" ref="U212:U217" si="233">IF(ISNUMBER(SEARCH("Press de banca",$B212)),IF($C212&gt;=0.8,IF($C212&lt;0.9,$D212*$E212," ")," ")," ")</f>
        <v> </v>
      </c>
      <c r="V212" s="143" t="str">
        <f t="shared" ref="V212:V217" si="234">IF(ISNUMBER(SEARCH("Press de banca",$B212)),IF($C212&gt;=0.9,$D212*$E212," ")," ")</f>
        <v> </v>
      </c>
      <c r="W212" s="5"/>
      <c r="X212" s="5"/>
      <c r="Y212" s="5"/>
      <c r="Z212" s="5"/>
      <c r="AA212" s="5"/>
    </row>
    <row r="213" ht="12.75" customHeight="1">
      <c r="A213" s="136"/>
      <c r="B213" s="144" t="s">
        <v>5</v>
      </c>
      <c r="C213" s="138">
        <v>0.6</v>
      </c>
      <c r="D213" s="139">
        <v>4.0</v>
      </c>
      <c r="E213" s="140">
        <v>1.0</v>
      </c>
      <c r="F213" s="140">
        <f>'1RM'!$C$5*C213</f>
        <v>60</v>
      </c>
      <c r="G213" s="141"/>
      <c r="H213" s="142"/>
      <c r="I213" s="141">
        <f t="shared" si="228"/>
        <v>4</v>
      </c>
      <c r="J213" s="142">
        <f t="shared" si="229"/>
        <v>240</v>
      </c>
      <c r="K213" s="141"/>
      <c r="L213" s="142"/>
      <c r="M213" s="5"/>
      <c r="N213" s="5"/>
      <c r="O213" s="5"/>
      <c r="P213" s="5"/>
      <c r="Q213" s="5"/>
      <c r="R213" s="143" t="str">
        <f t="shared" si="230"/>
        <v> </v>
      </c>
      <c r="S213" s="143">
        <f t="shared" si="231"/>
        <v>4</v>
      </c>
      <c r="T213" s="143" t="str">
        <f t="shared" si="232"/>
        <v> </v>
      </c>
      <c r="U213" s="143" t="str">
        <f t="shared" si="233"/>
        <v> </v>
      </c>
      <c r="V213" s="143" t="str">
        <f t="shared" si="234"/>
        <v> </v>
      </c>
      <c r="W213" s="5"/>
      <c r="X213" s="5"/>
      <c r="Y213" s="5"/>
      <c r="Z213" s="5"/>
      <c r="AA213" s="5"/>
    </row>
    <row r="214" ht="12.75" customHeight="1">
      <c r="A214" s="136"/>
      <c r="B214" s="144" t="s">
        <v>5</v>
      </c>
      <c r="C214" s="138">
        <v>0.7</v>
      </c>
      <c r="D214" s="139">
        <v>3.0</v>
      </c>
      <c r="E214" s="140">
        <v>1.0</v>
      </c>
      <c r="F214" s="140">
        <f>'1RM'!$C$5*C214</f>
        <v>70</v>
      </c>
      <c r="G214" s="141"/>
      <c r="H214" s="142"/>
      <c r="I214" s="141">
        <f t="shared" si="228"/>
        <v>3</v>
      </c>
      <c r="J214" s="142">
        <f t="shared" si="229"/>
        <v>210</v>
      </c>
      <c r="K214" s="141"/>
      <c r="L214" s="142"/>
      <c r="M214" s="5"/>
      <c r="N214" s="5"/>
      <c r="O214" s="5"/>
      <c r="P214" s="5"/>
      <c r="Q214" s="5"/>
      <c r="R214" s="143" t="str">
        <f t="shared" si="230"/>
        <v> </v>
      </c>
      <c r="S214" s="143" t="str">
        <f t="shared" si="231"/>
        <v> </v>
      </c>
      <c r="T214" s="143">
        <f t="shared" si="232"/>
        <v>3</v>
      </c>
      <c r="U214" s="143" t="str">
        <f t="shared" si="233"/>
        <v> </v>
      </c>
      <c r="V214" s="143" t="str">
        <f t="shared" si="234"/>
        <v> </v>
      </c>
      <c r="W214" s="5"/>
      <c r="X214" s="5"/>
      <c r="Y214" s="5"/>
      <c r="Z214" s="5"/>
      <c r="AA214" s="5"/>
    </row>
    <row r="215" ht="12.75" customHeight="1">
      <c r="A215" s="136"/>
      <c r="B215" s="144" t="s">
        <v>5</v>
      </c>
      <c r="C215" s="138">
        <v>0.8</v>
      </c>
      <c r="D215" s="139">
        <v>3.0</v>
      </c>
      <c r="E215" s="140">
        <v>2.0</v>
      </c>
      <c r="F215" s="140">
        <f>'1RM'!$C$5*C215</f>
        <v>80</v>
      </c>
      <c r="G215" s="141"/>
      <c r="H215" s="142"/>
      <c r="I215" s="141">
        <f t="shared" si="228"/>
        <v>6</v>
      </c>
      <c r="J215" s="142">
        <f t="shared" si="229"/>
        <v>480</v>
      </c>
      <c r="K215" s="141"/>
      <c r="L215" s="142"/>
      <c r="M215" s="5"/>
      <c r="N215" s="5"/>
      <c r="O215" s="5"/>
      <c r="P215" s="5"/>
      <c r="Q215" s="5"/>
      <c r="R215" s="143" t="str">
        <f t="shared" si="230"/>
        <v> </v>
      </c>
      <c r="S215" s="143" t="str">
        <f t="shared" si="231"/>
        <v> </v>
      </c>
      <c r="T215" s="143" t="str">
        <f t="shared" si="232"/>
        <v> </v>
      </c>
      <c r="U215" s="143">
        <f t="shared" si="233"/>
        <v>6</v>
      </c>
      <c r="V215" s="143" t="str">
        <f t="shared" si="234"/>
        <v> </v>
      </c>
      <c r="W215" s="5"/>
      <c r="X215" s="5"/>
      <c r="Y215" s="5"/>
      <c r="Z215" s="5"/>
      <c r="AA215" s="5"/>
    </row>
    <row r="216" ht="12.75" customHeight="1">
      <c r="A216" s="136"/>
      <c r="B216" s="144" t="s">
        <v>5</v>
      </c>
      <c r="C216" s="138">
        <v>0.85</v>
      </c>
      <c r="D216" s="139">
        <v>2.0</v>
      </c>
      <c r="E216" s="140">
        <v>3.0</v>
      </c>
      <c r="F216" s="140">
        <f>'1RM'!$C$5*C216</f>
        <v>85</v>
      </c>
      <c r="G216" s="141"/>
      <c r="H216" s="142"/>
      <c r="I216" s="141">
        <f t="shared" si="228"/>
        <v>6</v>
      </c>
      <c r="J216" s="142">
        <f t="shared" si="229"/>
        <v>510</v>
      </c>
      <c r="K216" s="141"/>
      <c r="L216" s="142"/>
      <c r="M216" s="5"/>
      <c r="N216" s="5"/>
      <c r="O216" s="5"/>
      <c r="P216" s="5"/>
      <c r="Q216" s="5"/>
      <c r="R216" s="143" t="str">
        <f t="shared" si="230"/>
        <v> </v>
      </c>
      <c r="S216" s="143" t="str">
        <f t="shared" si="231"/>
        <v> </v>
      </c>
      <c r="T216" s="143" t="str">
        <f t="shared" si="232"/>
        <v> </v>
      </c>
      <c r="U216" s="143">
        <f t="shared" si="233"/>
        <v>6</v>
      </c>
      <c r="V216" s="143" t="str">
        <f t="shared" si="234"/>
        <v> </v>
      </c>
      <c r="W216" s="5"/>
      <c r="X216" s="5"/>
      <c r="Y216" s="5"/>
      <c r="Z216" s="5"/>
      <c r="AA216" s="5"/>
    </row>
    <row r="217" ht="12.0" customHeight="1">
      <c r="A217" s="136"/>
      <c r="B217" s="144" t="s">
        <v>5</v>
      </c>
      <c r="C217" s="138">
        <v>0.8</v>
      </c>
      <c r="D217" s="139">
        <v>3.0</v>
      </c>
      <c r="E217" s="140">
        <v>2.0</v>
      </c>
      <c r="F217" s="140">
        <f>'1RM'!$C$5*C217</f>
        <v>80</v>
      </c>
      <c r="G217" s="141"/>
      <c r="H217" s="142"/>
      <c r="I217" s="141">
        <f t="shared" si="228"/>
        <v>6</v>
      </c>
      <c r="J217" s="142">
        <f t="shared" si="229"/>
        <v>480</v>
      </c>
      <c r="K217" s="141"/>
      <c r="L217" s="142"/>
      <c r="M217" s="5"/>
      <c r="N217" s="5"/>
      <c r="O217" s="5"/>
      <c r="P217" s="5"/>
      <c r="Q217" s="5"/>
      <c r="R217" s="143" t="str">
        <f t="shared" si="230"/>
        <v> </v>
      </c>
      <c r="S217" s="143" t="str">
        <f t="shared" si="231"/>
        <v> </v>
      </c>
      <c r="T217" s="143" t="str">
        <f t="shared" si="232"/>
        <v> </v>
      </c>
      <c r="U217" s="143">
        <f t="shared" si="233"/>
        <v>6</v>
      </c>
      <c r="V217" s="143" t="str">
        <f t="shared" si="234"/>
        <v> </v>
      </c>
      <c r="W217" s="5"/>
      <c r="X217" s="5"/>
      <c r="Y217" s="5"/>
      <c r="Z217" s="5"/>
      <c r="AA217" s="5"/>
    </row>
    <row r="218" ht="12.75" customHeight="1">
      <c r="A218" s="157">
        <v>3.0</v>
      </c>
      <c r="B218" s="158" t="s">
        <v>68</v>
      </c>
      <c r="C218" s="159">
        <v>0.65</v>
      </c>
      <c r="D218" s="160">
        <v>3.0</v>
      </c>
      <c r="E218" s="161">
        <v>1.0</v>
      </c>
      <c r="F218" s="161">
        <f>'1RM'!$C$6*C218</f>
        <v>65</v>
      </c>
      <c r="G218" s="141"/>
      <c r="H218" s="142"/>
      <c r="I218" s="141"/>
      <c r="J218" s="142"/>
      <c r="K218" s="141">
        <f t="shared" ref="K218:K221" si="235">D218*E218</f>
        <v>3</v>
      </c>
      <c r="L218" s="142">
        <f t="shared" ref="L218:L221" si="236">F218*K218</f>
        <v>195</v>
      </c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162" t="str">
        <f t="shared" ref="W218:W221" si="237">IF(ISNUMBER(SEARCH("Peso muerto",$B218)),IF($C218&gt;=0.5,IF($C218&lt;0.6,$D218*$E218," ")," ")," ")</f>
        <v> </v>
      </c>
      <c r="X218" s="162">
        <f t="shared" ref="X218:X221" si="238">IF(ISNUMBER(SEARCH("Peso muerto",$B218)),IF($C218&gt;=0.6,IF($C218&lt;0.7,$D218*$E218," ")," ")," ")</f>
        <v>3</v>
      </c>
      <c r="Y218" s="162" t="str">
        <f t="shared" ref="Y218:Y221" si="239">IF(ISNUMBER(SEARCH("Peso muerto",$B218)),IF($C218&gt;=0.7,IF($C218&lt;0.8,$D218*$E218," ")," ")," ")</f>
        <v> </v>
      </c>
      <c r="Z218" s="162" t="str">
        <f t="shared" ref="Z218:Z221" si="240">IF(ISNUMBER(SEARCH("Peso muerto",$B218)),IF($C218&gt;=0.8,IF($C218&lt;0.9,$D218*$E218," ")," ")," ")</f>
        <v> </v>
      </c>
      <c r="AA218" s="162" t="str">
        <f t="shared" ref="AA218:AA221" si="241">IF(ISNUMBER(SEARCH("Peso muerto",$B218)),IF($C218&gt;=0.9,$D218*$E218," ")," ")</f>
        <v> </v>
      </c>
    </row>
    <row r="219" ht="12.75" customHeight="1">
      <c r="A219" s="157"/>
      <c r="B219" s="163" t="s">
        <v>68</v>
      </c>
      <c r="C219" s="159">
        <v>0.75</v>
      </c>
      <c r="D219" s="160">
        <v>3.0</v>
      </c>
      <c r="E219" s="161">
        <v>1.0</v>
      </c>
      <c r="F219" s="161">
        <f>'1RM'!$C$6*C219</f>
        <v>75</v>
      </c>
      <c r="G219" s="141"/>
      <c r="H219" s="142"/>
      <c r="I219" s="141"/>
      <c r="J219" s="142"/>
      <c r="K219" s="141">
        <f t="shared" si="235"/>
        <v>3</v>
      </c>
      <c r="L219" s="142">
        <f t="shared" si="236"/>
        <v>225</v>
      </c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162" t="str">
        <f t="shared" si="237"/>
        <v> </v>
      </c>
      <c r="X219" s="162" t="str">
        <f t="shared" si="238"/>
        <v> </v>
      </c>
      <c r="Y219" s="162">
        <f t="shared" si="239"/>
        <v>3</v>
      </c>
      <c r="Z219" s="162" t="str">
        <f t="shared" si="240"/>
        <v> </v>
      </c>
      <c r="AA219" s="162" t="str">
        <f t="shared" si="241"/>
        <v> </v>
      </c>
    </row>
    <row r="220" ht="12.75" customHeight="1">
      <c r="A220" s="157"/>
      <c r="B220" s="163" t="s">
        <v>68</v>
      </c>
      <c r="C220" s="159">
        <v>0.85</v>
      </c>
      <c r="D220" s="160">
        <v>3.0</v>
      </c>
      <c r="E220" s="161">
        <v>2.0</v>
      </c>
      <c r="F220" s="161">
        <f>'1RM'!$C$6*C220</f>
        <v>85</v>
      </c>
      <c r="G220" s="141"/>
      <c r="H220" s="142"/>
      <c r="I220" s="141"/>
      <c r="J220" s="142"/>
      <c r="K220" s="141">
        <f t="shared" si="235"/>
        <v>6</v>
      </c>
      <c r="L220" s="142">
        <f t="shared" si="236"/>
        <v>510</v>
      </c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162" t="str">
        <f t="shared" si="237"/>
        <v> </v>
      </c>
      <c r="X220" s="162" t="str">
        <f t="shared" si="238"/>
        <v> </v>
      </c>
      <c r="Y220" s="162" t="str">
        <f t="shared" si="239"/>
        <v> </v>
      </c>
      <c r="Z220" s="162">
        <f t="shared" si="240"/>
        <v>6</v>
      </c>
      <c r="AA220" s="162" t="str">
        <f t="shared" si="241"/>
        <v> </v>
      </c>
    </row>
    <row r="221" ht="12.75" customHeight="1">
      <c r="A221" s="157"/>
      <c r="B221" s="163" t="s">
        <v>68</v>
      </c>
      <c r="C221" s="159">
        <v>0.95</v>
      </c>
      <c r="D221" s="160">
        <v>2.0</v>
      </c>
      <c r="E221" s="161">
        <v>3.0</v>
      </c>
      <c r="F221" s="161">
        <f>'1RM'!$C$6*C221</f>
        <v>95</v>
      </c>
      <c r="G221" s="141"/>
      <c r="H221" s="142"/>
      <c r="I221" s="141"/>
      <c r="J221" s="142"/>
      <c r="K221" s="141">
        <f t="shared" si="235"/>
        <v>6</v>
      </c>
      <c r="L221" s="142">
        <f t="shared" si="236"/>
        <v>570</v>
      </c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162" t="str">
        <f t="shared" si="237"/>
        <v> </v>
      </c>
      <c r="X221" s="162" t="str">
        <f t="shared" si="238"/>
        <v> </v>
      </c>
      <c r="Y221" s="162" t="str">
        <f t="shared" si="239"/>
        <v> </v>
      </c>
      <c r="Z221" s="162" t="str">
        <f t="shared" si="240"/>
        <v> </v>
      </c>
      <c r="AA221" s="162">
        <f t="shared" si="241"/>
        <v>6</v>
      </c>
    </row>
    <row r="222" ht="12.75" customHeight="1">
      <c r="A222" s="152">
        <v>4.0</v>
      </c>
      <c r="B222" s="153" t="s">
        <v>60</v>
      </c>
      <c r="C222" s="154"/>
      <c r="D222" s="156">
        <v>6.0</v>
      </c>
      <c r="E222" s="156">
        <v>5.0</v>
      </c>
      <c r="F222" s="156"/>
      <c r="G222" s="141"/>
      <c r="H222" s="142"/>
      <c r="I222" s="141"/>
      <c r="J222" s="142"/>
      <c r="K222" s="141"/>
      <c r="L222" s="142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2.75" customHeight="1">
      <c r="A223" s="152">
        <v>5.0</v>
      </c>
      <c r="B223" s="153" t="s">
        <v>61</v>
      </c>
      <c r="C223" s="154"/>
      <c r="D223" s="155">
        <v>5.0</v>
      </c>
      <c r="E223" s="156">
        <v>5.0</v>
      </c>
      <c r="F223" s="156"/>
      <c r="G223" s="141"/>
      <c r="H223" s="142"/>
      <c r="I223" s="141"/>
      <c r="J223" s="142"/>
      <c r="K223" s="141"/>
      <c r="L223" s="142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2.75" customHeight="1">
      <c r="A224" s="33"/>
      <c r="B224" s="134"/>
      <c r="C224" s="133"/>
      <c r="D224" s="42"/>
      <c r="E224" s="42"/>
      <c r="F224" s="42"/>
      <c r="G224" s="141"/>
      <c r="H224" s="142"/>
      <c r="I224" s="141"/>
      <c r="J224" s="142"/>
      <c r="K224" s="141"/>
      <c r="L224" s="142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2.75" customHeight="1">
      <c r="A225" s="33" t="s">
        <v>62</v>
      </c>
      <c r="B225" s="134"/>
      <c r="C225" s="135" t="s">
        <v>20</v>
      </c>
      <c r="D225" s="45" t="s">
        <v>51</v>
      </c>
      <c r="E225" s="45" t="s">
        <v>52</v>
      </c>
      <c r="F225" s="45" t="s">
        <v>53</v>
      </c>
      <c r="G225" s="141"/>
      <c r="H225" s="142"/>
      <c r="I225" s="141"/>
      <c r="J225" s="142"/>
      <c r="K225" s="141"/>
      <c r="L225" s="142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2.75" customHeight="1">
      <c r="A226" s="136">
        <v>1.0</v>
      </c>
      <c r="B226" s="137" t="s">
        <v>89</v>
      </c>
      <c r="C226" s="138">
        <v>0.5</v>
      </c>
      <c r="D226" s="139">
        <v>3.0</v>
      </c>
      <c r="E226" s="140">
        <v>1.0</v>
      </c>
      <c r="F226" s="140">
        <f>'1RM'!$C$5*C226</f>
        <v>50</v>
      </c>
      <c r="G226" s="141"/>
      <c r="H226" s="142"/>
      <c r="I226" s="141">
        <f t="shared" ref="I226:I229" si="242">D226*E226</f>
        <v>3</v>
      </c>
      <c r="J226" s="142">
        <f t="shared" ref="J226:J229" si="243">F226*I226</f>
        <v>150</v>
      </c>
      <c r="K226" s="141"/>
      <c r="L226" s="142"/>
      <c r="M226" s="5"/>
      <c r="N226" s="5"/>
      <c r="O226" s="5"/>
      <c r="P226" s="5"/>
      <c r="Q226" s="5"/>
      <c r="R226" s="143">
        <f t="shared" ref="R226:R229" si="244">IF(ISNUMBER(SEARCH("Press de banca",$B226)),IF($C226&gt;=0.5,IF($C226&lt;0.6,$D226*$E226," ")," ")," ")</f>
        <v>3</v>
      </c>
      <c r="S226" s="143" t="str">
        <f t="shared" ref="S226:S229" si="245">IF(ISNUMBER(SEARCH("Press de banca",$B226)),IF($C226&gt;=0.6,IF($C226&lt;0.7,$D226*$E226," ")," ")," ")</f>
        <v> </v>
      </c>
      <c r="T226" s="143" t="str">
        <f t="shared" ref="T226:T229" si="246">IF(ISNUMBER(SEARCH("Press de banca",$B226)),IF($C226&gt;=0.7,IF($C226&lt;0.8,$D226*$E226," ")," ")," ")</f>
        <v> </v>
      </c>
      <c r="U226" s="143" t="str">
        <f t="shared" ref="U226:U229" si="247">IF(ISNUMBER(SEARCH("Press de banca",$B226)),IF($C226&gt;=0.8,IF($C226&lt;0.9,$D226*$E226," ")," ")," ")</f>
        <v> </v>
      </c>
      <c r="V226" s="143" t="str">
        <f t="shared" ref="V226:V229" si="248">IF(ISNUMBER(SEARCH("Press de banca",$B226)),IF($C226&gt;=0.9,$D226*$E226," ")," ")</f>
        <v> </v>
      </c>
      <c r="W226" s="5"/>
      <c r="X226" s="5"/>
      <c r="Y226" s="5"/>
      <c r="Z226" s="5"/>
      <c r="AA226" s="5"/>
    </row>
    <row r="227" ht="12.75" customHeight="1">
      <c r="A227" s="136"/>
      <c r="B227" s="144" t="s">
        <v>89</v>
      </c>
      <c r="C227" s="138">
        <v>0.6</v>
      </c>
      <c r="D227" s="139">
        <v>3.0</v>
      </c>
      <c r="E227" s="140">
        <v>1.0</v>
      </c>
      <c r="F227" s="140">
        <f>'1RM'!$C$5*C227</f>
        <v>60</v>
      </c>
      <c r="G227" s="141"/>
      <c r="H227" s="142"/>
      <c r="I227" s="141">
        <f t="shared" si="242"/>
        <v>3</v>
      </c>
      <c r="J227" s="142">
        <f t="shared" si="243"/>
        <v>180</v>
      </c>
      <c r="K227" s="141"/>
      <c r="L227" s="142"/>
      <c r="M227" s="5"/>
      <c r="N227" s="5"/>
      <c r="O227" s="5"/>
      <c r="P227" s="5"/>
      <c r="Q227" s="5"/>
      <c r="R227" s="143" t="str">
        <f t="shared" si="244"/>
        <v> </v>
      </c>
      <c r="S227" s="143">
        <f t="shared" si="245"/>
        <v>3</v>
      </c>
      <c r="T227" s="143" t="str">
        <f t="shared" si="246"/>
        <v> </v>
      </c>
      <c r="U227" s="143" t="str">
        <f t="shared" si="247"/>
        <v> </v>
      </c>
      <c r="V227" s="143" t="str">
        <f t="shared" si="248"/>
        <v> </v>
      </c>
      <c r="W227" s="5"/>
      <c r="X227" s="5"/>
      <c r="Y227" s="5"/>
      <c r="Z227" s="5"/>
      <c r="AA227" s="5"/>
    </row>
    <row r="228" ht="12.75" customHeight="1">
      <c r="A228" s="136"/>
      <c r="B228" s="144" t="s">
        <v>89</v>
      </c>
      <c r="C228" s="138">
        <v>0.7</v>
      </c>
      <c r="D228" s="139">
        <v>3.0</v>
      </c>
      <c r="E228" s="140">
        <v>1.0</v>
      </c>
      <c r="F228" s="140">
        <f>'1RM'!$C$5*C228</f>
        <v>70</v>
      </c>
      <c r="G228" s="141"/>
      <c r="H228" s="142"/>
      <c r="I228" s="141">
        <f t="shared" si="242"/>
        <v>3</v>
      </c>
      <c r="J228" s="142">
        <f t="shared" si="243"/>
        <v>210</v>
      </c>
      <c r="K228" s="141"/>
      <c r="L228" s="142"/>
      <c r="M228" s="5"/>
      <c r="N228" s="5"/>
      <c r="O228" s="5"/>
      <c r="P228" s="5"/>
      <c r="Q228" s="5"/>
      <c r="R228" s="143" t="str">
        <f t="shared" si="244"/>
        <v> </v>
      </c>
      <c r="S228" s="143" t="str">
        <f t="shared" si="245"/>
        <v> </v>
      </c>
      <c r="T228" s="143">
        <f t="shared" si="246"/>
        <v>3</v>
      </c>
      <c r="U228" s="143" t="str">
        <f t="shared" si="247"/>
        <v> </v>
      </c>
      <c r="V228" s="143" t="str">
        <f t="shared" si="248"/>
        <v> </v>
      </c>
      <c r="W228" s="5"/>
      <c r="X228" s="5"/>
      <c r="Y228" s="5"/>
      <c r="Z228" s="5"/>
      <c r="AA228" s="5"/>
    </row>
    <row r="229" ht="12.75" customHeight="1">
      <c r="A229" s="136"/>
      <c r="B229" s="144" t="s">
        <v>89</v>
      </c>
      <c r="C229" s="138">
        <v>0.75</v>
      </c>
      <c r="D229" s="139">
        <v>3.0</v>
      </c>
      <c r="E229" s="140">
        <v>4.0</v>
      </c>
      <c r="F229" s="140">
        <f>'1RM'!$C$5*C229</f>
        <v>75</v>
      </c>
      <c r="G229" s="141"/>
      <c r="H229" s="142"/>
      <c r="I229" s="141">
        <f t="shared" si="242"/>
        <v>12</v>
      </c>
      <c r="J229" s="142">
        <f t="shared" si="243"/>
        <v>900</v>
      </c>
      <c r="K229" s="141"/>
      <c r="L229" s="142"/>
      <c r="M229" s="5"/>
      <c r="N229" s="5"/>
      <c r="O229" s="5"/>
      <c r="P229" s="5"/>
      <c r="Q229" s="5"/>
      <c r="R229" s="143" t="str">
        <f t="shared" si="244"/>
        <v> </v>
      </c>
      <c r="S229" s="143" t="str">
        <f t="shared" si="245"/>
        <v> </v>
      </c>
      <c r="T229" s="143">
        <f t="shared" si="246"/>
        <v>12</v>
      </c>
      <c r="U229" s="143" t="str">
        <f t="shared" si="247"/>
        <v> </v>
      </c>
      <c r="V229" s="143" t="str">
        <f t="shared" si="248"/>
        <v> </v>
      </c>
      <c r="W229" s="5"/>
      <c r="X229" s="5"/>
      <c r="Y229" s="5"/>
      <c r="Z229" s="5"/>
      <c r="AA229" s="5"/>
    </row>
    <row r="230" ht="12.75" customHeight="1">
      <c r="A230" s="145">
        <v>2.0</v>
      </c>
      <c r="B230" s="146" t="s">
        <v>4</v>
      </c>
      <c r="C230" s="147">
        <v>0.5</v>
      </c>
      <c r="D230" s="148">
        <v>5.0</v>
      </c>
      <c r="E230" s="149">
        <v>1.0</v>
      </c>
      <c r="F230" s="149">
        <f>'1RM'!$C$4*C230</f>
        <v>50</v>
      </c>
      <c r="G230" s="141">
        <f t="shared" ref="G230:G237" si="249">D230*E230</f>
        <v>5</v>
      </c>
      <c r="H230" s="142">
        <f t="shared" ref="H230:H237" si="250">F230*G230</f>
        <v>250</v>
      </c>
      <c r="I230" s="141"/>
      <c r="J230" s="142"/>
      <c r="K230" s="141"/>
      <c r="L230" s="142"/>
      <c r="M230" s="150">
        <f t="shared" ref="M230:M237" si="251">IF(ISNUMBER(SEARCH("Sentadilla",$B230)),IF($C230&gt;=0.5,IF($C230&lt;0.6,$D230*$E230," ")," ")," ")</f>
        <v>5</v>
      </c>
      <c r="N230" s="150" t="str">
        <f t="shared" ref="N230:N237" si="252">IF(ISNUMBER(SEARCH("Sentadilla",$B230)),IF($C230&gt;=0.6,IF($C230&lt;0.7,$D230*$E230," ")," ")," ")</f>
        <v> </v>
      </c>
      <c r="O230" s="150" t="str">
        <f t="shared" ref="O230:O237" si="253">IF(ISNUMBER(SEARCH("Sentadilla",$B230)),IF($C230&gt;=0.7,IF($C230&lt;0.8,$D230*$E230," ")," ")," ")</f>
        <v> </v>
      </c>
      <c r="P230" s="150" t="str">
        <f t="shared" ref="P230:P237" si="254">IF(ISNUMBER(SEARCH("Sentadilla",$B230)),IF($C230&gt;=0.8,IF($C230&lt;0.9,$D230*$E230," ")," ")," ")</f>
        <v> </v>
      </c>
      <c r="Q230" s="150" t="str">
        <f t="shared" ref="Q230:Q237" si="255">IF(ISNUMBER(SEARCH("Sentadilla",$B230)),IF($C230&gt;=0.9,$D230*$E230," ")," ")</f>
        <v> </v>
      </c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2.75" customHeight="1">
      <c r="A231" s="145"/>
      <c r="B231" s="151" t="s">
        <v>4</v>
      </c>
      <c r="C231" s="147">
        <v>0.6</v>
      </c>
      <c r="D231" s="148">
        <v>5.0</v>
      </c>
      <c r="E231" s="149">
        <v>1.0</v>
      </c>
      <c r="F231" s="149">
        <f>'1RM'!$C$4*C231</f>
        <v>60</v>
      </c>
      <c r="G231" s="141">
        <f t="shared" si="249"/>
        <v>5</v>
      </c>
      <c r="H231" s="142">
        <f t="shared" si="250"/>
        <v>300</v>
      </c>
      <c r="I231" s="141"/>
      <c r="J231" s="142"/>
      <c r="K231" s="141"/>
      <c r="L231" s="142"/>
      <c r="M231" s="150" t="str">
        <f t="shared" si="251"/>
        <v> </v>
      </c>
      <c r="N231" s="150">
        <f t="shared" si="252"/>
        <v>5</v>
      </c>
      <c r="O231" s="150" t="str">
        <f t="shared" si="253"/>
        <v> </v>
      </c>
      <c r="P231" s="150" t="str">
        <f t="shared" si="254"/>
        <v> </v>
      </c>
      <c r="Q231" s="150" t="str">
        <f t="shared" si="255"/>
        <v> </v>
      </c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2.75" customHeight="1">
      <c r="A232" s="145"/>
      <c r="B232" s="151" t="s">
        <v>4</v>
      </c>
      <c r="C232" s="147">
        <v>0.7</v>
      </c>
      <c r="D232" s="148">
        <v>5.0</v>
      </c>
      <c r="E232" s="149">
        <v>1.0</v>
      </c>
      <c r="F232" s="149">
        <f>'1RM'!$C$4*C232</f>
        <v>70</v>
      </c>
      <c r="G232" s="141">
        <f t="shared" si="249"/>
        <v>5</v>
      </c>
      <c r="H232" s="142">
        <f t="shared" si="250"/>
        <v>350</v>
      </c>
      <c r="I232" s="141"/>
      <c r="J232" s="142"/>
      <c r="K232" s="141"/>
      <c r="L232" s="142"/>
      <c r="M232" s="150" t="str">
        <f t="shared" si="251"/>
        <v> </v>
      </c>
      <c r="N232" s="150" t="str">
        <f t="shared" si="252"/>
        <v> </v>
      </c>
      <c r="O232" s="150">
        <f t="shared" si="253"/>
        <v>5</v>
      </c>
      <c r="P232" s="150" t="str">
        <f t="shared" si="254"/>
        <v> </v>
      </c>
      <c r="Q232" s="150" t="str">
        <f t="shared" si="255"/>
        <v> </v>
      </c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2.0" customHeight="1">
      <c r="A233" s="145"/>
      <c r="B233" s="151" t="s">
        <v>4</v>
      </c>
      <c r="C233" s="147">
        <v>0.7</v>
      </c>
      <c r="D233" s="148">
        <v>8.0</v>
      </c>
      <c r="E233" s="149">
        <v>1.0</v>
      </c>
      <c r="F233" s="149">
        <f>'1RM'!$C$4*C233</f>
        <v>70</v>
      </c>
      <c r="G233" s="141">
        <f t="shared" si="249"/>
        <v>8</v>
      </c>
      <c r="H233" s="142">
        <f t="shared" si="250"/>
        <v>560</v>
      </c>
      <c r="I233" s="141"/>
      <c r="J233" s="142"/>
      <c r="K233" s="141"/>
      <c r="L233" s="142"/>
      <c r="M233" s="150" t="str">
        <f t="shared" si="251"/>
        <v> </v>
      </c>
      <c r="N233" s="150" t="str">
        <f t="shared" si="252"/>
        <v> </v>
      </c>
      <c r="O233" s="150">
        <f t="shared" si="253"/>
        <v>8</v>
      </c>
      <c r="P233" s="150" t="str">
        <f t="shared" si="254"/>
        <v> </v>
      </c>
      <c r="Q233" s="150" t="str">
        <f t="shared" si="255"/>
        <v> </v>
      </c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2.75" customHeight="1">
      <c r="A234" s="145"/>
      <c r="B234" s="151" t="s">
        <v>4</v>
      </c>
      <c r="C234" s="147">
        <v>0.7</v>
      </c>
      <c r="D234" s="148">
        <v>5.0</v>
      </c>
      <c r="E234" s="149">
        <v>1.0</v>
      </c>
      <c r="F234" s="149">
        <f>'1RM'!$C$4*C234</f>
        <v>70</v>
      </c>
      <c r="G234" s="141">
        <f t="shared" si="249"/>
        <v>5</v>
      </c>
      <c r="H234" s="142">
        <f t="shared" si="250"/>
        <v>350</v>
      </c>
      <c r="I234" s="141"/>
      <c r="J234" s="142"/>
      <c r="K234" s="141"/>
      <c r="L234" s="142"/>
      <c r="M234" s="150" t="str">
        <f t="shared" si="251"/>
        <v> </v>
      </c>
      <c r="N234" s="150" t="str">
        <f t="shared" si="252"/>
        <v> </v>
      </c>
      <c r="O234" s="150">
        <f t="shared" si="253"/>
        <v>5</v>
      </c>
      <c r="P234" s="150" t="str">
        <f t="shared" si="254"/>
        <v> </v>
      </c>
      <c r="Q234" s="150" t="str">
        <f t="shared" si="255"/>
        <v> </v>
      </c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2.75" customHeight="1">
      <c r="A235" s="145"/>
      <c r="B235" s="151" t="s">
        <v>4</v>
      </c>
      <c r="C235" s="147">
        <v>0.7</v>
      </c>
      <c r="D235" s="148">
        <v>8.0</v>
      </c>
      <c r="E235" s="149">
        <v>1.0</v>
      </c>
      <c r="F235" s="149">
        <f>'1RM'!$C$4*C235</f>
        <v>70</v>
      </c>
      <c r="G235" s="141">
        <f t="shared" si="249"/>
        <v>8</v>
      </c>
      <c r="H235" s="142">
        <f t="shared" si="250"/>
        <v>560</v>
      </c>
      <c r="I235" s="141"/>
      <c r="J235" s="142"/>
      <c r="K235" s="141"/>
      <c r="L235" s="142"/>
      <c r="M235" s="150" t="str">
        <f t="shared" si="251"/>
        <v> </v>
      </c>
      <c r="N235" s="150" t="str">
        <f t="shared" si="252"/>
        <v> </v>
      </c>
      <c r="O235" s="150">
        <f t="shared" si="253"/>
        <v>8</v>
      </c>
      <c r="P235" s="150" t="str">
        <f t="shared" si="254"/>
        <v> </v>
      </c>
      <c r="Q235" s="150" t="str">
        <f t="shared" si="255"/>
        <v> </v>
      </c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2.75" customHeight="1">
      <c r="A236" s="145"/>
      <c r="B236" s="151" t="s">
        <v>4</v>
      </c>
      <c r="C236" s="147">
        <v>0.7</v>
      </c>
      <c r="D236" s="148">
        <v>5.0</v>
      </c>
      <c r="E236" s="149">
        <v>1.0</v>
      </c>
      <c r="F236" s="149">
        <f>'1RM'!$C$4*C236</f>
        <v>70</v>
      </c>
      <c r="G236" s="141">
        <f t="shared" si="249"/>
        <v>5</v>
      </c>
      <c r="H236" s="142">
        <f t="shared" si="250"/>
        <v>350</v>
      </c>
      <c r="I236" s="141"/>
      <c r="J236" s="142"/>
      <c r="K236" s="141"/>
      <c r="L236" s="142"/>
      <c r="M236" s="150" t="str">
        <f t="shared" si="251"/>
        <v> </v>
      </c>
      <c r="N236" s="150" t="str">
        <f t="shared" si="252"/>
        <v> </v>
      </c>
      <c r="O236" s="150">
        <f t="shared" si="253"/>
        <v>5</v>
      </c>
      <c r="P236" s="150" t="str">
        <f t="shared" si="254"/>
        <v> </v>
      </c>
      <c r="Q236" s="150" t="str">
        <f t="shared" si="255"/>
        <v> </v>
      </c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2.75" customHeight="1">
      <c r="A237" s="145"/>
      <c r="B237" s="151" t="s">
        <v>4</v>
      </c>
      <c r="C237" s="147">
        <v>0.7</v>
      </c>
      <c r="D237" s="148">
        <v>8.0</v>
      </c>
      <c r="E237" s="149">
        <v>1.0</v>
      </c>
      <c r="F237" s="149">
        <f>'1RM'!$C$4*C237</f>
        <v>70</v>
      </c>
      <c r="G237" s="141">
        <f t="shared" si="249"/>
        <v>8</v>
      </c>
      <c r="H237" s="142">
        <f t="shared" si="250"/>
        <v>560</v>
      </c>
      <c r="I237" s="141"/>
      <c r="J237" s="142"/>
      <c r="K237" s="141"/>
      <c r="L237" s="142"/>
      <c r="M237" s="150" t="str">
        <f t="shared" si="251"/>
        <v> </v>
      </c>
      <c r="N237" s="150" t="str">
        <f t="shared" si="252"/>
        <v> </v>
      </c>
      <c r="O237" s="150">
        <f t="shared" si="253"/>
        <v>8</v>
      </c>
      <c r="P237" s="150" t="str">
        <f t="shared" si="254"/>
        <v> </v>
      </c>
      <c r="Q237" s="150" t="str">
        <f t="shared" si="255"/>
        <v> </v>
      </c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2.75" customHeight="1">
      <c r="A238" s="136">
        <v>3.0</v>
      </c>
      <c r="B238" s="137" t="s">
        <v>85</v>
      </c>
      <c r="C238" s="138">
        <v>0.5</v>
      </c>
      <c r="D238" s="139">
        <v>4.0</v>
      </c>
      <c r="E238" s="140">
        <v>1.0</v>
      </c>
      <c r="F238" s="140">
        <f>'1RM'!$C$5*C238</f>
        <v>50</v>
      </c>
      <c r="G238" s="141"/>
      <c r="H238" s="142"/>
      <c r="I238" s="141">
        <f t="shared" ref="I238:I241" si="256">D238*E238</f>
        <v>4</v>
      </c>
      <c r="J238" s="142">
        <f t="shared" ref="J238:J241" si="257">F238*I238</f>
        <v>200</v>
      </c>
      <c r="K238" s="141"/>
      <c r="L238" s="142"/>
      <c r="M238" s="5"/>
      <c r="N238" s="5"/>
      <c r="O238" s="5"/>
      <c r="P238" s="5"/>
      <c r="Q238" s="5"/>
      <c r="R238" s="143">
        <f t="shared" ref="R238:R241" si="258">IF(ISNUMBER(SEARCH("Press de banca",$B238)),IF($C238&gt;=0.5,IF($C238&lt;0.6,$D238*$E238," ")," ")," ")</f>
        <v>4</v>
      </c>
      <c r="S238" s="143" t="str">
        <f t="shared" ref="S238:S241" si="259">IF(ISNUMBER(SEARCH("Press de banca",$B238)),IF($C238&gt;=0.6,IF($C238&lt;0.7,$D238*$E238," ")," ")," ")</f>
        <v> </v>
      </c>
      <c r="T238" s="143" t="str">
        <f t="shared" ref="T238:T241" si="260">IF(ISNUMBER(SEARCH("Press de banca",$B238)),IF($C238&gt;=0.7,IF($C238&lt;0.8,$D238*$E238," ")," ")," ")</f>
        <v> </v>
      </c>
      <c r="U238" s="143" t="str">
        <f t="shared" ref="U238:U241" si="261">IF(ISNUMBER(SEARCH("Press de banca",$B238)),IF($C238&gt;=0.8,IF($C238&lt;0.9,$D238*$E238," ")," ")," ")</f>
        <v> </v>
      </c>
      <c r="V238" s="143" t="str">
        <f t="shared" ref="V238:V241" si="262">IF(ISNUMBER(SEARCH("Press de banca",$B238)),IF($C238&gt;=0.9,$D238*$E238," ")," ")</f>
        <v> </v>
      </c>
      <c r="W238" s="5"/>
      <c r="X238" s="5"/>
      <c r="Y238" s="5"/>
      <c r="Z238" s="5"/>
      <c r="AA238" s="5"/>
    </row>
    <row r="239" ht="12.75" customHeight="1">
      <c r="A239" s="136"/>
      <c r="B239" s="144" t="s">
        <v>85</v>
      </c>
      <c r="C239" s="138">
        <v>0.6</v>
      </c>
      <c r="D239" s="139">
        <v>4.0</v>
      </c>
      <c r="E239" s="140">
        <v>1.0</v>
      </c>
      <c r="F239" s="140">
        <f>'1RM'!$C$5*C239</f>
        <v>60</v>
      </c>
      <c r="G239" s="141"/>
      <c r="H239" s="142"/>
      <c r="I239" s="141">
        <f t="shared" si="256"/>
        <v>4</v>
      </c>
      <c r="J239" s="142">
        <f t="shared" si="257"/>
        <v>240</v>
      </c>
      <c r="K239" s="141"/>
      <c r="L239" s="142"/>
      <c r="M239" s="5"/>
      <c r="N239" s="5"/>
      <c r="O239" s="5"/>
      <c r="P239" s="5"/>
      <c r="Q239" s="5"/>
      <c r="R239" s="143" t="str">
        <f t="shared" si="258"/>
        <v> </v>
      </c>
      <c r="S239" s="143">
        <f t="shared" si="259"/>
        <v>4</v>
      </c>
      <c r="T239" s="143" t="str">
        <f t="shared" si="260"/>
        <v> </v>
      </c>
      <c r="U239" s="143" t="str">
        <f t="shared" si="261"/>
        <v> </v>
      </c>
      <c r="V239" s="143" t="str">
        <f t="shared" si="262"/>
        <v> </v>
      </c>
      <c r="W239" s="5"/>
      <c r="X239" s="5"/>
      <c r="Y239" s="5"/>
      <c r="Z239" s="5"/>
      <c r="AA239" s="5"/>
    </row>
    <row r="240" ht="12.75" customHeight="1">
      <c r="A240" s="136"/>
      <c r="B240" s="144" t="s">
        <v>85</v>
      </c>
      <c r="C240" s="138">
        <v>0.7</v>
      </c>
      <c r="D240" s="139">
        <v>4.0</v>
      </c>
      <c r="E240" s="140">
        <v>1.0</v>
      </c>
      <c r="F240" s="140">
        <f>'1RM'!$C$5*C240</f>
        <v>70</v>
      </c>
      <c r="G240" s="141"/>
      <c r="H240" s="142"/>
      <c r="I240" s="141">
        <f t="shared" si="256"/>
        <v>4</v>
      </c>
      <c r="J240" s="142">
        <f t="shared" si="257"/>
        <v>280</v>
      </c>
      <c r="K240" s="141"/>
      <c r="L240" s="142"/>
      <c r="M240" s="5"/>
      <c r="N240" s="5"/>
      <c r="O240" s="5"/>
      <c r="P240" s="5"/>
      <c r="Q240" s="5"/>
      <c r="R240" s="143" t="str">
        <f t="shared" si="258"/>
        <v> </v>
      </c>
      <c r="S240" s="143" t="str">
        <f t="shared" si="259"/>
        <v> </v>
      </c>
      <c r="T240" s="143">
        <f t="shared" si="260"/>
        <v>4</v>
      </c>
      <c r="U240" s="143" t="str">
        <f t="shared" si="261"/>
        <v> </v>
      </c>
      <c r="V240" s="143" t="str">
        <f t="shared" si="262"/>
        <v> </v>
      </c>
      <c r="W240" s="5"/>
      <c r="X240" s="5"/>
      <c r="Y240" s="5"/>
      <c r="Z240" s="5"/>
      <c r="AA240" s="5"/>
    </row>
    <row r="241" ht="12.75" customHeight="1">
      <c r="A241" s="136"/>
      <c r="B241" s="144" t="s">
        <v>85</v>
      </c>
      <c r="C241" s="138">
        <v>0.75</v>
      </c>
      <c r="D241" s="139">
        <v>4.0</v>
      </c>
      <c r="E241" s="140">
        <v>4.0</v>
      </c>
      <c r="F241" s="140">
        <f>'1RM'!$C$5*C241</f>
        <v>75</v>
      </c>
      <c r="G241" s="141"/>
      <c r="H241" s="142"/>
      <c r="I241" s="141">
        <f t="shared" si="256"/>
        <v>16</v>
      </c>
      <c r="J241" s="142">
        <f t="shared" si="257"/>
        <v>1200</v>
      </c>
      <c r="K241" s="141"/>
      <c r="L241" s="142"/>
      <c r="M241" s="5"/>
      <c r="N241" s="5"/>
      <c r="O241" s="5"/>
      <c r="P241" s="5"/>
      <c r="Q241" s="5"/>
      <c r="R241" s="143" t="str">
        <f t="shared" si="258"/>
        <v> </v>
      </c>
      <c r="S241" s="143" t="str">
        <f t="shared" si="259"/>
        <v> </v>
      </c>
      <c r="T241" s="143">
        <f t="shared" si="260"/>
        <v>16</v>
      </c>
      <c r="U241" s="143" t="str">
        <f t="shared" si="261"/>
        <v> </v>
      </c>
      <c r="V241" s="143" t="str">
        <f t="shared" si="262"/>
        <v> </v>
      </c>
      <c r="W241" s="5"/>
      <c r="X241" s="5"/>
      <c r="Y241" s="5"/>
      <c r="Z241" s="5"/>
      <c r="AA241" s="5"/>
    </row>
    <row r="242" ht="12.75" customHeight="1">
      <c r="A242" s="152">
        <v>4.0</v>
      </c>
      <c r="B242" s="153" t="s">
        <v>55</v>
      </c>
      <c r="C242" s="154"/>
      <c r="D242" s="155">
        <v>6.0</v>
      </c>
      <c r="E242" s="156">
        <v>5.0</v>
      </c>
      <c r="F242" s="156"/>
      <c r="G242" s="141"/>
      <c r="H242" s="142"/>
      <c r="I242" s="141"/>
      <c r="J242" s="142"/>
      <c r="K242" s="141"/>
      <c r="L242" s="142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2.75" customHeight="1">
      <c r="A243" s="152">
        <v>5.0</v>
      </c>
      <c r="B243" s="153" t="s">
        <v>69</v>
      </c>
      <c r="C243" s="154"/>
      <c r="D243" s="155">
        <v>5.0</v>
      </c>
      <c r="E243" s="156">
        <v>5.0</v>
      </c>
      <c r="F243" s="156"/>
      <c r="G243" s="141"/>
      <c r="H243" s="142"/>
      <c r="I243" s="141"/>
      <c r="J243" s="142"/>
      <c r="K243" s="141"/>
      <c r="L243" s="142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2.75" customHeight="1">
      <c r="A244" s="33"/>
      <c r="B244" s="134"/>
      <c r="C244" s="135"/>
      <c r="D244" s="45"/>
      <c r="E244" s="45"/>
      <c r="F244" s="45"/>
      <c r="G244" s="141"/>
      <c r="H244" s="142"/>
      <c r="I244" s="141"/>
      <c r="J244" s="142"/>
      <c r="K244" s="141"/>
      <c r="L244" s="142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2.75" customHeight="1">
      <c r="A245" s="33" t="s">
        <v>66</v>
      </c>
      <c r="B245" s="134"/>
      <c r="C245" s="135" t="s">
        <v>20</v>
      </c>
      <c r="D245" s="45" t="s">
        <v>51</v>
      </c>
      <c r="E245" s="45" t="s">
        <v>52</v>
      </c>
      <c r="F245" s="45" t="s">
        <v>53</v>
      </c>
      <c r="G245" s="141"/>
      <c r="H245" s="142"/>
      <c r="I245" s="141"/>
      <c r="J245" s="142"/>
      <c r="K245" s="141"/>
      <c r="L245" s="142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2.75" customHeight="1">
      <c r="A246" s="157">
        <v>1.0</v>
      </c>
      <c r="B246" s="158" t="s">
        <v>104</v>
      </c>
      <c r="C246" s="159">
        <v>0.5</v>
      </c>
      <c r="D246" s="160">
        <v>4.0</v>
      </c>
      <c r="E246" s="161">
        <v>1.0</v>
      </c>
      <c r="F246" s="161">
        <f>'1RM'!$C$6*C246</f>
        <v>50</v>
      </c>
      <c r="G246" s="141"/>
      <c r="H246" s="142"/>
      <c r="I246" s="141"/>
      <c r="J246" s="142"/>
      <c r="K246" s="141">
        <f t="shared" ref="K246:K249" si="263">D246*E246</f>
        <v>4</v>
      </c>
      <c r="L246" s="142">
        <f t="shared" ref="L246:L249" si="264">F246*K246</f>
        <v>200</v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162">
        <f t="shared" ref="W246:W249" si="265">IF(ISNUMBER(SEARCH("Peso muerto",$B246)),IF($C246&gt;=0.5,IF($C246&lt;0.6,$D246*$E246," ")," ")," ")</f>
        <v>4</v>
      </c>
      <c r="X246" s="162" t="str">
        <f t="shared" ref="X246:X249" si="266">IF(ISNUMBER(SEARCH("Peso muerto",$B246)),IF($C246&gt;=0.6,IF($C246&lt;0.7,$D246*$E246," ")," ")," ")</f>
        <v> </v>
      </c>
      <c r="Y246" s="162" t="str">
        <f t="shared" ref="Y246:Y249" si="267">IF(ISNUMBER(SEARCH("Peso muerto",$B246)),IF($C246&gt;=0.7,IF($C246&lt;0.8,$D246*$E246," ")," ")," ")</f>
        <v> </v>
      </c>
      <c r="Z246" s="162" t="str">
        <f t="shared" ref="Z246:Z249" si="268">IF(ISNUMBER(SEARCH("Peso muerto",$B246)),IF($C246&gt;=0.8,IF($C246&lt;0.9,$D246*$E246," ")," ")," ")</f>
        <v> </v>
      </c>
      <c r="AA246" s="162" t="str">
        <f t="shared" ref="AA246:AA249" si="269">IF(ISNUMBER(SEARCH("Peso muerto",$B246)),IF($C246&gt;=0.9,$D246*$E246," ")," ")</f>
        <v> </v>
      </c>
    </row>
    <row r="247" ht="12.75" customHeight="1">
      <c r="A247" s="157"/>
      <c r="B247" s="184" t="s">
        <v>104</v>
      </c>
      <c r="C247" s="159">
        <v>0.6</v>
      </c>
      <c r="D247" s="160">
        <v>4.0</v>
      </c>
      <c r="E247" s="161">
        <v>1.0</v>
      </c>
      <c r="F247" s="161">
        <f>'1RM'!$C$6*C247</f>
        <v>60</v>
      </c>
      <c r="G247" s="141"/>
      <c r="H247" s="142"/>
      <c r="I247" s="141"/>
      <c r="J247" s="142"/>
      <c r="K247" s="141">
        <f t="shared" si="263"/>
        <v>4</v>
      </c>
      <c r="L247" s="142">
        <f t="shared" si="264"/>
        <v>240</v>
      </c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162" t="str">
        <f t="shared" si="265"/>
        <v> </v>
      </c>
      <c r="X247" s="162">
        <f t="shared" si="266"/>
        <v>4</v>
      </c>
      <c r="Y247" s="162" t="str">
        <f t="shared" si="267"/>
        <v> </v>
      </c>
      <c r="Z247" s="162" t="str">
        <f t="shared" si="268"/>
        <v> </v>
      </c>
      <c r="AA247" s="162" t="str">
        <f t="shared" si="269"/>
        <v> </v>
      </c>
    </row>
    <row r="248" ht="12.75" customHeight="1">
      <c r="A248" s="157"/>
      <c r="B248" s="184" t="s">
        <v>107</v>
      </c>
      <c r="C248" s="159">
        <v>0.7</v>
      </c>
      <c r="D248" s="160">
        <v>3.0</v>
      </c>
      <c r="E248" s="161">
        <v>1.0</v>
      </c>
      <c r="F248" s="161">
        <f>'1RM'!$C$6*C248</f>
        <v>70</v>
      </c>
      <c r="G248" s="141"/>
      <c r="H248" s="142"/>
      <c r="I248" s="141"/>
      <c r="J248" s="142"/>
      <c r="K248" s="141">
        <f t="shared" si="263"/>
        <v>3</v>
      </c>
      <c r="L248" s="142">
        <f t="shared" si="264"/>
        <v>210</v>
      </c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162" t="str">
        <f t="shared" si="265"/>
        <v> </v>
      </c>
      <c r="X248" s="162" t="str">
        <f t="shared" si="266"/>
        <v> </v>
      </c>
      <c r="Y248" s="162">
        <f t="shared" si="267"/>
        <v>3</v>
      </c>
      <c r="Z248" s="162" t="str">
        <f t="shared" si="268"/>
        <v> </v>
      </c>
      <c r="AA248" s="162" t="str">
        <f t="shared" si="269"/>
        <v> </v>
      </c>
    </row>
    <row r="249" ht="12.75" customHeight="1">
      <c r="A249" s="157"/>
      <c r="B249" s="184" t="s">
        <v>108</v>
      </c>
      <c r="C249" s="159">
        <v>0.8</v>
      </c>
      <c r="D249" s="160">
        <v>2.0</v>
      </c>
      <c r="E249" s="161">
        <v>4.0</v>
      </c>
      <c r="F249" s="161">
        <f>'1RM'!$C$6*C249</f>
        <v>80</v>
      </c>
      <c r="G249" s="141"/>
      <c r="H249" s="142"/>
      <c r="I249" s="141"/>
      <c r="J249" s="142"/>
      <c r="K249" s="141">
        <f t="shared" si="263"/>
        <v>8</v>
      </c>
      <c r="L249" s="142">
        <f t="shared" si="264"/>
        <v>640</v>
      </c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162" t="str">
        <f t="shared" si="265"/>
        <v> </v>
      </c>
      <c r="X249" s="162" t="str">
        <f t="shared" si="266"/>
        <v> </v>
      </c>
      <c r="Y249" s="162" t="str">
        <f t="shared" si="267"/>
        <v> </v>
      </c>
      <c r="Z249" s="162">
        <f t="shared" si="268"/>
        <v>8</v>
      </c>
      <c r="AA249" s="162" t="str">
        <f t="shared" si="269"/>
        <v> </v>
      </c>
    </row>
    <row r="250" ht="12.75" customHeight="1">
      <c r="A250" s="152">
        <v>2.0</v>
      </c>
      <c r="B250" s="153" t="s">
        <v>88</v>
      </c>
      <c r="C250" s="154"/>
      <c r="D250" s="156">
        <v>3.0</v>
      </c>
      <c r="E250" s="156">
        <v>5.0</v>
      </c>
      <c r="F250" s="154"/>
      <c r="G250" s="141"/>
      <c r="H250" s="142"/>
      <c r="I250" s="141"/>
      <c r="J250" s="142"/>
      <c r="K250" s="141"/>
      <c r="L250" s="142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2.75" customHeight="1">
      <c r="A251" s="152">
        <v>3.0</v>
      </c>
      <c r="B251" s="153" t="s">
        <v>60</v>
      </c>
      <c r="C251" s="154"/>
      <c r="D251" s="155">
        <v>6.0</v>
      </c>
      <c r="E251" s="156">
        <v>5.0</v>
      </c>
      <c r="F251" s="156"/>
      <c r="G251" s="141"/>
      <c r="H251" s="142"/>
      <c r="I251" s="141"/>
      <c r="J251" s="142"/>
      <c r="K251" s="141"/>
      <c r="L251" s="142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2.75" customHeight="1">
      <c r="A252" s="152">
        <v>4.0</v>
      </c>
      <c r="B252" s="153" t="s">
        <v>65</v>
      </c>
      <c r="C252" s="154"/>
      <c r="D252" s="155">
        <v>8.0</v>
      </c>
      <c r="E252" s="156">
        <v>4.0</v>
      </c>
      <c r="F252" s="156"/>
      <c r="G252" s="177"/>
      <c r="H252" s="178"/>
      <c r="I252" s="177"/>
      <c r="J252" s="178"/>
      <c r="K252" s="177"/>
      <c r="L252" s="178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2.75" customHeight="1">
      <c r="A253" s="169"/>
      <c r="B253" s="170"/>
      <c r="C253" s="171"/>
      <c r="D253" s="180"/>
      <c r="E253" s="172"/>
      <c r="F253" s="172"/>
      <c r="G253" s="173">
        <f t="shared" ref="G253:AA253" si="270">SUM(G190:G252)</f>
        <v>77</v>
      </c>
      <c r="H253" s="173">
        <f t="shared" si="270"/>
        <v>5280</v>
      </c>
      <c r="I253" s="173">
        <f t="shared" si="270"/>
        <v>128</v>
      </c>
      <c r="J253" s="173">
        <f t="shared" si="270"/>
        <v>9005</v>
      </c>
      <c r="K253" s="173">
        <f t="shared" si="270"/>
        <v>54</v>
      </c>
      <c r="L253" s="173">
        <f t="shared" si="270"/>
        <v>3970</v>
      </c>
      <c r="M253" s="173">
        <f t="shared" si="270"/>
        <v>10</v>
      </c>
      <c r="N253" s="173">
        <f t="shared" si="270"/>
        <v>9</v>
      </c>
      <c r="O253" s="169">
        <f t="shared" si="270"/>
        <v>42</v>
      </c>
      <c r="P253" s="169">
        <f t="shared" si="270"/>
        <v>16</v>
      </c>
      <c r="Q253" s="172">
        <f t="shared" si="270"/>
        <v>0</v>
      </c>
      <c r="R253" s="175">
        <f t="shared" si="270"/>
        <v>19</v>
      </c>
      <c r="S253" s="175">
        <f t="shared" si="270"/>
        <v>18</v>
      </c>
      <c r="T253" s="175">
        <f t="shared" si="270"/>
        <v>61</v>
      </c>
      <c r="U253" s="175">
        <f t="shared" si="270"/>
        <v>24</v>
      </c>
      <c r="V253" s="175">
        <f t="shared" si="270"/>
        <v>6</v>
      </c>
      <c r="W253" s="175">
        <f t="shared" si="270"/>
        <v>7</v>
      </c>
      <c r="X253" s="175">
        <f t="shared" si="270"/>
        <v>10</v>
      </c>
      <c r="Y253" s="175">
        <f t="shared" si="270"/>
        <v>9</v>
      </c>
      <c r="Z253" s="175">
        <f t="shared" si="270"/>
        <v>22</v>
      </c>
      <c r="AA253" s="175">
        <f t="shared" si="270"/>
        <v>6</v>
      </c>
    </row>
    <row r="254" ht="12.75" customHeight="1">
      <c r="A254" s="33" t="s">
        <v>39</v>
      </c>
      <c r="B254" s="33"/>
      <c r="C254" s="133"/>
      <c r="D254" s="42"/>
      <c r="E254" s="42"/>
      <c r="F254" s="42"/>
      <c r="G254" s="141"/>
      <c r="H254" s="142"/>
      <c r="I254" s="141"/>
      <c r="J254" s="142"/>
      <c r="K254" s="141"/>
      <c r="L254" s="142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2.75" customHeight="1">
      <c r="A255" s="33" t="s">
        <v>50</v>
      </c>
      <c r="B255" s="134"/>
      <c r="C255" s="135" t="s">
        <v>20</v>
      </c>
      <c r="D255" s="45" t="s">
        <v>51</v>
      </c>
      <c r="E255" s="45" t="s">
        <v>52</v>
      </c>
      <c r="F255" s="45" t="s">
        <v>53</v>
      </c>
      <c r="G255" s="141"/>
      <c r="H255" s="142"/>
      <c r="I255" s="141"/>
      <c r="J255" s="142"/>
      <c r="K255" s="141"/>
      <c r="L255" s="142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2.75" customHeight="1">
      <c r="A256" s="136">
        <v>1.0</v>
      </c>
      <c r="B256" s="137" t="s">
        <v>5</v>
      </c>
      <c r="C256" s="138">
        <v>0.5</v>
      </c>
      <c r="D256" s="139">
        <v>5.0</v>
      </c>
      <c r="E256" s="140">
        <v>1.0</v>
      </c>
      <c r="F256" s="140">
        <f>'1RM'!$C$5*C256</f>
        <v>50</v>
      </c>
      <c r="G256" s="141"/>
      <c r="H256" s="142"/>
      <c r="I256" s="141">
        <f t="shared" ref="I256:I259" si="271">D256*E256</f>
        <v>5</v>
      </c>
      <c r="J256" s="142">
        <f t="shared" ref="J256:J259" si="272">F256*I256</f>
        <v>250</v>
      </c>
      <c r="K256" s="141"/>
      <c r="L256" s="142"/>
      <c r="M256" s="5"/>
      <c r="N256" s="5"/>
      <c r="O256" s="5"/>
      <c r="P256" s="5"/>
      <c r="Q256" s="5"/>
      <c r="R256" s="143">
        <f t="shared" ref="R256:R259" si="273">IF(ISNUMBER(SEARCH("Press de banca",$B256)),IF($C256&gt;=0.5,IF($C256&lt;0.6,$D256*$E256," ")," ")," ")</f>
        <v>5</v>
      </c>
      <c r="S256" s="143" t="str">
        <f t="shared" ref="S256:S259" si="274">IF(ISNUMBER(SEARCH("Press de banca",$B256)),IF($C256&gt;=0.6,IF($C256&lt;0.7,$D256*$E256," ")," ")," ")</f>
        <v> </v>
      </c>
      <c r="T256" s="143" t="str">
        <f t="shared" ref="T256:T259" si="275">IF(ISNUMBER(SEARCH("Press de banca",$B256)),IF($C256&gt;=0.7,IF($C256&lt;0.8,$D256*$E256," ")," ")," ")</f>
        <v> </v>
      </c>
      <c r="U256" s="143" t="str">
        <f t="shared" ref="U256:U259" si="276">IF(ISNUMBER(SEARCH("Press de banca",$B256)),IF($C256&gt;=0.8,IF($C256&lt;0.9,$D256*$E256," ")," ")," ")</f>
        <v> </v>
      </c>
      <c r="V256" s="143" t="str">
        <f t="shared" ref="V256:V259" si="277">IF(ISNUMBER(SEARCH("Press de banca",$B256)),IF($C256&gt;=0.9,$D256*$E256," ")," ")</f>
        <v> </v>
      </c>
      <c r="W256" s="5"/>
      <c r="X256" s="5"/>
      <c r="Y256" s="5"/>
      <c r="Z256" s="5"/>
      <c r="AA256" s="5"/>
    </row>
    <row r="257" ht="12.75" customHeight="1">
      <c r="A257" s="136"/>
      <c r="B257" s="144" t="s">
        <v>5</v>
      </c>
      <c r="C257" s="138">
        <v>0.6</v>
      </c>
      <c r="D257" s="139">
        <v>4.0</v>
      </c>
      <c r="E257" s="140">
        <v>1.0</v>
      </c>
      <c r="F257" s="140">
        <f>'1RM'!$C$5*C257</f>
        <v>60</v>
      </c>
      <c r="G257" s="141"/>
      <c r="H257" s="142"/>
      <c r="I257" s="141">
        <f t="shared" si="271"/>
        <v>4</v>
      </c>
      <c r="J257" s="142">
        <f t="shared" si="272"/>
        <v>240</v>
      </c>
      <c r="K257" s="141"/>
      <c r="L257" s="142"/>
      <c r="M257" s="5"/>
      <c r="N257" s="5"/>
      <c r="O257" s="5"/>
      <c r="P257" s="5"/>
      <c r="Q257" s="5"/>
      <c r="R257" s="143" t="str">
        <f t="shared" si="273"/>
        <v> </v>
      </c>
      <c r="S257" s="143">
        <f t="shared" si="274"/>
        <v>4</v>
      </c>
      <c r="T257" s="143" t="str">
        <f t="shared" si="275"/>
        <v> </v>
      </c>
      <c r="U257" s="143" t="str">
        <f t="shared" si="276"/>
        <v> </v>
      </c>
      <c r="V257" s="143" t="str">
        <f t="shared" si="277"/>
        <v> </v>
      </c>
      <c r="W257" s="5"/>
      <c r="X257" s="5"/>
      <c r="Y257" s="5"/>
      <c r="Z257" s="5"/>
      <c r="AA257" s="5"/>
    </row>
    <row r="258" ht="12.75" customHeight="1">
      <c r="A258" s="136"/>
      <c r="B258" s="144" t="s">
        <v>5</v>
      </c>
      <c r="C258" s="138">
        <v>0.7</v>
      </c>
      <c r="D258" s="139">
        <v>3.0</v>
      </c>
      <c r="E258" s="140">
        <v>1.0</v>
      </c>
      <c r="F258" s="140">
        <f>'1RM'!$C$5*C258</f>
        <v>70</v>
      </c>
      <c r="G258" s="141"/>
      <c r="H258" s="142"/>
      <c r="I258" s="141">
        <f t="shared" si="271"/>
        <v>3</v>
      </c>
      <c r="J258" s="142">
        <f t="shared" si="272"/>
        <v>210</v>
      </c>
      <c r="K258" s="141"/>
      <c r="L258" s="142"/>
      <c r="M258" s="5"/>
      <c r="N258" s="5"/>
      <c r="O258" s="5"/>
      <c r="P258" s="5"/>
      <c r="Q258" s="5"/>
      <c r="R258" s="143" t="str">
        <f t="shared" si="273"/>
        <v> </v>
      </c>
      <c r="S258" s="143" t="str">
        <f t="shared" si="274"/>
        <v> </v>
      </c>
      <c r="T258" s="143">
        <f t="shared" si="275"/>
        <v>3</v>
      </c>
      <c r="U258" s="143" t="str">
        <f t="shared" si="276"/>
        <v> </v>
      </c>
      <c r="V258" s="143" t="str">
        <f t="shared" si="277"/>
        <v> </v>
      </c>
      <c r="W258" s="5"/>
      <c r="X258" s="5"/>
      <c r="Y258" s="5"/>
      <c r="Z258" s="5"/>
      <c r="AA258" s="5"/>
    </row>
    <row r="259" ht="12.75" customHeight="1">
      <c r="A259" s="136"/>
      <c r="B259" s="144" t="s">
        <v>5</v>
      </c>
      <c r="C259" s="138">
        <v>0.8</v>
      </c>
      <c r="D259" s="139">
        <v>5.0</v>
      </c>
      <c r="E259" s="140">
        <v>4.0</v>
      </c>
      <c r="F259" s="140">
        <f>'1RM'!$C$5*C259</f>
        <v>80</v>
      </c>
      <c r="G259" s="141"/>
      <c r="H259" s="142"/>
      <c r="I259" s="141">
        <f t="shared" si="271"/>
        <v>20</v>
      </c>
      <c r="J259" s="142">
        <f t="shared" si="272"/>
        <v>1600</v>
      </c>
      <c r="K259" s="141"/>
      <c r="L259" s="142"/>
      <c r="M259" s="5"/>
      <c r="N259" s="5"/>
      <c r="O259" s="5"/>
      <c r="P259" s="5"/>
      <c r="Q259" s="5"/>
      <c r="R259" s="143" t="str">
        <f t="shared" si="273"/>
        <v> </v>
      </c>
      <c r="S259" s="143" t="str">
        <f t="shared" si="274"/>
        <v> </v>
      </c>
      <c r="T259" s="143" t="str">
        <f t="shared" si="275"/>
        <v> </v>
      </c>
      <c r="U259" s="143">
        <f t="shared" si="276"/>
        <v>20</v>
      </c>
      <c r="V259" s="143" t="str">
        <f t="shared" si="277"/>
        <v> </v>
      </c>
      <c r="W259" s="5"/>
      <c r="X259" s="5"/>
      <c r="Y259" s="5"/>
      <c r="Z259" s="5"/>
      <c r="AA259" s="5"/>
    </row>
    <row r="260" ht="12.75" customHeight="1">
      <c r="A260" s="145">
        <v>2.0</v>
      </c>
      <c r="B260" s="146" t="s">
        <v>4</v>
      </c>
      <c r="C260" s="147">
        <v>0.5</v>
      </c>
      <c r="D260" s="148">
        <v>5.0</v>
      </c>
      <c r="E260" s="149">
        <v>1.0</v>
      </c>
      <c r="F260" s="149">
        <f>'1RM'!$C$4*C260</f>
        <v>50</v>
      </c>
      <c r="G260" s="141">
        <f t="shared" ref="G260:G263" si="278">D260*E260</f>
        <v>5</v>
      </c>
      <c r="H260" s="142">
        <f t="shared" ref="H260:H263" si="279">F260*G260</f>
        <v>250</v>
      </c>
      <c r="I260" s="141"/>
      <c r="J260" s="142"/>
      <c r="K260" s="141"/>
      <c r="L260" s="142"/>
      <c r="M260" s="150">
        <f t="shared" ref="M260:M263" si="280">IF(ISNUMBER(SEARCH("Sentadilla",$B260)),IF($C260&gt;=0.5,IF($C260&lt;0.6,$D260*$E260," ")," ")," ")</f>
        <v>5</v>
      </c>
      <c r="N260" s="150" t="str">
        <f t="shared" ref="N260:N263" si="281">IF(ISNUMBER(SEARCH("Sentadilla",$B260)),IF($C260&gt;=0.6,IF($C260&lt;0.7,$D260*$E260," ")," ")," ")</f>
        <v> </v>
      </c>
      <c r="O260" s="150" t="str">
        <f t="shared" ref="O260:O263" si="282">IF(ISNUMBER(SEARCH("Sentadilla",$B260)),IF($C260&gt;=0.7,IF($C260&lt;0.8,$D260*$E260," ")," ")," ")</f>
        <v> </v>
      </c>
      <c r="P260" s="150" t="str">
        <f t="shared" ref="P260:P263" si="283">IF(ISNUMBER(SEARCH("Sentadilla",$B260)),IF($C260&gt;=0.8,IF($C260&lt;0.9,$D260*$E260," ")," ")," ")</f>
        <v> </v>
      </c>
      <c r="Q260" s="150" t="str">
        <f t="shared" ref="Q260:Q263" si="284">IF(ISNUMBER(SEARCH("Sentadilla",$B260)),IF($C260&gt;=0.9,$D260*$E260," ")," ")</f>
        <v> </v>
      </c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2.75" customHeight="1">
      <c r="A261" s="145"/>
      <c r="B261" s="151" t="s">
        <v>4</v>
      </c>
      <c r="C261" s="147">
        <v>0.6</v>
      </c>
      <c r="D261" s="148">
        <v>4.0</v>
      </c>
      <c r="E261" s="149">
        <v>1.0</v>
      </c>
      <c r="F261" s="149">
        <f>'1RM'!$C$4*C261</f>
        <v>60</v>
      </c>
      <c r="G261" s="141">
        <f t="shared" si="278"/>
        <v>4</v>
      </c>
      <c r="H261" s="142">
        <f t="shared" si="279"/>
        <v>240</v>
      </c>
      <c r="I261" s="141"/>
      <c r="J261" s="142"/>
      <c r="K261" s="141"/>
      <c r="L261" s="142"/>
      <c r="M261" s="150" t="str">
        <f t="shared" si="280"/>
        <v> </v>
      </c>
      <c r="N261" s="150">
        <f t="shared" si="281"/>
        <v>4</v>
      </c>
      <c r="O261" s="150" t="str">
        <f t="shared" si="282"/>
        <v> </v>
      </c>
      <c r="P261" s="150" t="str">
        <f t="shared" si="283"/>
        <v> </v>
      </c>
      <c r="Q261" s="150" t="str">
        <f t="shared" si="284"/>
        <v> </v>
      </c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2.75" customHeight="1">
      <c r="A262" s="145"/>
      <c r="B262" s="151" t="s">
        <v>4</v>
      </c>
      <c r="C262" s="147">
        <v>0.7</v>
      </c>
      <c r="D262" s="148">
        <v>3.0</v>
      </c>
      <c r="E262" s="149">
        <v>1.0</v>
      </c>
      <c r="F262" s="149">
        <f>'1RM'!$C$4*C262</f>
        <v>70</v>
      </c>
      <c r="G262" s="141">
        <f t="shared" si="278"/>
        <v>3</v>
      </c>
      <c r="H262" s="142">
        <f t="shared" si="279"/>
        <v>210</v>
      </c>
      <c r="I262" s="141"/>
      <c r="J262" s="142"/>
      <c r="K262" s="141"/>
      <c r="L262" s="142"/>
      <c r="M262" s="150" t="str">
        <f t="shared" si="280"/>
        <v> </v>
      </c>
      <c r="N262" s="150" t="str">
        <f t="shared" si="281"/>
        <v> </v>
      </c>
      <c r="O262" s="150">
        <f t="shared" si="282"/>
        <v>3</v>
      </c>
      <c r="P262" s="150" t="str">
        <f t="shared" si="283"/>
        <v> </v>
      </c>
      <c r="Q262" s="150" t="str">
        <f t="shared" si="284"/>
        <v> </v>
      </c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2.75" customHeight="1">
      <c r="A263" s="145"/>
      <c r="B263" s="151" t="s">
        <v>4</v>
      </c>
      <c r="C263" s="147">
        <v>0.8</v>
      </c>
      <c r="D263" s="148">
        <v>5.0</v>
      </c>
      <c r="E263" s="149">
        <v>4.0</v>
      </c>
      <c r="F263" s="149">
        <f>'1RM'!$C$4*C263</f>
        <v>80</v>
      </c>
      <c r="G263" s="141">
        <f t="shared" si="278"/>
        <v>20</v>
      </c>
      <c r="H263" s="142">
        <f t="shared" si="279"/>
        <v>1600</v>
      </c>
      <c r="I263" s="141"/>
      <c r="J263" s="142"/>
      <c r="K263" s="141"/>
      <c r="L263" s="142"/>
      <c r="M263" s="150" t="str">
        <f t="shared" si="280"/>
        <v> </v>
      </c>
      <c r="N263" s="150" t="str">
        <f t="shared" si="281"/>
        <v> </v>
      </c>
      <c r="O263" s="150" t="str">
        <f t="shared" si="282"/>
        <v> </v>
      </c>
      <c r="P263" s="150">
        <f t="shared" si="283"/>
        <v>20</v>
      </c>
      <c r="Q263" s="150" t="str">
        <f t="shared" si="284"/>
        <v> </v>
      </c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2.75" customHeight="1">
      <c r="A264" s="136">
        <v>3.0</v>
      </c>
      <c r="B264" s="137" t="s">
        <v>5</v>
      </c>
      <c r="C264" s="138">
        <v>0.5</v>
      </c>
      <c r="D264" s="139">
        <v>4.0</v>
      </c>
      <c r="E264" s="140">
        <v>1.0</v>
      </c>
      <c r="F264" s="140">
        <f>'1RM'!$C$5*C264</f>
        <v>50</v>
      </c>
      <c r="G264" s="141"/>
      <c r="H264" s="142"/>
      <c r="I264" s="141">
        <f t="shared" ref="I264:I266" si="285">D264*E264</f>
        <v>4</v>
      </c>
      <c r="J264" s="142">
        <f t="shared" ref="J264:J266" si="286">F264*I264</f>
        <v>200</v>
      </c>
      <c r="K264" s="141"/>
      <c r="L264" s="142"/>
      <c r="M264" s="5"/>
      <c r="N264" s="5"/>
      <c r="O264" s="5"/>
      <c r="P264" s="5"/>
      <c r="Q264" s="5"/>
      <c r="R264" s="143">
        <f t="shared" ref="R264:R266" si="287">IF(ISNUMBER(SEARCH("Press de banca",$B264)),IF($C264&gt;=0.5,IF($C264&lt;0.6,$D264*$E264," ")," ")," ")</f>
        <v>4</v>
      </c>
      <c r="S264" s="143" t="str">
        <f t="shared" ref="S264:S266" si="288">IF(ISNUMBER(SEARCH("Press de banca",$B264)),IF($C264&gt;=0.6,IF($C264&lt;0.7,$D264*$E264," ")," ")," ")</f>
        <v> </v>
      </c>
      <c r="T264" s="143" t="str">
        <f t="shared" ref="T264:T266" si="289">IF(ISNUMBER(SEARCH("Press de banca",$B264)),IF($C264&gt;=0.7,IF($C264&lt;0.8,$D264*$E264," ")," ")," ")</f>
        <v> </v>
      </c>
      <c r="U264" s="143" t="str">
        <f t="shared" ref="U264:U266" si="290">IF(ISNUMBER(SEARCH("Press de banca",$B264)),IF($C264&gt;=0.8,IF($C264&lt;0.9,$D264*$E264," ")," ")," ")</f>
        <v> </v>
      </c>
      <c r="V264" s="143" t="str">
        <f t="shared" ref="V264:V266" si="291">IF(ISNUMBER(SEARCH("Press de banca",$B264)),IF($C264&gt;=0.9,$D264*$E264," ")," ")</f>
        <v> </v>
      </c>
      <c r="W264" s="5"/>
      <c r="X264" s="5"/>
      <c r="Y264" s="5"/>
      <c r="Z264" s="5"/>
      <c r="AA264" s="5"/>
    </row>
    <row r="265" ht="12.75" customHeight="1">
      <c r="A265" s="136"/>
      <c r="B265" s="144" t="s">
        <v>5</v>
      </c>
      <c r="C265" s="138">
        <v>0.6</v>
      </c>
      <c r="D265" s="139">
        <v>4.0</v>
      </c>
      <c r="E265" s="140">
        <v>1.0</v>
      </c>
      <c r="F265" s="140">
        <f>'1RM'!$C$5*C265</f>
        <v>60</v>
      </c>
      <c r="G265" s="141"/>
      <c r="H265" s="142"/>
      <c r="I265" s="141">
        <f t="shared" si="285"/>
        <v>4</v>
      </c>
      <c r="J265" s="142">
        <f t="shared" si="286"/>
        <v>240</v>
      </c>
      <c r="K265" s="141"/>
      <c r="L265" s="142"/>
      <c r="M265" s="5"/>
      <c r="N265" s="5"/>
      <c r="O265" s="5"/>
      <c r="P265" s="5"/>
      <c r="Q265" s="5"/>
      <c r="R265" s="143" t="str">
        <f t="shared" si="287"/>
        <v> </v>
      </c>
      <c r="S265" s="143">
        <f t="shared" si="288"/>
        <v>4</v>
      </c>
      <c r="T265" s="143" t="str">
        <f t="shared" si="289"/>
        <v> </v>
      </c>
      <c r="U265" s="143" t="str">
        <f t="shared" si="290"/>
        <v> </v>
      </c>
      <c r="V265" s="143" t="str">
        <f t="shared" si="291"/>
        <v> </v>
      </c>
      <c r="W265" s="5"/>
      <c r="X265" s="5"/>
      <c r="Y265" s="5"/>
      <c r="Z265" s="5"/>
      <c r="AA265" s="5"/>
    </row>
    <row r="266" ht="12.75" customHeight="1">
      <c r="A266" s="136"/>
      <c r="B266" s="144" t="s">
        <v>5</v>
      </c>
      <c r="C266" s="138">
        <v>0.7</v>
      </c>
      <c r="D266" s="139">
        <v>8.0</v>
      </c>
      <c r="E266" s="140">
        <v>4.0</v>
      </c>
      <c r="F266" s="140">
        <f>'1RM'!$C$5*C266</f>
        <v>70</v>
      </c>
      <c r="G266" s="141"/>
      <c r="H266" s="142"/>
      <c r="I266" s="141">
        <f t="shared" si="285"/>
        <v>32</v>
      </c>
      <c r="J266" s="142">
        <f t="shared" si="286"/>
        <v>2240</v>
      </c>
      <c r="K266" s="141"/>
      <c r="L266" s="142"/>
      <c r="M266" s="5"/>
      <c r="N266" s="5"/>
      <c r="O266" s="5"/>
      <c r="P266" s="5"/>
      <c r="Q266" s="5"/>
      <c r="R266" s="143" t="str">
        <f t="shared" si="287"/>
        <v> </v>
      </c>
      <c r="S266" s="143" t="str">
        <f t="shared" si="288"/>
        <v> </v>
      </c>
      <c r="T266" s="143">
        <f t="shared" si="289"/>
        <v>32</v>
      </c>
      <c r="U266" s="143" t="str">
        <f t="shared" si="290"/>
        <v> </v>
      </c>
      <c r="V266" s="143" t="str">
        <f t="shared" si="291"/>
        <v> </v>
      </c>
      <c r="W266" s="5"/>
      <c r="X266" s="5"/>
      <c r="Y266" s="5"/>
      <c r="Z266" s="5"/>
      <c r="AA266" s="5"/>
    </row>
    <row r="267" ht="12.75" customHeight="1">
      <c r="A267" s="152">
        <v>4.0</v>
      </c>
      <c r="B267" s="153" t="s">
        <v>55</v>
      </c>
      <c r="C267" s="154"/>
      <c r="D267" s="155">
        <v>6.0</v>
      </c>
      <c r="E267" s="156">
        <v>4.0</v>
      </c>
      <c r="F267" s="156"/>
      <c r="G267" s="141"/>
      <c r="H267" s="142"/>
      <c r="I267" s="141"/>
      <c r="J267" s="142"/>
      <c r="K267" s="141"/>
      <c r="L267" s="142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2.75" customHeight="1">
      <c r="A268" s="164">
        <v>5.0</v>
      </c>
      <c r="B268" s="165" t="s">
        <v>61</v>
      </c>
      <c r="C268" s="166"/>
      <c r="D268" s="167">
        <v>5.0</v>
      </c>
      <c r="E268" s="168">
        <v>5.0</v>
      </c>
      <c r="F268" s="168"/>
      <c r="G268" s="141"/>
      <c r="H268" s="142"/>
      <c r="I268" s="141"/>
      <c r="J268" s="142"/>
      <c r="K268" s="141"/>
      <c r="L268" s="142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2.75" customHeight="1">
      <c r="A269" s="33"/>
      <c r="B269" s="134"/>
      <c r="C269" s="133"/>
      <c r="D269" s="42"/>
      <c r="E269" s="42"/>
      <c r="F269" s="42"/>
      <c r="G269" s="141"/>
      <c r="H269" s="142"/>
      <c r="I269" s="141"/>
      <c r="J269" s="142"/>
      <c r="K269" s="141"/>
      <c r="L269" s="142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2.75" customHeight="1">
      <c r="A270" s="33" t="s">
        <v>57</v>
      </c>
      <c r="B270" s="134"/>
      <c r="C270" s="135" t="s">
        <v>20</v>
      </c>
      <c r="D270" s="45" t="s">
        <v>51</v>
      </c>
      <c r="E270" s="45" t="s">
        <v>52</v>
      </c>
      <c r="F270" s="45" t="s">
        <v>53</v>
      </c>
      <c r="G270" s="141"/>
      <c r="H270" s="142"/>
      <c r="I270" s="141"/>
      <c r="J270" s="142"/>
      <c r="K270" s="141"/>
      <c r="L270" s="142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2.75" customHeight="1">
      <c r="A271" s="157">
        <v>1.0</v>
      </c>
      <c r="B271" s="158" t="s">
        <v>67</v>
      </c>
      <c r="C271" s="159">
        <v>0.5</v>
      </c>
      <c r="D271" s="160">
        <v>3.0</v>
      </c>
      <c r="E271" s="161">
        <v>1.0</v>
      </c>
      <c r="F271" s="161">
        <f>'1RM'!$C$6*C271</f>
        <v>50</v>
      </c>
      <c r="G271" s="141"/>
      <c r="H271" s="142"/>
      <c r="I271" s="141"/>
      <c r="J271" s="142"/>
      <c r="K271" s="141">
        <f t="shared" ref="K271:K274" si="292">D271*E271</f>
        <v>3</v>
      </c>
      <c r="L271" s="142">
        <f t="shared" ref="L271:L274" si="293">F271*K271</f>
        <v>150</v>
      </c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162">
        <f t="shared" ref="W271:W274" si="294">IF(ISNUMBER(SEARCH("Peso muerto",$B271)),IF($C271&gt;=0.5,IF($C271&lt;0.6,$D271*$E271," ")," ")," ")</f>
        <v>3</v>
      </c>
      <c r="X271" s="162" t="str">
        <f t="shared" ref="X271:X274" si="295">IF(ISNUMBER(SEARCH("Peso muerto",$B271)),IF($C271&gt;=0.6,IF($C271&lt;0.7,$D271*$E271," ")," ")," ")</f>
        <v> </v>
      </c>
      <c r="Y271" s="162" t="str">
        <f t="shared" ref="Y271:Y274" si="296">IF(ISNUMBER(SEARCH("Peso muerto",$B271)),IF($C271&gt;=0.7,IF($C271&lt;0.8,$D271*$E271," ")," ")," ")</f>
        <v> </v>
      </c>
      <c r="Z271" s="162" t="str">
        <f t="shared" ref="Z271:Z274" si="297">IF(ISNUMBER(SEARCH("Peso muerto",$B271)),IF($C271&gt;=0.8,IF($C271&lt;0.9,$D271*$E271," ")," ")," ")</f>
        <v> </v>
      </c>
      <c r="AA271" s="162" t="str">
        <f t="shared" ref="AA271:AA274" si="298">IF(ISNUMBER(SEARCH("Peso muerto",$B271)),IF($C271&gt;=0.9,$D271*$E271," ")," ")</f>
        <v> </v>
      </c>
    </row>
    <row r="272" ht="12.75" customHeight="1">
      <c r="A272" s="157"/>
      <c r="B272" s="163" t="s">
        <v>67</v>
      </c>
      <c r="C272" s="159">
        <v>0.6</v>
      </c>
      <c r="D272" s="160">
        <v>3.0</v>
      </c>
      <c r="E272" s="161">
        <v>1.0</v>
      </c>
      <c r="F272" s="161">
        <f>'1RM'!$C$6*C272</f>
        <v>60</v>
      </c>
      <c r="G272" s="141"/>
      <c r="H272" s="142"/>
      <c r="I272" s="141"/>
      <c r="J272" s="142"/>
      <c r="K272" s="141">
        <f t="shared" si="292"/>
        <v>3</v>
      </c>
      <c r="L272" s="142">
        <f t="shared" si="293"/>
        <v>180</v>
      </c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162" t="str">
        <f t="shared" si="294"/>
        <v> </v>
      </c>
      <c r="X272" s="162">
        <f t="shared" si="295"/>
        <v>3</v>
      </c>
      <c r="Y272" s="162" t="str">
        <f t="shared" si="296"/>
        <v> </v>
      </c>
      <c r="Z272" s="162" t="str">
        <f t="shared" si="297"/>
        <v> </v>
      </c>
      <c r="AA272" s="162" t="str">
        <f t="shared" si="298"/>
        <v> </v>
      </c>
    </row>
    <row r="273" ht="12.75" customHeight="1">
      <c r="A273" s="157"/>
      <c r="B273" s="163" t="s">
        <v>67</v>
      </c>
      <c r="C273" s="159">
        <v>0.65</v>
      </c>
      <c r="D273" s="160">
        <v>3.0</v>
      </c>
      <c r="E273" s="161">
        <v>1.0</v>
      </c>
      <c r="F273" s="161">
        <f>'1RM'!$C$6*C273</f>
        <v>65</v>
      </c>
      <c r="G273" s="141"/>
      <c r="H273" s="142"/>
      <c r="I273" s="141"/>
      <c r="J273" s="142"/>
      <c r="K273" s="141">
        <f t="shared" si="292"/>
        <v>3</v>
      </c>
      <c r="L273" s="142">
        <f t="shared" si="293"/>
        <v>195</v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162" t="str">
        <f t="shared" si="294"/>
        <v> </v>
      </c>
      <c r="X273" s="162">
        <f t="shared" si="295"/>
        <v>3</v>
      </c>
      <c r="Y273" s="162" t="str">
        <f t="shared" si="296"/>
        <v> </v>
      </c>
      <c r="Z273" s="162" t="str">
        <f t="shared" si="297"/>
        <v> </v>
      </c>
      <c r="AA273" s="162" t="str">
        <f t="shared" si="298"/>
        <v> </v>
      </c>
    </row>
    <row r="274" ht="12.75" customHeight="1">
      <c r="A274" s="157"/>
      <c r="B274" s="163" t="s">
        <v>67</v>
      </c>
      <c r="C274" s="159">
        <v>0.7</v>
      </c>
      <c r="D274" s="160">
        <v>2.0</v>
      </c>
      <c r="E274" s="161">
        <v>4.0</v>
      </c>
      <c r="F274" s="161">
        <f>'1RM'!$C$6*C274</f>
        <v>70</v>
      </c>
      <c r="G274" s="141"/>
      <c r="H274" s="142"/>
      <c r="I274" s="141"/>
      <c r="J274" s="142"/>
      <c r="K274" s="141">
        <f t="shared" si="292"/>
        <v>8</v>
      </c>
      <c r="L274" s="142">
        <f t="shared" si="293"/>
        <v>560</v>
      </c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162" t="str">
        <f t="shared" si="294"/>
        <v> </v>
      </c>
      <c r="X274" s="162" t="str">
        <f t="shared" si="295"/>
        <v> </v>
      </c>
      <c r="Y274" s="162">
        <f t="shared" si="296"/>
        <v>8</v>
      </c>
      <c r="Z274" s="162" t="str">
        <f t="shared" si="297"/>
        <v> </v>
      </c>
      <c r="AA274" s="162" t="str">
        <f t="shared" si="298"/>
        <v> </v>
      </c>
    </row>
    <row r="275" ht="12.75" customHeight="1">
      <c r="A275" s="136">
        <v>2.0</v>
      </c>
      <c r="B275" s="137" t="s">
        <v>5</v>
      </c>
      <c r="C275" s="138">
        <v>0.5</v>
      </c>
      <c r="D275" s="139">
        <v>5.0</v>
      </c>
      <c r="E275" s="140">
        <v>1.0</v>
      </c>
      <c r="F275" s="140">
        <f>'1RM'!$C$5*C275</f>
        <v>50</v>
      </c>
      <c r="G275" s="141"/>
      <c r="H275" s="142"/>
      <c r="I275" s="141">
        <f t="shared" ref="I275:I278" si="299">D275*E275</f>
        <v>5</v>
      </c>
      <c r="J275" s="142">
        <f t="shared" ref="J275:J278" si="300">F275*I275</f>
        <v>250</v>
      </c>
      <c r="K275" s="141"/>
      <c r="L275" s="142"/>
      <c r="M275" s="5"/>
      <c r="N275" s="5"/>
      <c r="O275" s="5"/>
      <c r="P275" s="5"/>
      <c r="Q275" s="5"/>
      <c r="R275" s="143">
        <f t="shared" ref="R275:R278" si="301">IF(ISNUMBER(SEARCH("Press de banca",$B275)),IF($C275&gt;=0.5,IF($C275&lt;0.6,$D275*$E275," ")," ")," ")</f>
        <v>5</v>
      </c>
      <c r="S275" s="143" t="str">
        <f t="shared" ref="S275:S278" si="302">IF(ISNUMBER(SEARCH("Press de banca",$B275)),IF($C275&gt;=0.6,IF($C275&lt;0.7,$D275*$E275," ")," ")," ")</f>
        <v> </v>
      </c>
      <c r="T275" s="143" t="str">
        <f t="shared" ref="T275:T278" si="303">IF(ISNUMBER(SEARCH("Press de banca",$B275)),IF($C275&gt;=0.7,IF($C275&lt;0.8,$D275*$E275," ")," ")," ")</f>
        <v> </v>
      </c>
      <c r="U275" s="143" t="str">
        <f t="shared" ref="U275:U278" si="304">IF(ISNUMBER(SEARCH("Press de banca",$B275)),IF($C275&gt;=0.8,IF($C275&lt;0.9,$D275*$E275," ")," ")," ")</f>
        <v> </v>
      </c>
      <c r="V275" s="143" t="str">
        <f t="shared" ref="V275:V278" si="305">IF(ISNUMBER(SEARCH("Press de banca",$B275)),IF($C275&gt;=0.9,$D275*$E275," ")," ")</f>
        <v> </v>
      </c>
      <c r="W275" s="5"/>
      <c r="X275" s="5"/>
      <c r="Y275" s="5"/>
      <c r="Z275" s="5"/>
      <c r="AA275" s="5"/>
    </row>
    <row r="276" ht="12.75" customHeight="1">
      <c r="A276" s="136"/>
      <c r="B276" s="144" t="s">
        <v>5</v>
      </c>
      <c r="C276" s="138">
        <v>0.6</v>
      </c>
      <c r="D276" s="139">
        <v>4.0</v>
      </c>
      <c r="E276" s="140">
        <v>1.0</v>
      </c>
      <c r="F276" s="140">
        <f>'1RM'!$C$5*C276</f>
        <v>60</v>
      </c>
      <c r="G276" s="141"/>
      <c r="H276" s="142"/>
      <c r="I276" s="141">
        <f t="shared" si="299"/>
        <v>4</v>
      </c>
      <c r="J276" s="142">
        <f t="shared" si="300"/>
        <v>240</v>
      </c>
      <c r="K276" s="141"/>
      <c r="L276" s="142"/>
      <c r="M276" s="5"/>
      <c r="N276" s="5"/>
      <c r="O276" s="5"/>
      <c r="P276" s="5"/>
      <c r="Q276" s="5"/>
      <c r="R276" s="143" t="str">
        <f t="shared" si="301"/>
        <v> </v>
      </c>
      <c r="S276" s="143">
        <f t="shared" si="302"/>
        <v>4</v>
      </c>
      <c r="T276" s="143" t="str">
        <f t="shared" si="303"/>
        <v> </v>
      </c>
      <c r="U276" s="143" t="str">
        <f t="shared" si="304"/>
        <v> </v>
      </c>
      <c r="V276" s="143" t="str">
        <f t="shared" si="305"/>
        <v> </v>
      </c>
      <c r="W276" s="5"/>
      <c r="X276" s="5"/>
      <c r="Y276" s="5"/>
      <c r="Z276" s="5"/>
      <c r="AA276" s="5"/>
    </row>
    <row r="277" ht="12.75" customHeight="1">
      <c r="A277" s="136"/>
      <c r="B277" s="144" t="s">
        <v>5</v>
      </c>
      <c r="C277" s="138">
        <v>0.7</v>
      </c>
      <c r="D277" s="139">
        <v>3.0</v>
      </c>
      <c r="E277" s="140">
        <v>1.0</v>
      </c>
      <c r="F277" s="140">
        <f>'1RM'!$C$5*C277</f>
        <v>70</v>
      </c>
      <c r="G277" s="141"/>
      <c r="H277" s="142"/>
      <c r="I277" s="141">
        <f t="shared" si="299"/>
        <v>3</v>
      </c>
      <c r="J277" s="142">
        <f t="shared" si="300"/>
        <v>210</v>
      </c>
      <c r="K277" s="141"/>
      <c r="L277" s="142"/>
      <c r="M277" s="5"/>
      <c r="N277" s="5"/>
      <c r="O277" s="5"/>
      <c r="P277" s="5"/>
      <c r="Q277" s="5"/>
      <c r="R277" s="143" t="str">
        <f t="shared" si="301"/>
        <v> </v>
      </c>
      <c r="S277" s="143" t="str">
        <f t="shared" si="302"/>
        <v> </v>
      </c>
      <c r="T277" s="143">
        <f t="shared" si="303"/>
        <v>3</v>
      </c>
      <c r="U277" s="143" t="str">
        <f t="shared" si="304"/>
        <v> </v>
      </c>
      <c r="V277" s="143" t="str">
        <f t="shared" si="305"/>
        <v> </v>
      </c>
      <c r="W277" s="5"/>
      <c r="X277" s="5"/>
      <c r="Y277" s="5"/>
      <c r="Z277" s="5"/>
      <c r="AA277" s="5"/>
    </row>
    <row r="278" ht="12.75" customHeight="1">
      <c r="A278" s="136"/>
      <c r="B278" s="144" t="s">
        <v>5</v>
      </c>
      <c r="C278" s="138">
        <v>0.75</v>
      </c>
      <c r="D278" s="139">
        <v>2.0</v>
      </c>
      <c r="E278" s="140">
        <v>4.0</v>
      </c>
      <c r="F278" s="140">
        <f>'1RM'!$C$5*C278</f>
        <v>75</v>
      </c>
      <c r="G278" s="141"/>
      <c r="H278" s="142"/>
      <c r="I278" s="141">
        <f t="shared" si="299"/>
        <v>8</v>
      </c>
      <c r="J278" s="142">
        <f t="shared" si="300"/>
        <v>600</v>
      </c>
      <c r="K278" s="141"/>
      <c r="L278" s="142"/>
      <c r="M278" s="5"/>
      <c r="N278" s="5"/>
      <c r="O278" s="5"/>
      <c r="P278" s="5"/>
      <c r="Q278" s="5"/>
      <c r="R278" s="143" t="str">
        <f t="shared" si="301"/>
        <v> </v>
      </c>
      <c r="S278" s="143" t="str">
        <f t="shared" si="302"/>
        <v> </v>
      </c>
      <c r="T278" s="143">
        <f t="shared" si="303"/>
        <v>8</v>
      </c>
      <c r="U278" s="143" t="str">
        <f t="shared" si="304"/>
        <v> </v>
      </c>
      <c r="V278" s="143" t="str">
        <f t="shared" si="305"/>
        <v> </v>
      </c>
      <c r="W278" s="5"/>
      <c r="X278" s="5"/>
      <c r="Y278" s="5"/>
      <c r="Z278" s="5"/>
      <c r="AA278" s="5"/>
    </row>
    <row r="279" ht="12.75" customHeight="1">
      <c r="A279" s="157">
        <v>3.0</v>
      </c>
      <c r="B279" s="158" t="s">
        <v>109</v>
      </c>
      <c r="C279" s="159">
        <v>0.7</v>
      </c>
      <c r="D279" s="160">
        <v>3.0</v>
      </c>
      <c r="E279" s="161">
        <v>1.0</v>
      </c>
      <c r="F279" s="161">
        <f>'1RM'!$C$6*C279</f>
        <v>70</v>
      </c>
      <c r="G279" s="141"/>
      <c r="H279" s="142"/>
      <c r="I279" s="141"/>
      <c r="J279" s="142"/>
      <c r="K279" s="141">
        <f t="shared" ref="K279:K282" si="306">D279*E279</f>
        <v>3</v>
      </c>
      <c r="L279" s="142">
        <f t="shared" ref="L279:L282" si="307">F279*K279</f>
        <v>210</v>
      </c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162" t="str">
        <f t="shared" ref="W279:W282" si="308">IF(ISNUMBER(SEARCH("Peso muerto",$B279)),IF($C279&gt;=0.5,IF($C279&lt;0.6,$D279*$E279," ")," ")," ")</f>
        <v> </v>
      </c>
      <c r="X279" s="162" t="str">
        <f t="shared" ref="X279:X282" si="309">IF(ISNUMBER(SEARCH("Peso muerto",$B279)),IF($C279&gt;=0.6,IF($C279&lt;0.7,$D279*$E279," ")," ")," ")</f>
        <v> </v>
      </c>
      <c r="Y279" s="162">
        <f t="shared" ref="Y279:Y282" si="310">IF(ISNUMBER(SEARCH("Peso muerto",$B279)),IF($C279&gt;=0.7,IF($C279&lt;0.8,$D279*$E279," ")," ")," ")</f>
        <v>3</v>
      </c>
      <c r="Z279" s="162" t="str">
        <f t="shared" ref="Z279:Z282" si="311">IF(ISNUMBER(SEARCH("Peso muerto",$B279)),IF($C279&gt;=0.8,IF($C279&lt;0.9,$D279*$E279," ")," ")," ")</f>
        <v> </v>
      </c>
      <c r="AA279" s="162" t="str">
        <f t="shared" ref="AA279:AA282" si="312">IF(ISNUMBER(SEARCH("Peso muerto",$B279)),IF($C279&gt;=0.9,$D279*$E279," ")," ")</f>
        <v> </v>
      </c>
    </row>
    <row r="280" ht="12.75" customHeight="1">
      <c r="A280" s="157"/>
      <c r="B280" s="163" t="s">
        <v>109</v>
      </c>
      <c r="C280" s="159">
        <v>0.8</v>
      </c>
      <c r="D280" s="160">
        <v>3.0</v>
      </c>
      <c r="E280" s="161">
        <v>1.0</v>
      </c>
      <c r="F280" s="161">
        <f>'1RM'!$C$6*C280</f>
        <v>80</v>
      </c>
      <c r="G280" s="141"/>
      <c r="H280" s="142"/>
      <c r="I280" s="141"/>
      <c r="J280" s="142"/>
      <c r="K280" s="141">
        <f t="shared" si="306"/>
        <v>3</v>
      </c>
      <c r="L280" s="142">
        <f t="shared" si="307"/>
        <v>240</v>
      </c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162" t="str">
        <f t="shared" si="308"/>
        <v> </v>
      </c>
      <c r="X280" s="162" t="str">
        <f t="shared" si="309"/>
        <v> </v>
      </c>
      <c r="Y280" s="162" t="str">
        <f t="shared" si="310"/>
        <v> </v>
      </c>
      <c r="Z280" s="162">
        <f t="shared" si="311"/>
        <v>3</v>
      </c>
      <c r="AA280" s="162" t="str">
        <f t="shared" si="312"/>
        <v> </v>
      </c>
    </row>
    <row r="281" ht="12.75" customHeight="1">
      <c r="A281" s="157"/>
      <c r="B281" s="163" t="s">
        <v>109</v>
      </c>
      <c r="C281" s="159">
        <v>0.9</v>
      </c>
      <c r="D281" s="160">
        <v>2.0</v>
      </c>
      <c r="E281" s="161">
        <v>2.0</v>
      </c>
      <c r="F281" s="161">
        <f>'1RM'!$C$6*C281</f>
        <v>90</v>
      </c>
      <c r="G281" s="141"/>
      <c r="H281" s="142"/>
      <c r="I281" s="141"/>
      <c r="J281" s="142"/>
      <c r="K281" s="141">
        <f t="shared" si="306"/>
        <v>4</v>
      </c>
      <c r="L281" s="142">
        <f t="shared" si="307"/>
        <v>360</v>
      </c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162" t="str">
        <f t="shared" si="308"/>
        <v> </v>
      </c>
      <c r="X281" s="162" t="str">
        <f t="shared" si="309"/>
        <v> </v>
      </c>
      <c r="Y281" s="162" t="str">
        <f t="shared" si="310"/>
        <v> </v>
      </c>
      <c r="Z281" s="162" t="str">
        <f t="shared" si="311"/>
        <v> </v>
      </c>
      <c r="AA281" s="162">
        <f t="shared" si="312"/>
        <v>4</v>
      </c>
    </row>
    <row r="282" ht="12.75" customHeight="1">
      <c r="A282" s="157"/>
      <c r="B282" s="163" t="s">
        <v>109</v>
      </c>
      <c r="C282" s="159">
        <v>0.95</v>
      </c>
      <c r="D282" s="160">
        <v>1.0</v>
      </c>
      <c r="E282" s="161">
        <v>3.0</v>
      </c>
      <c r="F282" s="161">
        <f>'1RM'!$C$6*C282</f>
        <v>95</v>
      </c>
      <c r="G282" s="141"/>
      <c r="H282" s="142"/>
      <c r="I282" s="141"/>
      <c r="J282" s="142"/>
      <c r="K282" s="141">
        <f t="shared" si="306"/>
        <v>3</v>
      </c>
      <c r="L282" s="142">
        <f t="shared" si="307"/>
        <v>285</v>
      </c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162" t="str">
        <f t="shared" si="308"/>
        <v> </v>
      </c>
      <c r="X282" s="162" t="str">
        <f t="shared" si="309"/>
        <v> </v>
      </c>
      <c r="Y282" s="162" t="str">
        <f t="shared" si="310"/>
        <v> </v>
      </c>
      <c r="Z282" s="162" t="str">
        <f t="shared" si="311"/>
        <v> </v>
      </c>
      <c r="AA282" s="162">
        <f t="shared" si="312"/>
        <v>3</v>
      </c>
    </row>
    <row r="283" ht="12.75" customHeight="1">
      <c r="A283" s="152">
        <v>4.0</v>
      </c>
      <c r="B283" s="153" t="s">
        <v>83</v>
      </c>
      <c r="C283" s="154"/>
      <c r="D283" s="156">
        <v>6.0</v>
      </c>
      <c r="E283" s="156">
        <v>5.0</v>
      </c>
      <c r="F283" s="156"/>
      <c r="G283" s="141"/>
      <c r="H283" s="142"/>
      <c r="I283" s="141"/>
      <c r="J283" s="142"/>
      <c r="K283" s="141"/>
      <c r="L283" s="142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2.75" customHeight="1">
      <c r="A284" s="152">
        <v>5.0</v>
      </c>
      <c r="B284" s="153" t="s">
        <v>61</v>
      </c>
      <c r="C284" s="154"/>
      <c r="D284" s="155">
        <v>5.0</v>
      </c>
      <c r="E284" s="156">
        <v>4.0</v>
      </c>
      <c r="F284" s="156"/>
      <c r="G284" s="141"/>
      <c r="H284" s="142"/>
      <c r="I284" s="141"/>
      <c r="J284" s="142"/>
      <c r="K284" s="141"/>
      <c r="L284" s="142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2.75" customHeight="1">
      <c r="A285" s="33"/>
      <c r="B285" s="134"/>
      <c r="C285" s="133"/>
      <c r="D285" s="42"/>
      <c r="E285" s="42"/>
      <c r="F285" s="42"/>
      <c r="G285" s="141"/>
      <c r="H285" s="142"/>
      <c r="I285" s="141"/>
      <c r="J285" s="142"/>
      <c r="K285" s="141"/>
      <c r="L285" s="142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2.75" customHeight="1">
      <c r="A286" s="33" t="s">
        <v>62</v>
      </c>
      <c r="B286" s="134"/>
      <c r="C286" s="135" t="s">
        <v>20</v>
      </c>
      <c r="D286" s="45" t="s">
        <v>51</v>
      </c>
      <c r="E286" s="45" t="s">
        <v>52</v>
      </c>
      <c r="F286" s="45" t="s">
        <v>53</v>
      </c>
      <c r="G286" s="141"/>
      <c r="H286" s="142"/>
      <c r="I286" s="141"/>
      <c r="J286" s="142"/>
      <c r="K286" s="141"/>
      <c r="L286" s="142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2.75" customHeight="1">
      <c r="A287" s="145">
        <v>1.0</v>
      </c>
      <c r="B287" s="146" t="s">
        <v>4</v>
      </c>
      <c r="C287" s="147">
        <v>0.5</v>
      </c>
      <c r="D287" s="148">
        <v>5.0</v>
      </c>
      <c r="E287" s="149">
        <v>1.0</v>
      </c>
      <c r="F287" s="149">
        <f>'1RM'!$C$4*C287</f>
        <v>50</v>
      </c>
      <c r="G287" s="141">
        <f t="shared" ref="G287:G290" si="313">D287*E287</f>
        <v>5</v>
      </c>
      <c r="H287" s="142">
        <f t="shared" ref="H287:H290" si="314">F287*G287</f>
        <v>250</v>
      </c>
      <c r="I287" s="141"/>
      <c r="J287" s="142"/>
      <c r="K287" s="141"/>
      <c r="L287" s="142"/>
      <c r="M287" s="150">
        <f t="shared" ref="M287:M290" si="315">IF(ISNUMBER(SEARCH("Sentadilla",$B287)),IF($C287&gt;=0.5,IF($C287&lt;0.6,$D287*$E287," ")," ")," ")</f>
        <v>5</v>
      </c>
      <c r="N287" s="150" t="str">
        <f t="shared" ref="N287:N290" si="316">IF(ISNUMBER(SEARCH("Sentadilla",$B287)),IF($C287&gt;=0.6,IF($C287&lt;0.7,$D287*$E287," ")," ")," ")</f>
        <v> </v>
      </c>
      <c r="O287" s="150" t="str">
        <f t="shared" ref="O287:O290" si="317">IF(ISNUMBER(SEARCH("Sentadilla",$B287)),IF($C287&gt;=0.7,IF($C287&lt;0.8,$D287*$E287," ")," ")," ")</f>
        <v> </v>
      </c>
      <c r="P287" s="150" t="str">
        <f t="shared" ref="P287:P290" si="318">IF(ISNUMBER(SEARCH("Sentadilla",$B287)),IF($C287&gt;=0.8,IF($C287&lt;0.9,$D287*$E287," ")," ")," ")</f>
        <v> </v>
      </c>
      <c r="Q287" s="150" t="str">
        <f t="shared" ref="Q287:Q290" si="319">IF(ISNUMBER(SEARCH("Sentadilla",$B287)),IF($C287&gt;=0.9,$D287*$E287," ")," ")</f>
        <v> </v>
      </c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2.75" customHeight="1">
      <c r="A288" s="145"/>
      <c r="B288" s="151" t="s">
        <v>4</v>
      </c>
      <c r="C288" s="147">
        <v>0.6</v>
      </c>
      <c r="D288" s="148">
        <v>4.0</v>
      </c>
      <c r="E288" s="149">
        <v>1.0</v>
      </c>
      <c r="F288" s="149">
        <f>'1RM'!$C$4*C288</f>
        <v>60</v>
      </c>
      <c r="G288" s="141">
        <f t="shared" si="313"/>
        <v>4</v>
      </c>
      <c r="H288" s="142">
        <f t="shared" si="314"/>
        <v>240</v>
      </c>
      <c r="I288" s="141"/>
      <c r="J288" s="142"/>
      <c r="K288" s="141"/>
      <c r="L288" s="142"/>
      <c r="M288" s="150" t="str">
        <f t="shared" si="315"/>
        <v> </v>
      </c>
      <c r="N288" s="150">
        <f t="shared" si="316"/>
        <v>4</v>
      </c>
      <c r="O288" s="150" t="str">
        <f t="shared" si="317"/>
        <v> </v>
      </c>
      <c r="P288" s="150" t="str">
        <f t="shared" si="318"/>
        <v> </v>
      </c>
      <c r="Q288" s="150" t="str">
        <f t="shared" si="319"/>
        <v> </v>
      </c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2.75" customHeight="1">
      <c r="A289" s="145"/>
      <c r="B289" s="151" t="s">
        <v>4</v>
      </c>
      <c r="C289" s="147">
        <v>0.7</v>
      </c>
      <c r="D289" s="148">
        <v>3.0</v>
      </c>
      <c r="E289" s="149">
        <v>1.0</v>
      </c>
      <c r="F289" s="149">
        <f>'1RM'!$C$4*C289</f>
        <v>70</v>
      </c>
      <c r="G289" s="141">
        <f t="shared" si="313"/>
        <v>3</v>
      </c>
      <c r="H289" s="142">
        <f t="shared" si="314"/>
        <v>210</v>
      </c>
      <c r="I289" s="141"/>
      <c r="J289" s="142"/>
      <c r="K289" s="141"/>
      <c r="L289" s="142"/>
      <c r="M289" s="150" t="str">
        <f t="shared" si="315"/>
        <v> </v>
      </c>
      <c r="N289" s="150" t="str">
        <f t="shared" si="316"/>
        <v> </v>
      </c>
      <c r="O289" s="150">
        <f t="shared" si="317"/>
        <v>3</v>
      </c>
      <c r="P289" s="150" t="str">
        <f t="shared" si="318"/>
        <v> </v>
      </c>
      <c r="Q289" s="150" t="str">
        <f t="shared" si="319"/>
        <v> </v>
      </c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2.75" customHeight="1">
      <c r="A290" s="145"/>
      <c r="B290" s="151" t="s">
        <v>4</v>
      </c>
      <c r="C290" s="147">
        <v>0.8</v>
      </c>
      <c r="D290" s="148">
        <v>5.0</v>
      </c>
      <c r="E290" s="149">
        <v>4.0</v>
      </c>
      <c r="F290" s="149">
        <f>'1RM'!$C$4*C290</f>
        <v>80</v>
      </c>
      <c r="G290" s="141">
        <f t="shared" si="313"/>
        <v>20</v>
      </c>
      <c r="H290" s="142">
        <f t="shared" si="314"/>
        <v>1600</v>
      </c>
      <c r="I290" s="141"/>
      <c r="J290" s="142"/>
      <c r="K290" s="141"/>
      <c r="L290" s="142"/>
      <c r="M290" s="150" t="str">
        <f t="shared" si="315"/>
        <v> </v>
      </c>
      <c r="N290" s="150" t="str">
        <f t="shared" si="316"/>
        <v> </v>
      </c>
      <c r="O290" s="150" t="str">
        <f t="shared" si="317"/>
        <v> </v>
      </c>
      <c r="P290" s="150">
        <f t="shared" si="318"/>
        <v>20</v>
      </c>
      <c r="Q290" s="150" t="str">
        <f t="shared" si="319"/>
        <v> </v>
      </c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2.75" customHeight="1">
      <c r="A291" s="136">
        <v>2.0</v>
      </c>
      <c r="B291" s="137" t="s">
        <v>5</v>
      </c>
      <c r="C291" s="138">
        <v>0.5</v>
      </c>
      <c r="D291" s="139">
        <v>6.0</v>
      </c>
      <c r="E291" s="140">
        <v>1.0</v>
      </c>
      <c r="F291" s="140">
        <f>'1RM'!$C$5*C291</f>
        <v>50</v>
      </c>
      <c r="G291" s="141"/>
      <c r="H291" s="142"/>
      <c r="I291" s="141">
        <f t="shared" ref="I291:I293" si="320">D291*E291</f>
        <v>6</v>
      </c>
      <c r="J291" s="142">
        <f t="shared" ref="J291:J293" si="321">F291*I291</f>
        <v>300</v>
      </c>
      <c r="K291" s="141"/>
      <c r="L291" s="142"/>
      <c r="M291" s="5"/>
      <c r="N291" s="5"/>
      <c r="O291" s="5"/>
      <c r="P291" s="5"/>
      <c r="Q291" s="5"/>
      <c r="R291" s="143">
        <f t="shared" ref="R291:R293" si="322">IF(ISNUMBER(SEARCH("Press de banca",$B291)),IF($C291&gt;=0.5,IF($C291&lt;0.6,$D291*$E291," ")," ")," ")</f>
        <v>6</v>
      </c>
      <c r="S291" s="143" t="str">
        <f t="shared" ref="S291:S293" si="323">IF(ISNUMBER(SEARCH("Press de banca",$B291)),IF($C291&gt;=0.6,IF($C291&lt;0.7,$D291*$E291," ")," ")," ")</f>
        <v> </v>
      </c>
      <c r="T291" s="143" t="str">
        <f t="shared" ref="T291:T293" si="324">IF(ISNUMBER(SEARCH("Press de banca",$B291)),IF($C291&gt;=0.7,IF($C291&lt;0.8,$D291*$E291," ")," ")," ")</f>
        <v> </v>
      </c>
      <c r="U291" s="143" t="str">
        <f t="shared" ref="U291:U293" si="325">IF(ISNUMBER(SEARCH("Press de banca",$B291)),IF($C291&gt;=0.8,IF($C291&lt;0.9,$D291*$E291," ")," ")," ")</f>
        <v> </v>
      </c>
      <c r="V291" s="143" t="str">
        <f t="shared" ref="V291:V293" si="326">IF(ISNUMBER(SEARCH("Press de banca",$B291)),IF($C291&gt;=0.9,$D291*$E291," ")," ")</f>
        <v> </v>
      </c>
      <c r="W291" s="5"/>
      <c r="X291" s="5"/>
      <c r="Y291" s="5"/>
      <c r="Z291" s="5"/>
      <c r="AA291" s="5"/>
    </row>
    <row r="292" ht="12.75" customHeight="1">
      <c r="A292" s="136"/>
      <c r="B292" s="144" t="s">
        <v>5</v>
      </c>
      <c r="C292" s="138">
        <v>0.6</v>
      </c>
      <c r="D292" s="139">
        <v>6.0</v>
      </c>
      <c r="E292" s="140">
        <v>1.0</v>
      </c>
      <c r="F292" s="140">
        <f>'1RM'!$C$5*C292</f>
        <v>60</v>
      </c>
      <c r="G292" s="141"/>
      <c r="H292" s="142"/>
      <c r="I292" s="141">
        <f t="shared" si="320"/>
        <v>6</v>
      </c>
      <c r="J292" s="142">
        <f t="shared" si="321"/>
        <v>360</v>
      </c>
      <c r="K292" s="141"/>
      <c r="L292" s="142"/>
      <c r="M292" s="5"/>
      <c r="N292" s="5"/>
      <c r="O292" s="5"/>
      <c r="P292" s="5"/>
      <c r="Q292" s="5"/>
      <c r="R292" s="143" t="str">
        <f t="shared" si="322"/>
        <v> </v>
      </c>
      <c r="S292" s="143">
        <f t="shared" si="323"/>
        <v>6</v>
      </c>
      <c r="T292" s="143" t="str">
        <f t="shared" si="324"/>
        <v> </v>
      </c>
      <c r="U292" s="143" t="str">
        <f t="shared" si="325"/>
        <v> </v>
      </c>
      <c r="V292" s="143" t="str">
        <f t="shared" si="326"/>
        <v> </v>
      </c>
      <c r="W292" s="5"/>
      <c r="X292" s="5"/>
      <c r="Y292" s="5"/>
      <c r="Z292" s="5"/>
      <c r="AA292" s="5"/>
    </row>
    <row r="293" ht="12.75" customHeight="1">
      <c r="A293" s="136"/>
      <c r="B293" s="144" t="s">
        <v>5</v>
      </c>
      <c r="C293" s="138">
        <v>0.7</v>
      </c>
      <c r="D293" s="139">
        <v>8.0</v>
      </c>
      <c r="E293" s="140">
        <v>5.0</v>
      </c>
      <c r="F293" s="140">
        <f>'1RM'!$C$5*C293</f>
        <v>70</v>
      </c>
      <c r="G293" s="141"/>
      <c r="H293" s="142"/>
      <c r="I293" s="141">
        <f t="shared" si="320"/>
        <v>40</v>
      </c>
      <c r="J293" s="142">
        <f t="shared" si="321"/>
        <v>2800</v>
      </c>
      <c r="K293" s="141"/>
      <c r="L293" s="142"/>
      <c r="M293" s="5"/>
      <c r="N293" s="5"/>
      <c r="O293" s="5"/>
      <c r="P293" s="5"/>
      <c r="Q293" s="5"/>
      <c r="R293" s="143" t="str">
        <f t="shared" si="322"/>
        <v> </v>
      </c>
      <c r="S293" s="143" t="str">
        <f t="shared" si="323"/>
        <v> </v>
      </c>
      <c r="T293" s="143">
        <f t="shared" si="324"/>
        <v>40</v>
      </c>
      <c r="U293" s="143" t="str">
        <f t="shared" si="325"/>
        <v> </v>
      </c>
      <c r="V293" s="143" t="str">
        <f t="shared" si="326"/>
        <v> </v>
      </c>
      <c r="W293" s="5"/>
      <c r="X293" s="5"/>
      <c r="Y293" s="5"/>
      <c r="Z293" s="5"/>
      <c r="AA293" s="5"/>
    </row>
    <row r="294" ht="12.75" customHeight="1">
      <c r="A294" s="145">
        <v>4.0</v>
      </c>
      <c r="B294" s="146" t="s">
        <v>4</v>
      </c>
      <c r="C294" s="147">
        <v>0.55</v>
      </c>
      <c r="D294" s="148">
        <v>3.0</v>
      </c>
      <c r="E294" s="149">
        <v>1.0</v>
      </c>
      <c r="F294" s="149">
        <f>'1RM'!$C$4*C294</f>
        <v>55</v>
      </c>
      <c r="G294" s="141">
        <f t="shared" ref="G294:G296" si="327">D294*E294</f>
        <v>3</v>
      </c>
      <c r="H294" s="142">
        <f t="shared" ref="H294:H296" si="328">F294*G294</f>
        <v>165</v>
      </c>
      <c r="I294" s="141"/>
      <c r="J294" s="142"/>
      <c r="K294" s="141"/>
      <c r="L294" s="142"/>
      <c r="M294" s="150">
        <f t="shared" ref="M294:M296" si="329">IF(ISNUMBER(SEARCH("Sentadilla",$B294)),IF($C294&gt;=0.5,IF($C294&lt;0.6,$D294*$E294," ")," ")," ")</f>
        <v>3</v>
      </c>
      <c r="N294" s="150" t="str">
        <f t="shared" ref="N294:N296" si="330">IF(ISNUMBER(SEARCH("Sentadilla",$B294)),IF($C294&gt;=0.6,IF($C294&lt;0.7,$D294*$E294," ")," ")," ")</f>
        <v> </v>
      </c>
      <c r="O294" s="150" t="str">
        <f t="shared" ref="O294:O296" si="331">IF(ISNUMBER(SEARCH("Sentadilla",$B294)),IF($C294&gt;=0.7,IF($C294&lt;0.8,$D294*$E294," ")," ")," ")</f>
        <v> </v>
      </c>
      <c r="P294" s="150" t="str">
        <f t="shared" ref="P294:P296" si="332">IF(ISNUMBER(SEARCH("Sentadilla",$B294)),IF($C294&gt;=0.8,IF($C294&lt;0.9,$D294*$E294," ")," ")," ")</f>
        <v> </v>
      </c>
      <c r="Q294" s="150" t="str">
        <f t="shared" ref="Q294:Q296" si="333">IF(ISNUMBER(SEARCH("Sentadilla",$B294)),IF($C294&gt;=0.9,$D294*$E294," ")," ")</f>
        <v> </v>
      </c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2.75" customHeight="1">
      <c r="A295" s="145"/>
      <c r="B295" s="151" t="s">
        <v>4</v>
      </c>
      <c r="C295" s="147">
        <v>0.65</v>
      </c>
      <c r="D295" s="148">
        <v>3.0</v>
      </c>
      <c r="E295" s="149">
        <v>1.0</v>
      </c>
      <c r="F295" s="149">
        <f>'1RM'!$C$4*C295</f>
        <v>65</v>
      </c>
      <c r="G295" s="141">
        <f t="shared" si="327"/>
        <v>3</v>
      </c>
      <c r="H295" s="142">
        <f t="shared" si="328"/>
        <v>195</v>
      </c>
      <c r="I295" s="141"/>
      <c r="J295" s="142"/>
      <c r="K295" s="141"/>
      <c r="L295" s="142"/>
      <c r="M295" s="150" t="str">
        <f t="shared" si="329"/>
        <v> </v>
      </c>
      <c r="N295" s="150">
        <f t="shared" si="330"/>
        <v>3</v>
      </c>
      <c r="O295" s="150" t="str">
        <f t="shared" si="331"/>
        <v> </v>
      </c>
      <c r="P295" s="150" t="str">
        <f t="shared" si="332"/>
        <v> </v>
      </c>
      <c r="Q295" s="150" t="str">
        <f t="shared" si="333"/>
        <v> </v>
      </c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2.75" customHeight="1">
      <c r="A296" s="145"/>
      <c r="B296" s="151" t="s">
        <v>4</v>
      </c>
      <c r="C296" s="147">
        <v>0.75</v>
      </c>
      <c r="D296" s="148">
        <v>6.0</v>
      </c>
      <c r="E296" s="149">
        <v>4.0</v>
      </c>
      <c r="F296" s="149">
        <f>'1RM'!$C$4*C296</f>
        <v>75</v>
      </c>
      <c r="G296" s="141">
        <f t="shared" si="327"/>
        <v>24</v>
      </c>
      <c r="H296" s="142">
        <f t="shared" si="328"/>
        <v>1800</v>
      </c>
      <c r="I296" s="141"/>
      <c r="J296" s="142"/>
      <c r="K296" s="141"/>
      <c r="L296" s="142"/>
      <c r="M296" s="150" t="str">
        <f t="shared" si="329"/>
        <v> </v>
      </c>
      <c r="N296" s="150" t="str">
        <f t="shared" si="330"/>
        <v> </v>
      </c>
      <c r="O296" s="150">
        <f t="shared" si="331"/>
        <v>24</v>
      </c>
      <c r="P296" s="150" t="str">
        <f t="shared" si="332"/>
        <v> </v>
      </c>
      <c r="Q296" s="150" t="str">
        <f t="shared" si="333"/>
        <v> </v>
      </c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2.75" customHeight="1">
      <c r="A297" s="152">
        <v>3.0</v>
      </c>
      <c r="B297" s="153" t="s">
        <v>55</v>
      </c>
      <c r="C297" s="154"/>
      <c r="D297" s="155">
        <v>6.0</v>
      </c>
      <c r="E297" s="156">
        <v>5.0</v>
      </c>
      <c r="F297" s="156"/>
      <c r="G297" s="141"/>
      <c r="H297" s="142"/>
      <c r="I297" s="141"/>
      <c r="J297" s="142"/>
      <c r="K297" s="141"/>
      <c r="L297" s="142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2.75" customHeight="1">
      <c r="A298" s="152">
        <v>5.0</v>
      </c>
      <c r="B298" s="153" t="s">
        <v>60</v>
      </c>
      <c r="C298" s="154"/>
      <c r="D298" s="155">
        <v>6.0</v>
      </c>
      <c r="E298" s="156">
        <v>5.0</v>
      </c>
      <c r="F298" s="156"/>
      <c r="G298" s="141"/>
      <c r="H298" s="142"/>
      <c r="I298" s="141"/>
      <c r="J298" s="142"/>
      <c r="K298" s="141"/>
      <c r="L298" s="142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2.75" customHeight="1">
      <c r="A299" s="33"/>
      <c r="B299" s="134"/>
      <c r="C299" s="135"/>
      <c r="D299" s="45"/>
      <c r="E299" s="45"/>
      <c r="F299" s="45"/>
      <c r="G299" s="141"/>
      <c r="H299" s="142"/>
      <c r="I299" s="141"/>
      <c r="J299" s="142"/>
      <c r="K299" s="141"/>
      <c r="L299" s="142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2.75" customHeight="1">
      <c r="A300" s="33" t="s">
        <v>66</v>
      </c>
      <c r="B300" s="134"/>
      <c r="C300" s="135" t="s">
        <v>20</v>
      </c>
      <c r="D300" s="45" t="s">
        <v>51</v>
      </c>
      <c r="E300" s="45" t="s">
        <v>52</v>
      </c>
      <c r="F300" s="45" t="s">
        <v>53</v>
      </c>
      <c r="G300" s="141"/>
      <c r="H300" s="142"/>
      <c r="I300" s="141"/>
      <c r="J300" s="142"/>
      <c r="K300" s="141"/>
      <c r="L300" s="142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2.75" customHeight="1">
      <c r="A301" s="157">
        <v>1.0</v>
      </c>
      <c r="B301" s="158" t="s">
        <v>103</v>
      </c>
      <c r="C301" s="159">
        <v>0.5</v>
      </c>
      <c r="D301" s="160">
        <v>3.0</v>
      </c>
      <c r="E301" s="161">
        <v>1.0</v>
      </c>
      <c r="F301" s="161">
        <f>'1RM'!$C$6*C301</f>
        <v>50</v>
      </c>
      <c r="G301" s="141"/>
      <c r="H301" s="142"/>
      <c r="I301" s="141"/>
      <c r="J301" s="142"/>
      <c r="K301" s="141">
        <f t="shared" ref="K301:K304" si="334">D301*E301</f>
        <v>3</v>
      </c>
      <c r="L301" s="142">
        <f t="shared" ref="L301:L304" si="335">F301*K301</f>
        <v>150</v>
      </c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162">
        <f t="shared" ref="W301:W304" si="336">IF(ISNUMBER(SEARCH("Peso muerto",$B301)),IF($C301&gt;=0.5,IF($C301&lt;0.6,$D301*$E301," ")," ")," ")</f>
        <v>3</v>
      </c>
      <c r="X301" s="162" t="str">
        <f t="shared" ref="X301:X304" si="337">IF(ISNUMBER(SEARCH("Peso muerto",$B301)),IF($C301&gt;=0.6,IF($C301&lt;0.7,$D301*$E301," ")," ")," ")</f>
        <v> </v>
      </c>
      <c r="Y301" s="162" t="str">
        <f t="shared" ref="Y301:Y304" si="338">IF(ISNUMBER(SEARCH("Peso muerto",$B301)),IF($C301&gt;=0.7,IF($C301&lt;0.8,$D301*$E301," ")," ")," ")</f>
        <v> </v>
      </c>
      <c r="Z301" s="162" t="str">
        <f t="shared" ref="Z301:Z304" si="339">IF(ISNUMBER(SEARCH("Peso muerto",$B301)),IF($C301&gt;=0.8,IF($C301&lt;0.9,$D301*$E301," ")," ")," ")</f>
        <v> </v>
      </c>
      <c r="AA301" s="162" t="str">
        <f t="shared" ref="AA301:AA304" si="340">IF(ISNUMBER(SEARCH("Peso muerto",$B301)),IF($C301&gt;=0.9,$D301*$E301," ")," ")</f>
        <v> </v>
      </c>
    </row>
    <row r="302" ht="12.75" customHeight="1">
      <c r="A302" s="157"/>
      <c r="B302" s="163" t="s">
        <v>103</v>
      </c>
      <c r="C302" s="159">
        <v>0.6</v>
      </c>
      <c r="D302" s="160">
        <v>3.0</v>
      </c>
      <c r="E302" s="161">
        <v>1.0</v>
      </c>
      <c r="F302" s="161">
        <f>'1RM'!$C$6*C302</f>
        <v>60</v>
      </c>
      <c r="G302" s="141"/>
      <c r="H302" s="142"/>
      <c r="I302" s="141"/>
      <c r="J302" s="142"/>
      <c r="K302" s="141">
        <f t="shared" si="334"/>
        <v>3</v>
      </c>
      <c r="L302" s="142">
        <f t="shared" si="335"/>
        <v>180</v>
      </c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162" t="str">
        <f t="shared" si="336"/>
        <v> </v>
      </c>
      <c r="X302" s="162">
        <f t="shared" si="337"/>
        <v>3</v>
      </c>
      <c r="Y302" s="162" t="str">
        <f t="shared" si="338"/>
        <v> </v>
      </c>
      <c r="Z302" s="162" t="str">
        <f t="shared" si="339"/>
        <v> </v>
      </c>
      <c r="AA302" s="162" t="str">
        <f t="shared" si="340"/>
        <v> </v>
      </c>
    </row>
    <row r="303" ht="12.75" customHeight="1">
      <c r="A303" s="157"/>
      <c r="B303" s="163" t="s">
        <v>103</v>
      </c>
      <c r="C303" s="159">
        <v>0.7</v>
      </c>
      <c r="D303" s="160">
        <v>3.0</v>
      </c>
      <c r="E303" s="161">
        <v>1.0</v>
      </c>
      <c r="F303" s="161">
        <f>'1RM'!$C$6*C303</f>
        <v>70</v>
      </c>
      <c r="G303" s="141"/>
      <c r="H303" s="142"/>
      <c r="I303" s="141"/>
      <c r="J303" s="142"/>
      <c r="K303" s="141">
        <f t="shared" si="334"/>
        <v>3</v>
      </c>
      <c r="L303" s="142">
        <f t="shared" si="335"/>
        <v>210</v>
      </c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162" t="str">
        <f t="shared" si="336"/>
        <v> </v>
      </c>
      <c r="X303" s="162" t="str">
        <f t="shared" si="337"/>
        <v> </v>
      </c>
      <c r="Y303" s="162">
        <f t="shared" si="338"/>
        <v>3</v>
      </c>
      <c r="Z303" s="162" t="str">
        <f t="shared" si="339"/>
        <v> </v>
      </c>
      <c r="AA303" s="162" t="str">
        <f t="shared" si="340"/>
        <v> </v>
      </c>
    </row>
    <row r="304" ht="12.75" customHeight="1">
      <c r="A304" s="157"/>
      <c r="B304" s="163" t="s">
        <v>103</v>
      </c>
      <c r="C304" s="159">
        <v>0.75</v>
      </c>
      <c r="D304" s="160">
        <v>3.0</v>
      </c>
      <c r="E304" s="161">
        <v>4.0</v>
      </c>
      <c r="F304" s="161">
        <f>'1RM'!$C$6*C304</f>
        <v>75</v>
      </c>
      <c r="G304" s="141"/>
      <c r="H304" s="142"/>
      <c r="I304" s="141"/>
      <c r="J304" s="142"/>
      <c r="K304" s="141">
        <f t="shared" si="334"/>
        <v>12</v>
      </c>
      <c r="L304" s="142">
        <f t="shared" si="335"/>
        <v>900</v>
      </c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162" t="str">
        <f t="shared" si="336"/>
        <v> </v>
      </c>
      <c r="X304" s="162" t="str">
        <f t="shared" si="337"/>
        <v> </v>
      </c>
      <c r="Y304" s="162">
        <f t="shared" si="338"/>
        <v>12</v>
      </c>
      <c r="Z304" s="162" t="str">
        <f t="shared" si="339"/>
        <v> </v>
      </c>
      <c r="AA304" s="162" t="str">
        <f t="shared" si="340"/>
        <v> </v>
      </c>
    </row>
    <row r="305" ht="12.75" customHeight="1">
      <c r="A305" s="136">
        <v>2.0</v>
      </c>
      <c r="B305" s="137" t="s">
        <v>95</v>
      </c>
      <c r="C305" s="138">
        <v>0.5</v>
      </c>
      <c r="D305" s="139">
        <v>4.0</v>
      </c>
      <c r="E305" s="140">
        <v>1.0</v>
      </c>
      <c r="F305" s="140">
        <f>'1RM'!$C$5*C305</f>
        <v>50</v>
      </c>
      <c r="G305" s="141"/>
      <c r="H305" s="142"/>
      <c r="I305" s="141">
        <f t="shared" ref="I305:I307" si="341">D305*E305</f>
        <v>4</v>
      </c>
      <c r="J305" s="142">
        <f t="shared" ref="J305:J307" si="342">F305*I305</f>
        <v>200</v>
      </c>
      <c r="K305" s="141"/>
      <c r="L305" s="142"/>
      <c r="M305" s="5"/>
      <c r="N305" s="5"/>
      <c r="O305" s="5"/>
      <c r="P305" s="5"/>
      <c r="Q305" s="5"/>
      <c r="R305" s="143">
        <f t="shared" ref="R305:R307" si="343">IF(ISNUMBER(SEARCH("Press de banca",$B305)),IF($C305&gt;=0.5,IF($C305&lt;0.6,$D305*$E305," ")," ")," ")</f>
        <v>4</v>
      </c>
      <c r="S305" s="143" t="str">
        <f t="shared" ref="S305:S307" si="344">IF(ISNUMBER(SEARCH("Press de banca",$B305)),IF($C305&gt;=0.6,IF($C305&lt;0.7,$D305*$E305," ")," ")," ")</f>
        <v> </v>
      </c>
      <c r="T305" s="143" t="str">
        <f t="shared" ref="T305:T307" si="345">IF(ISNUMBER(SEARCH("Press de banca",$B305)),IF($C305&gt;=0.7,IF($C305&lt;0.8,$D305*$E305," ")," ")," ")</f>
        <v> </v>
      </c>
      <c r="U305" s="143" t="str">
        <f t="shared" ref="U305:U307" si="346">IF(ISNUMBER(SEARCH("Press de banca",$B305)),IF($C305&gt;=0.8,IF($C305&lt;0.9,$D305*$E305," ")," ")," ")</f>
        <v> </v>
      </c>
      <c r="V305" s="143" t="str">
        <f t="shared" ref="V305:V307" si="347">IF(ISNUMBER(SEARCH("Press de banca",$B305)),IF($C305&gt;=0.9,$D305*$E305," ")," ")</f>
        <v> </v>
      </c>
      <c r="W305" s="5"/>
      <c r="X305" s="5"/>
      <c r="Y305" s="5"/>
      <c r="Z305" s="5"/>
      <c r="AA305" s="5"/>
    </row>
    <row r="306" ht="12.75" customHeight="1">
      <c r="A306" s="136"/>
      <c r="B306" s="144" t="s">
        <v>95</v>
      </c>
      <c r="C306" s="138">
        <v>0.6</v>
      </c>
      <c r="D306" s="139">
        <v>4.0</v>
      </c>
      <c r="E306" s="140">
        <v>1.0</v>
      </c>
      <c r="F306" s="140">
        <f>'1RM'!$C$5*C306</f>
        <v>60</v>
      </c>
      <c r="G306" s="141"/>
      <c r="H306" s="142"/>
      <c r="I306" s="141">
        <f t="shared" si="341"/>
        <v>4</v>
      </c>
      <c r="J306" s="142">
        <f t="shared" si="342"/>
        <v>240</v>
      </c>
      <c r="K306" s="141"/>
      <c r="L306" s="142"/>
      <c r="M306" s="5"/>
      <c r="N306" s="5"/>
      <c r="O306" s="5"/>
      <c r="P306" s="5"/>
      <c r="Q306" s="5"/>
      <c r="R306" s="143" t="str">
        <f t="shared" si="343"/>
        <v> </v>
      </c>
      <c r="S306" s="143">
        <f t="shared" si="344"/>
        <v>4</v>
      </c>
      <c r="T306" s="143" t="str">
        <f t="shared" si="345"/>
        <v> </v>
      </c>
      <c r="U306" s="143" t="str">
        <f t="shared" si="346"/>
        <v> </v>
      </c>
      <c r="V306" s="143" t="str">
        <f t="shared" si="347"/>
        <v> </v>
      </c>
      <c r="W306" s="5"/>
      <c r="X306" s="5"/>
      <c r="Y306" s="5"/>
      <c r="Z306" s="5"/>
      <c r="AA306" s="5"/>
    </row>
    <row r="307" ht="12.75" customHeight="1">
      <c r="A307" s="136"/>
      <c r="B307" s="144" t="s">
        <v>95</v>
      </c>
      <c r="C307" s="138">
        <v>0.7</v>
      </c>
      <c r="D307" s="139">
        <v>4.0</v>
      </c>
      <c r="E307" s="140">
        <v>4.0</v>
      </c>
      <c r="F307" s="140">
        <f>'1RM'!$C$5*C307</f>
        <v>70</v>
      </c>
      <c r="G307" s="141"/>
      <c r="H307" s="142"/>
      <c r="I307" s="141">
        <f t="shared" si="341"/>
        <v>16</v>
      </c>
      <c r="J307" s="142">
        <f t="shared" si="342"/>
        <v>1120</v>
      </c>
      <c r="K307" s="141"/>
      <c r="L307" s="142"/>
      <c r="M307" s="5"/>
      <c r="N307" s="5"/>
      <c r="O307" s="5"/>
      <c r="P307" s="5"/>
      <c r="Q307" s="5"/>
      <c r="R307" s="143" t="str">
        <f t="shared" si="343"/>
        <v> </v>
      </c>
      <c r="S307" s="143" t="str">
        <f t="shared" si="344"/>
        <v> </v>
      </c>
      <c r="T307" s="143">
        <f t="shared" si="345"/>
        <v>16</v>
      </c>
      <c r="U307" s="143" t="str">
        <f t="shared" si="346"/>
        <v> </v>
      </c>
      <c r="V307" s="143" t="str">
        <f t="shared" si="347"/>
        <v> </v>
      </c>
      <c r="W307" s="5"/>
      <c r="X307" s="5"/>
      <c r="Y307" s="5"/>
      <c r="Z307" s="5"/>
      <c r="AA307" s="5"/>
    </row>
    <row r="308" ht="12.75" customHeight="1">
      <c r="A308" s="157">
        <v>3.0</v>
      </c>
      <c r="B308" s="158" t="s">
        <v>68</v>
      </c>
      <c r="C308" s="159">
        <v>0.55</v>
      </c>
      <c r="D308" s="160">
        <v>3.0</v>
      </c>
      <c r="E308" s="161">
        <v>1.0</v>
      </c>
      <c r="F308" s="161">
        <f>'1RM'!$C$6*C308</f>
        <v>55</v>
      </c>
      <c r="G308" s="141"/>
      <c r="H308" s="142"/>
      <c r="I308" s="141"/>
      <c r="J308" s="142"/>
      <c r="K308" s="141">
        <f t="shared" ref="K308:K311" si="348">D308*E308</f>
        <v>3</v>
      </c>
      <c r="L308" s="142">
        <f t="shared" ref="L308:L311" si="349">F308*K308</f>
        <v>165</v>
      </c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162">
        <f t="shared" ref="W308:W311" si="350">IF(ISNUMBER(SEARCH("Peso muerto",$B308)),IF($C308&gt;=0.5,IF($C308&lt;0.6,$D308*$E308," ")," ")," ")</f>
        <v>3</v>
      </c>
      <c r="X308" s="162" t="str">
        <f t="shared" ref="X308:X311" si="351">IF(ISNUMBER(SEARCH("Peso muerto",$B308)),IF($C308&gt;=0.6,IF($C308&lt;0.7,$D308*$E308," ")," ")," ")</f>
        <v> </v>
      </c>
      <c r="Y308" s="162" t="str">
        <f t="shared" ref="Y308:Y311" si="352">IF(ISNUMBER(SEARCH("Peso muerto",$B308)),IF($C308&gt;=0.7,IF($C308&lt;0.8,$D308*$E308," ")," ")," ")</f>
        <v> </v>
      </c>
      <c r="Z308" s="162" t="str">
        <f t="shared" ref="Z308:Z311" si="353">IF(ISNUMBER(SEARCH("Peso muerto",$B308)),IF($C308&gt;=0.8,IF($C308&lt;0.9,$D308*$E308," ")," ")," ")</f>
        <v> </v>
      </c>
      <c r="AA308" s="162" t="str">
        <f t="shared" ref="AA308:AA311" si="354">IF(ISNUMBER(SEARCH("Peso muerto",$B308)),IF($C308&gt;=0.9,$D308*$E308," ")," ")</f>
        <v> </v>
      </c>
    </row>
    <row r="309" ht="12.75" customHeight="1">
      <c r="A309" s="157"/>
      <c r="B309" s="163" t="s">
        <v>68</v>
      </c>
      <c r="C309" s="159">
        <v>0.65</v>
      </c>
      <c r="D309" s="160">
        <v>3.0</v>
      </c>
      <c r="E309" s="161">
        <v>1.0</v>
      </c>
      <c r="F309" s="161">
        <f>'1RM'!$C$6*C309</f>
        <v>65</v>
      </c>
      <c r="G309" s="141"/>
      <c r="H309" s="142"/>
      <c r="I309" s="141"/>
      <c r="J309" s="142"/>
      <c r="K309" s="141">
        <f t="shared" si="348"/>
        <v>3</v>
      </c>
      <c r="L309" s="142">
        <f t="shared" si="349"/>
        <v>195</v>
      </c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162" t="str">
        <f t="shared" si="350"/>
        <v> </v>
      </c>
      <c r="X309" s="162">
        <f t="shared" si="351"/>
        <v>3</v>
      </c>
      <c r="Y309" s="162" t="str">
        <f t="shared" si="352"/>
        <v> </v>
      </c>
      <c r="Z309" s="162" t="str">
        <f t="shared" si="353"/>
        <v> </v>
      </c>
      <c r="AA309" s="162" t="str">
        <f t="shared" si="354"/>
        <v> </v>
      </c>
    </row>
    <row r="310" ht="12.75" customHeight="1">
      <c r="A310" s="157"/>
      <c r="B310" s="163" t="s">
        <v>68</v>
      </c>
      <c r="C310" s="159">
        <v>0.75</v>
      </c>
      <c r="D310" s="160">
        <v>3.0</v>
      </c>
      <c r="E310" s="161">
        <v>1.0</v>
      </c>
      <c r="F310" s="161">
        <f>'1RM'!$C$6*C310</f>
        <v>75</v>
      </c>
      <c r="G310" s="141"/>
      <c r="H310" s="142"/>
      <c r="I310" s="141"/>
      <c r="J310" s="142"/>
      <c r="K310" s="141">
        <f t="shared" si="348"/>
        <v>3</v>
      </c>
      <c r="L310" s="142">
        <f t="shared" si="349"/>
        <v>225</v>
      </c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162" t="str">
        <f t="shared" si="350"/>
        <v> </v>
      </c>
      <c r="X310" s="162" t="str">
        <f t="shared" si="351"/>
        <v> </v>
      </c>
      <c r="Y310" s="162">
        <f t="shared" si="352"/>
        <v>3</v>
      </c>
      <c r="Z310" s="162" t="str">
        <f t="shared" si="353"/>
        <v> </v>
      </c>
      <c r="AA310" s="162" t="str">
        <f t="shared" si="354"/>
        <v> </v>
      </c>
    </row>
    <row r="311" ht="12.75" customHeight="1">
      <c r="A311" s="157"/>
      <c r="B311" s="163" t="s">
        <v>68</v>
      </c>
      <c r="C311" s="159">
        <v>0.85</v>
      </c>
      <c r="D311" s="160">
        <v>3.0</v>
      </c>
      <c r="E311" s="161">
        <v>4.0</v>
      </c>
      <c r="F311" s="161">
        <f>'1RM'!$C$6*C311</f>
        <v>85</v>
      </c>
      <c r="G311" s="141"/>
      <c r="H311" s="142"/>
      <c r="I311" s="141"/>
      <c r="J311" s="142"/>
      <c r="K311" s="141">
        <f t="shared" si="348"/>
        <v>12</v>
      </c>
      <c r="L311" s="142">
        <f t="shared" si="349"/>
        <v>1020</v>
      </c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162" t="str">
        <f t="shared" si="350"/>
        <v> </v>
      </c>
      <c r="X311" s="162" t="str">
        <f t="shared" si="351"/>
        <v> </v>
      </c>
      <c r="Y311" s="162" t="str">
        <f t="shared" si="352"/>
        <v> </v>
      </c>
      <c r="Z311" s="162">
        <f t="shared" si="353"/>
        <v>12</v>
      </c>
      <c r="AA311" s="162" t="str">
        <f t="shared" si="354"/>
        <v> </v>
      </c>
    </row>
    <row r="312" ht="12.75" customHeight="1">
      <c r="A312" s="152">
        <v>4.0</v>
      </c>
      <c r="B312" s="153" t="s">
        <v>69</v>
      </c>
      <c r="C312" s="154"/>
      <c r="D312" s="155">
        <v>5.0</v>
      </c>
      <c r="E312" s="156">
        <v>5.0</v>
      </c>
      <c r="F312" s="156"/>
      <c r="G312" s="141"/>
      <c r="H312" s="142"/>
      <c r="I312" s="141"/>
      <c r="J312" s="142"/>
      <c r="K312" s="141"/>
      <c r="L312" s="14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2.75" customHeight="1">
      <c r="A313" s="152">
        <v>5.0</v>
      </c>
      <c r="B313" s="153" t="s">
        <v>83</v>
      </c>
      <c r="C313" s="154"/>
      <c r="D313" s="155">
        <v>6.0</v>
      </c>
      <c r="E313" s="156">
        <v>5.0</v>
      </c>
      <c r="F313" s="156"/>
      <c r="G313" s="141"/>
      <c r="H313" s="142"/>
      <c r="I313" s="141"/>
      <c r="J313" s="142"/>
      <c r="K313" s="141"/>
      <c r="L313" s="14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2.75" customHeight="1">
      <c r="A314" s="169"/>
      <c r="B314" s="170"/>
      <c r="C314" s="171"/>
      <c r="D314" s="172"/>
      <c r="E314" s="172"/>
      <c r="F314" s="172"/>
      <c r="G314" s="173">
        <f t="shared" ref="G314:AA314" si="355">SUM(G256:G313)</f>
        <v>94</v>
      </c>
      <c r="H314" s="174">
        <f t="shared" si="355"/>
        <v>6760</v>
      </c>
      <c r="I314" s="173">
        <f t="shared" si="355"/>
        <v>168</v>
      </c>
      <c r="J314" s="174">
        <f t="shared" si="355"/>
        <v>11300</v>
      </c>
      <c r="K314" s="173">
        <f t="shared" si="355"/>
        <v>72</v>
      </c>
      <c r="L314" s="174">
        <f t="shared" si="355"/>
        <v>5225</v>
      </c>
      <c r="M314" s="172">
        <f t="shared" si="355"/>
        <v>13</v>
      </c>
      <c r="N314" s="172">
        <f t="shared" si="355"/>
        <v>11</v>
      </c>
      <c r="O314" s="172">
        <f t="shared" si="355"/>
        <v>30</v>
      </c>
      <c r="P314" s="172">
        <f t="shared" si="355"/>
        <v>40</v>
      </c>
      <c r="Q314" s="172">
        <f t="shared" si="355"/>
        <v>0</v>
      </c>
      <c r="R314" s="175">
        <f t="shared" si="355"/>
        <v>24</v>
      </c>
      <c r="S314" s="175">
        <f t="shared" si="355"/>
        <v>22</v>
      </c>
      <c r="T314" s="175">
        <f t="shared" si="355"/>
        <v>102</v>
      </c>
      <c r="U314" s="175">
        <f t="shared" si="355"/>
        <v>20</v>
      </c>
      <c r="V314" s="175">
        <f t="shared" si="355"/>
        <v>0</v>
      </c>
      <c r="W314" s="175">
        <f t="shared" si="355"/>
        <v>9</v>
      </c>
      <c r="X314" s="175">
        <f t="shared" si="355"/>
        <v>12</v>
      </c>
      <c r="Y314" s="175">
        <f t="shared" si="355"/>
        <v>29</v>
      </c>
      <c r="Z314" s="175">
        <f t="shared" si="355"/>
        <v>15</v>
      </c>
      <c r="AA314" s="175">
        <f t="shared" si="355"/>
        <v>7</v>
      </c>
    </row>
    <row r="315" ht="12.75" customHeight="1">
      <c r="A315" s="33"/>
      <c r="B315" s="134"/>
      <c r="C315" s="133"/>
      <c r="D315" s="42"/>
      <c r="E315" s="42"/>
      <c r="F315" s="42"/>
      <c r="G315" s="42"/>
      <c r="H315" s="42"/>
      <c r="I315" s="42"/>
      <c r="J315" s="42"/>
      <c r="K315" s="42"/>
      <c r="L315" s="42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2.75" customHeight="1">
      <c r="A316" s="33"/>
      <c r="B316" s="134"/>
      <c r="C316" s="133"/>
      <c r="D316" s="42"/>
      <c r="E316" s="42"/>
      <c r="F316" s="42"/>
      <c r="G316" s="42"/>
      <c r="H316" s="42"/>
      <c r="I316" s="42"/>
      <c r="J316" s="42"/>
      <c r="K316" s="42"/>
      <c r="L316" s="42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2.75" customHeight="1">
      <c r="A317" s="33"/>
      <c r="B317" s="134"/>
      <c r="C317" s="133"/>
      <c r="D317" s="42"/>
      <c r="E317" s="42"/>
      <c r="F317" s="42"/>
      <c r="G317" s="45">
        <f t="shared" ref="G317:AA317" si="356">SUM(G253+G314+G187+G122+G58)</f>
        <v>420</v>
      </c>
      <c r="H317" s="45">
        <f t="shared" si="356"/>
        <v>29030</v>
      </c>
      <c r="I317" s="45">
        <f t="shared" si="356"/>
        <v>654</v>
      </c>
      <c r="J317" s="45">
        <f t="shared" si="356"/>
        <v>44950</v>
      </c>
      <c r="K317" s="45">
        <f t="shared" si="356"/>
        <v>290</v>
      </c>
      <c r="L317" s="45">
        <f t="shared" si="356"/>
        <v>20710</v>
      </c>
      <c r="M317" s="45">
        <f t="shared" si="356"/>
        <v>61</v>
      </c>
      <c r="N317" s="45">
        <f t="shared" si="356"/>
        <v>104</v>
      </c>
      <c r="O317" s="45">
        <f t="shared" si="356"/>
        <v>134</v>
      </c>
      <c r="P317" s="45">
        <f t="shared" si="356"/>
        <v>116</v>
      </c>
      <c r="Q317" s="45">
        <f t="shared" si="356"/>
        <v>5</v>
      </c>
      <c r="R317" s="45">
        <f t="shared" si="356"/>
        <v>106</v>
      </c>
      <c r="S317" s="45">
        <f t="shared" si="356"/>
        <v>96</v>
      </c>
      <c r="T317" s="45">
        <f t="shared" si="356"/>
        <v>299</v>
      </c>
      <c r="U317" s="45">
        <f t="shared" si="356"/>
        <v>142</v>
      </c>
      <c r="V317" s="45">
        <f t="shared" si="356"/>
        <v>11</v>
      </c>
      <c r="W317" s="45">
        <f t="shared" si="356"/>
        <v>38</v>
      </c>
      <c r="X317" s="45">
        <f t="shared" si="356"/>
        <v>50</v>
      </c>
      <c r="Y317" s="45">
        <f t="shared" si="356"/>
        <v>117</v>
      </c>
      <c r="Z317" s="45">
        <f t="shared" si="356"/>
        <v>61</v>
      </c>
      <c r="AA317" s="45">
        <f t="shared" si="356"/>
        <v>24</v>
      </c>
    </row>
    <row r="318" ht="12.75" customHeight="1">
      <c r="A318" s="33"/>
      <c r="B318" s="134"/>
      <c r="C318" s="133"/>
      <c r="D318" s="42"/>
      <c r="E318" s="42"/>
      <c r="F318" s="42"/>
      <c r="G318" s="42"/>
      <c r="H318" s="42"/>
      <c r="I318" s="42"/>
      <c r="J318" s="42"/>
      <c r="K318" s="42"/>
      <c r="L318" s="42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2.75" customHeight="1">
      <c r="A319" s="33"/>
      <c r="B319" s="134"/>
      <c r="C319" s="133"/>
      <c r="D319" s="42"/>
      <c r="E319" s="42"/>
      <c r="F319" s="42"/>
      <c r="G319" s="42"/>
      <c r="H319" s="42"/>
      <c r="I319" s="42"/>
      <c r="J319" s="42"/>
      <c r="K319" s="42"/>
      <c r="L319" s="42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2.75" customHeight="1">
      <c r="A320" s="33"/>
      <c r="B320" s="134"/>
      <c r="C320" s="133"/>
      <c r="D320" s="42"/>
      <c r="E320" s="42"/>
      <c r="F320" s="42"/>
      <c r="G320" s="42"/>
      <c r="H320" s="42"/>
      <c r="I320" s="42"/>
      <c r="J320" s="42"/>
      <c r="K320" s="42"/>
      <c r="L320" s="42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2.75" customHeight="1">
      <c r="A321" s="33"/>
      <c r="B321" s="134"/>
      <c r="C321" s="133"/>
      <c r="D321" s="42"/>
      <c r="E321" s="42"/>
      <c r="F321" s="42"/>
      <c r="G321" s="42"/>
      <c r="H321" s="42"/>
      <c r="I321" s="42"/>
      <c r="J321" s="42"/>
      <c r="K321" s="42"/>
      <c r="L321" s="42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2.75" customHeight="1">
      <c r="A322" s="33"/>
      <c r="B322" s="134"/>
      <c r="C322" s="133"/>
      <c r="D322" s="42"/>
      <c r="E322" s="42"/>
      <c r="F322" s="42"/>
      <c r="G322" s="42"/>
      <c r="H322" s="42"/>
      <c r="I322" s="42"/>
      <c r="J322" s="42"/>
      <c r="K322" s="42"/>
      <c r="L322" s="42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2.75" customHeight="1">
      <c r="A323" s="33"/>
      <c r="B323" s="134"/>
      <c r="C323" s="133"/>
      <c r="D323" s="42"/>
      <c r="E323" s="42"/>
      <c r="F323" s="42"/>
      <c r="G323" s="42"/>
      <c r="H323" s="42"/>
      <c r="I323" s="42"/>
      <c r="J323" s="42"/>
      <c r="K323" s="42"/>
      <c r="L323" s="42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2.75" customHeight="1">
      <c r="A324" s="33"/>
      <c r="B324" s="134"/>
      <c r="C324" s="133"/>
      <c r="D324" s="42"/>
      <c r="E324" s="42"/>
      <c r="F324" s="42"/>
      <c r="G324" s="42"/>
      <c r="H324" s="42"/>
      <c r="I324" s="42"/>
      <c r="J324" s="42"/>
      <c r="K324" s="42"/>
      <c r="L324" s="42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2.75" customHeight="1">
      <c r="A325" s="33"/>
      <c r="B325" s="134"/>
      <c r="C325" s="133"/>
      <c r="D325" s="42"/>
      <c r="E325" s="42"/>
      <c r="F325" s="42"/>
      <c r="G325" s="42"/>
      <c r="H325" s="42"/>
      <c r="I325" s="42"/>
      <c r="J325" s="42"/>
      <c r="K325" s="42"/>
      <c r="L325" s="42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2.75" customHeight="1">
      <c r="A326" s="33"/>
      <c r="B326" s="134"/>
      <c r="C326" s="133"/>
      <c r="D326" s="42"/>
      <c r="E326" s="42"/>
      <c r="F326" s="42"/>
      <c r="G326" s="42"/>
      <c r="H326" s="42"/>
      <c r="I326" s="42"/>
      <c r="J326" s="42"/>
      <c r="K326" s="42"/>
      <c r="L326" s="42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2.75" customHeight="1">
      <c r="A327" s="33"/>
      <c r="B327" s="134"/>
      <c r="C327" s="133"/>
      <c r="D327" s="42"/>
      <c r="E327" s="42"/>
      <c r="F327" s="42"/>
      <c r="G327" s="42"/>
      <c r="H327" s="42"/>
      <c r="I327" s="42"/>
      <c r="J327" s="42"/>
      <c r="K327" s="42"/>
      <c r="L327" s="42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2.75" customHeight="1">
      <c r="A328" s="33"/>
      <c r="B328" s="134"/>
      <c r="C328" s="133"/>
      <c r="D328" s="42"/>
      <c r="E328" s="42"/>
      <c r="F328" s="42"/>
      <c r="G328" s="42"/>
      <c r="H328" s="42"/>
      <c r="I328" s="42"/>
      <c r="J328" s="42"/>
      <c r="K328" s="42"/>
      <c r="L328" s="42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2.75" customHeight="1">
      <c r="A329" s="33"/>
      <c r="B329" s="134"/>
      <c r="C329" s="133"/>
      <c r="D329" s="42"/>
      <c r="E329" s="42"/>
      <c r="F329" s="42"/>
      <c r="G329" s="42"/>
      <c r="H329" s="42"/>
      <c r="I329" s="42"/>
      <c r="J329" s="42"/>
      <c r="K329" s="42"/>
      <c r="L329" s="42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2.75" customHeight="1">
      <c r="A330" s="33"/>
      <c r="B330" s="134"/>
      <c r="C330" s="133"/>
      <c r="D330" s="42"/>
      <c r="E330" s="42"/>
      <c r="F330" s="42"/>
      <c r="G330" s="42"/>
      <c r="H330" s="42"/>
      <c r="I330" s="42"/>
      <c r="J330" s="42"/>
      <c r="K330" s="42"/>
      <c r="L330" s="42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2.75" customHeight="1">
      <c r="A331" s="33"/>
      <c r="B331" s="134"/>
      <c r="C331" s="133"/>
      <c r="D331" s="42"/>
      <c r="E331" s="42"/>
      <c r="F331" s="42"/>
      <c r="G331" s="42"/>
      <c r="H331" s="42"/>
      <c r="I331" s="42"/>
      <c r="J331" s="42"/>
      <c r="K331" s="42"/>
      <c r="L331" s="42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2.75" customHeight="1">
      <c r="A332" s="33"/>
      <c r="B332" s="134"/>
      <c r="C332" s="133"/>
      <c r="D332" s="42"/>
      <c r="E332" s="42"/>
      <c r="F332" s="42"/>
      <c r="G332" s="42"/>
      <c r="H332" s="42"/>
      <c r="I332" s="42"/>
      <c r="J332" s="42"/>
      <c r="K332" s="42"/>
      <c r="L332" s="42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2.75" customHeight="1">
      <c r="A333" s="33"/>
      <c r="B333" s="134"/>
      <c r="C333" s="133"/>
      <c r="D333" s="42"/>
      <c r="E333" s="42"/>
      <c r="F333" s="42"/>
      <c r="G333" s="42"/>
      <c r="H333" s="42"/>
      <c r="I333" s="42"/>
      <c r="J333" s="42"/>
      <c r="K333" s="42"/>
      <c r="L333" s="42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2.75" customHeight="1">
      <c r="A334" s="33"/>
      <c r="B334" s="134"/>
      <c r="C334" s="133"/>
      <c r="D334" s="42"/>
      <c r="E334" s="42"/>
      <c r="F334" s="42"/>
      <c r="G334" s="42"/>
      <c r="H334" s="42"/>
      <c r="I334" s="42"/>
      <c r="J334" s="42"/>
      <c r="K334" s="42"/>
      <c r="L334" s="42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2.75" customHeight="1">
      <c r="A335" s="33"/>
      <c r="B335" s="134"/>
      <c r="C335" s="133"/>
      <c r="D335" s="42"/>
      <c r="E335" s="42"/>
      <c r="F335" s="42"/>
      <c r="G335" s="42"/>
      <c r="H335" s="42"/>
      <c r="I335" s="42"/>
      <c r="J335" s="42"/>
      <c r="K335" s="42"/>
      <c r="L335" s="42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2.75" customHeight="1">
      <c r="A336" s="33"/>
      <c r="B336" s="134"/>
      <c r="C336" s="133"/>
      <c r="D336" s="42"/>
      <c r="E336" s="42"/>
      <c r="F336" s="42"/>
      <c r="G336" s="42"/>
      <c r="H336" s="42"/>
      <c r="I336" s="42"/>
      <c r="J336" s="42"/>
      <c r="K336" s="42"/>
      <c r="L336" s="42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2.75" customHeight="1">
      <c r="A337" s="33"/>
      <c r="B337" s="134"/>
      <c r="C337" s="133"/>
      <c r="D337" s="42"/>
      <c r="E337" s="42"/>
      <c r="F337" s="42"/>
      <c r="G337" s="42"/>
      <c r="H337" s="42"/>
      <c r="I337" s="42"/>
      <c r="J337" s="42"/>
      <c r="K337" s="42"/>
      <c r="L337" s="42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2.75" customHeight="1">
      <c r="A338" s="33"/>
      <c r="B338" s="134"/>
      <c r="C338" s="133"/>
      <c r="D338" s="42"/>
      <c r="E338" s="42"/>
      <c r="F338" s="42"/>
      <c r="G338" s="42"/>
      <c r="H338" s="42"/>
      <c r="I338" s="42"/>
      <c r="J338" s="42"/>
      <c r="K338" s="42"/>
      <c r="L338" s="42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2.75" customHeight="1">
      <c r="A339" s="33"/>
      <c r="B339" s="134"/>
      <c r="C339" s="133"/>
      <c r="D339" s="42"/>
      <c r="E339" s="42"/>
      <c r="F339" s="42"/>
      <c r="G339" s="42"/>
      <c r="H339" s="42"/>
      <c r="I339" s="42"/>
      <c r="J339" s="42"/>
      <c r="K339" s="42"/>
      <c r="L339" s="42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2.75" customHeight="1">
      <c r="A340" s="33"/>
      <c r="B340" s="134"/>
      <c r="C340" s="133"/>
      <c r="D340" s="42"/>
      <c r="E340" s="42"/>
      <c r="F340" s="42"/>
      <c r="G340" s="42"/>
      <c r="H340" s="42"/>
      <c r="I340" s="42"/>
      <c r="J340" s="42"/>
      <c r="K340" s="42"/>
      <c r="L340" s="42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2.75" customHeight="1">
      <c r="A341" s="33"/>
      <c r="B341" s="134"/>
      <c r="C341" s="133"/>
      <c r="D341" s="42"/>
      <c r="E341" s="42"/>
      <c r="F341" s="42"/>
      <c r="G341" s="42"/>
      <c r="H341" s="42"/>
      <c r="I341" s="42"/>
      <c r="J341" s="42"/>
      <c r="K341" s="42"/>
      <c r="L341" s="42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2.75" customHeight="1">
      <c r="A342" s="33"/>
      <c r="B342" s="134"/>
      <c r="C342" s="133"/>
      <c r="D342" s="42"/>
      <c r="E342" s="42"/>
      <c r="F342" s="42"/>
      <c r="G342" s="42"/>
      <c r="H342" s="42"/>
      <c r="I342" s="42"/>
      <c r="J342" s="42"/>
      <c r="K342" s="42"/>
      <c r="L342" s="42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2.75" customHeight="1">
      <c r="A343" s="33"/>
      <c r="B343" s="134"/>
      <c r="C343" s="133"/>
      <c r="D343" s="42"/>
      <c r="E343" s="42"/>
      <c r="F343" s="42"/>
      <c r="G343" s="42"/>
      <c r="H343" s="42"/>
      <c r="I343" s="42"/>
      <c r="J343" s="42"/>
      <c r="K343" s="42"/>
      <c r="L343" s="42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2.75" customHeight="1">
      <c r="A344" s="33"/>
      <c r="B344" s="134"/>
      <c r="C344" s="133"/>
      <c r="D344" s="42"/>
      <c r="E344" s="42"/>
      <c r="F344" s="42"/>
      <c r="G344" s="42"/>
      <c r="H344" s="42"/>
      <c r="I344" s="42"/>
      <c r="J344" s="42"/>
      <c r="K344" s="42"/>
      <c r="L344" s="42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2.75" customHeight="1">
      <c r="A345" s="33"/>
      <c r="B345" s="134"/>
      <c r="C345" s="133"/>
      <c r="D345" s="42"/>
      <c r="E345" s="42"/>
      <c r="F345" s="42"/>
      <c r="G345" s="42"/>
      <c r="H345" s="42"/>
      <c r="I345" s="42"/>
      <c r="J345" s="42"/>
      <c r="K345" s="42"/>
      <c r="L345" s="42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2.75" customHeight="1">
      <c r="A346" s="33"/>
      <c r="B346" s="134"/>
      <c r="C346" s="133"/>
      <c r="D346" s="42"/>
      <c r="E346" s="42"/>
      <c r="F346" s="42"/>
      <c r="G346" s="42"/>
      <c r="H346" s="42"/>
      <c r="I346" s="42"/>
      <c r="J346" s="42"/>
      <c r="K346" s="42"/>
      <c r="L346" s="42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2.75" customHeight="1">
      <c r="A347" s="33"/>
      <c r="B347" s="134"/>
      <c r="C347" s="133"/>
      <c r="D347" s="42"/>
      <c r="E347" s="42"/>
      <c r="F347" s="42"/>
      <c r="G347" s="42"/>
      <c r="H347" s="42"/>
      <c r="I347" s="42"/>
      <c r="J347" s="42"/>
      <c r="K347" s="42"/>
      <c r="L347" s="42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2.75" customHeight="1">
      <c r="A348" s="33"/>
      <c r="B348" s="134"/>
      <c r="C348" s="133"/>
      <c r="D348" s="42"/>
      <c r="E348" s="42"/>
      <c r="F348" s="42"/>
      <c r="G348" s="42"/>
      <c r="H348" s="42"/>
      <c r="I348" s="42"/>
      <c r="J348" s="42"/>
      <c r="K348" s="42"/>
      <c r="L348" s="42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2.75" customHeight="1">
      <c r="A349" s="33"/>
      <c r="B349" s="134"/>
      <c r="C349" s="133"/>
      <c r="D349" s="42"/>
      <c r="E349" s="42"/>
      <c r="F349" s="42"/>
      <c r="G349" s="42"/>
      <c r="H349" s="42"/>
      <c r="I349" s="42"/>
      <c r="J349" s="42"/>
      <c r="K349" s="42"/>
      <c r="L349" s="42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2.75" customHeight="1">
      <c r="A350" s="33"/>
      <c r="B350" s="134"/>
      <c r="C350" s="133"/>
      <c r="D350" s="42"/>
      <c r="E350" s="42"/>
      <c r="F350" s="42"/>
      <c r="G350" s="42"/>
      <c r="H350" s="42"/>
      <c r="I350" s="42"/>
      <c r="J350" s="42"/>
      <c r="K350" s="42"/>
      <c r="L350" s="42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2.75" customHeight="1">
      <c r="A351" s="33"/>
      <c r="B351" s="134"/>
      <c r="C351" s="133"/>
      <c r="D351" s="42"/>
      <c r="E351" s="42"/>
      <c r="F351" s="42"/>
      <c r="G351" s="42"/>
      <c r="H351" s="42"/>
      <c r="I351" s="42"/>
      <c r="J351" s="42"/>
      <c r="K351" s="42"/>
      <c r="L351" s="42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2.75" customHeight="1">
      <c r="A352" s="33"/>
      <c r="B352" s="134"/>
      <c r="C352" s="133"/>
      <c r="D352" s="42"/>
      <c r="E352" s="42"/>
      <c r="F352" s="42"/>
      <c r="G352" s="42"/>
      <c r="H352" s="42"/>
      <c r="I352" s="42"/>
      <c r="J352" s="42"/>
      <c r="K352" s="42"/>
      <c r="L352" s="42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2.75" customHeight="1">
      <c r="A353" s="33"/>
      <c r="B353" s="134"/>
      <c r="C353" s="133"/>
      <c r="D353" s="42"/>
      <c r="E353" s="42"/>
      <c r="F353" s="42"/>
      <c r="G353" s="42"/>
      <c r="H353" s="42"/>
      <c r="I353" s="42"/>
      <c r="J353" s="42"/>
      <c r="K353" s="42"/>
      <c r="L353" s="42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2.75" customHeight="1">
      <c r="A354" s="33"/>
      <c r="B354" s="134"/>
      <c r="C354" s="133"/>
      <c r="D354" s="42"/>
      <c r="E354" s="42"/>
      <c r="F354" s="42"/>
      <c r="G354" s="42"/>
      <c r="H354" s="42"/>
      <c r="I354" s="42"/>
      <c r="J354" s="42"/>
      <c r="K354" s="42"/>
      <c r="L354" s="42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2.75" customHeight="1">
      <c r="A355" s="33"/>
      <c r="B355" s="134"/>
      <c r="C355" s="133"/>
      <c r="D355" s="42"/>
      <c r="E355" s="42"/>
      <c r="F355" s="42"/>
      <c r="G355" s="42"/>
      <c r="H355" s="42"/>
      <c r="I355" s="42"/>
      <c r="J355" s="42"/>
      <c r="K355" s="42"/>
      <c r="L355" s="42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2.75" customHeight="1">
      <c r="A356" s="33"/>
      <c r="B356" s="134"/>
      <c r="C356" s="133"/>
      <c r="D356" s="42"/>
      <c r="E356" s="42"/>
      <c r="F356" s="42"/>
      <c r="G356" s="42"/>
      <c r="H356" s="42"/>
      <c r="I356" s="42"/>
      <c r="J356" s="42"/>
      <c r="K356" s="42"/>
      <c r="L356" s="42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2.75" customHeight="1">
      <c r="A357" s="33"/>
      <c r="B357" s="134"/>
      <c r="C357" s="133"/>
      <c r="D357" s="42"/>
      <c r="E357" s="42"/>
      <c r="F357" s="42"/>
      <c r="G357" s="42"/>
      <c r="H357" s="42"/>
      <c r="I357" s="42"/>
      <c r="J357" s="42"/>
      <c r="K357" s="42"/>
      <c r="L357" s="42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2.75" customHeight="1">
      <c r="A358" s="33"/>
      <c r="B358" s="134"/>
      <c r="C358" s="133"/>
      <c r="D358" s="42"/>
      <c r="E358" s="42"/>
      <c r="F358" s="42"/>
      <c r="G358" s="42"/>
      <c r="H358" s="42"/>
      <c r="I358" s="42"/>
      <c r="J358" s="42"/>
      <c r="K358" s="42"/>
      <c r="L358" s="42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2.75" customHeight="1">
      <c r="A359" s="33"/>
      <c r="B359" s="134"/>
      <c r="C359" s="133"/>
      <c r="D359" s="42"/>
      <c r="E359" s="42"/>
      <c r="F359" s="42"/>
      <c r="G359" s="42"/>
      <c r="H359" s="42"/>
      <c r="I359" s="42"/>
      <c r="J359" s="42"/>
      <c r="K359" s="42"/>
      <c r="L359" s="42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2.75" customHeight="1">
      <c r="A360" s="33"/>
      <c r="B360" s="134"/>
      <c r="C360" s="133"/>
      <c r="D360" s="42"/>
      <c r="E360" s="42"/>
      <c r="F360" s="42"/>
      <c r="G360" s="42"/>
      <c r="H360" s="42"/>
      <c r="I360" s="42"/>
      <c r="J360" s="42"/>
      <c r="K360" s="42"/>
      <c r="L360" s="42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2.75" customHeight="1">
      <c r="A361" s="33"/>
      <c r="B361" s="134"/>
      <c r="C361" s="133"/>
      <c r="D361" s="42"/>
      <c r="E361" s="42"/>
      <c r="F361" s="42"/>
      <c r="G361" s="42"/>
      <c r="H361" s="42"/>
      <c r="I361" s="42"/>
      <c r="J361" s="42"/>
      <c r="K361" s="42"/>
      <c r="L361" s="42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2.75" customHeight="1">
      <c r="A362" s="33"/>
      <c r="B362" s="134"/>
      <c r="C362" s="133"/>
      <c r="D362" s="42"/>
      <c r="E362" s="42"/>
      <c r="F362" s="42"/>
      <c r="G362" s="42"/>
      <c r="H362" s="42"/>
      <c r="I362" s="42"/>
      <c r="J362" s="42"/>
      <c r="K362" s="42"/>
      <c r="L362" s="42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2.75" customHeight="1">
      <c r="A363" s="33"/>
      <c r="B363" s="134"/>
      <c r="C363" s="133"/>
      <c r="D363" s="42"/>
      <c r="E363" s="42"/>
      <c r="F363" s="42"/>
      <c r="G363" s="42"/>
      <c r="H363" s="42"/>
      <c r="I363" s="42"/>
      <c r="J363" s="42"/>
      <c r="K363" s="42"/>
      <c r="L363" s="42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2.75" customHeight="1">
      <c r="A364" s="33"/>
      <c r="B364" s="134"/>
      <c r="C364" s="133"/>
      <c r="D364" s="42"/>
      <c r="E364" s="42"/>
      <c r="F364" s="42"/>
      <c r="G364" s="42"/>
      <c r="H364" s="42"/>
      <c r="I364" s="42"/>
      <c r="J364" s="42"/>
      <c r="K364" s="42"/>
      <c r="L364" s="42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2.75" customHeight="1">
      <c r="A365" s="33"/>
      <c r="B365" s="134"/>
      <c r="C365" s="133"/>
      <c r="D365" s="42"/>
      <c r="E365" s="42"/>
      <c r="F365" s="42"/>
      <c r="G365" s="42"/>
      <c r="H365" s="42"/>
      <c r="I365" s="42"/>
      <c r="J365" s="42"/>
      <c r="K365" s="42"/>
      <c r="L365" s="42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2.75" customHeight="1">
      <c r="A366" s="33"/>
      <c r="B366" s="134"/>
      <c r="C366" s="133"/>
      <c r="D366" s="42"/>
      <c r="E366" s="42"/>
      <c r="F366" s="42"/>
      <c r="G366" s="42"/>
      <c r="H366" s="42"/>
      <c r="I366" s="42"/>
      <c r="J366" s="42"/>
      <c r="K366" s="42"/>
      <c r="L366" s="42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2.75" customHeight="1">
      <c r="A367" s="33"/>
      <c r="B367" s="134"/>
      <c r="C367" s="133"/>
      <c r="D367" s="42"/>
      <c r="E367" s="42"/>
      <c r="F367" s="42"/>
      <c r="G367" s="42"/>
      <c r="H367" s="42"/>
      <c r="I367" s="42"/>
      <c r="J367" s="42"/>
      <c r="K367" s="42"/>
      <c r="L367" s="42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2.75" customHeight="1">
      <c r="A368" s="33"/>
      <c r="B368" s="134"/>
      <c r="C368" s="133"/>
      <c r="D368" s="42"/>
      <c r="E368" s="42"/>
      <c r="F368" s="42"/>
      <c r="G368" s="42"/>
      <c r="H368" s="42"/>
      <c r="I368" s="42"/>
      <c r="J368" s="42"/>
      <c r="K368" s="42"/>
      <c r="L368" s="42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2.75" customHeight="1">
      <c r="A369" s="33"/>
      <c r="B369" s="134"/>
      <c r="C369" s="133"/>
      <c r="D369" s="42"/>
      <c r="E369" s="42"/>
      <c r="F369" s="42"/>
      <c r="G369" s="42"/>
      <c r="H369" s="42"/>
      <c r="I369" s="42"/>
      <c r="J369" s="42"/>
      <c r="K369" s="42"/>
      <c r="L369" s="42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2.75" customHeight="1">
      <c r="A370" s="33"/>
      <c r="B370" s="134"/>
      <c r="C370" s="133"/>
      <c r="D370" s="42"/>
      <c r="E370" s="42"/>
      <c r="F370" s="42"/>
      <c r="G370" s="42"/>
      <c r="H370" s="42"/>
      <c r="I370" s="42"/>
      <c r="J370" s="42"/>
      <c r="K370" s="42"/>
      <c r="L370" s="42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2.75" customHeight="1">
      <c r="A371" s="33"/>
      <c r="B371" s="134"/>
      <c r="C371" s="133"/>
      <c r="D371" s="42"/>
      <c r="E371" s="42"/>
      <c r="F371" s="42"/>
      <c r="G371" s="42"/>
      <c r="H371" s="42"/>
      <c r="I371" s="42"/>
      <c r="J371" s="42"/>
      <c r="K371" s="42"/>
      <c r="L371" s="42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2.75" customHeight="1">
      <c r="A372" s="33"/>
      <c r="B372" s="134"/>
      <c r="C372" s="133"/>
      <c r="D372" s="42"/>
      <c r="E372" s="42"/>
      <c r="F372" s="42"/>
      <c r="G372" s="42"/>
      <c r="H372" s="42"/>
      <c r="I372" s="42"/>
      <c r="J372" s="42"/>
      <c r="K372" s="42"/>
      <c r="L372" s="42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2.75" customHeight="1">
      <c r="A373" s="33"/>
      <c r="B373" s="134"/>
      <c r="C373" s="133"/>
      <c r="D373" s="42"/>
      <c r="E373" s="42"/>
      <c r="F373" s="42"/>
      <c r="G373" s="42"/>
      <c r="H373" s="42"/>
      <c r="I373" s="42"/>
      <c r="J373" s="42"/>
      <c r="K373" s="42"/>
      <c r="L373" s="42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2.75" customHeight="1">
      <c r="A374" s="33"/>
      <c r="B374" s="134"/>
      <c r="C374" s="133"/>
      <c r="D374" s="42"/>
      <c r="E374" s="42"/>
      <c r="F374" s="42"/>
      <c r="G374" s="42"/>
      <c r="H374" s="42"/>
      <c r="I374" s="42"/>
      <c r="J374" s="42"/>
      <c r="K374" s="42"/>
      <c r="L374" s="42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2.75" customHeight="1">
      <c r="A375" s="33"/>
      <c r="B375" s="134"/>
      <c r="C375" s="133"/>
      <c r="D375" s="42"/>
      <c r="E375" s="42"/>
      <c r="F375" s="42"/>
      <c r="G375" s="42"/>
      <c r="H375" s="42"/>
      <c r="I375" s="42"/>
      <c r="J375" s="42"/>
      <c r="K375" s="42"/>
      <c r="L375" s="42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2.75" customHeight="1">
      <c r="A376" s="33"/>
      <c r="B376" s="134"/>
      <c r="C376" s="133"/>
      <c r="D376" s="42"/>
      <c r="E376" s="42"/>
      <c r="F376" s="42"/>
      <c r="G376" s="42"/>
      <c r="H376" s="42"/>
      <c r="I376" s="42"/>
      <c r="J376" s="42"/>
      <c r="K376" s="42"/>
      <c r="L376" s="42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2.75" customHeight="1">
      <c r="A377" s="33"/>
      <c r="B377" s="134"/>
      <c r="C377" s="133"/>
      <c r="D377" s="42"/>
      <c r="E377" s="42"/>
      <c r="F377" s="42"/>
      <c r="G377" s="42"/>
      <c r="H377" s="42"/>
      <c r="I377" s="42"/>
      <c r="J377" s="42"/>
      <c r="K377" s="42"/>
      <c r="L377" s="42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2.75" customHeight="1">
      <c r="A378" s="33"/>
      <c r="B378" s="134"/>
      <c r="C378" s="133"/>
      <c r="D378" s="42"/>
      <c r="E378" s="42"/>
      <c r="F378" s="42"/>
      <c r="G378" s="42"/>
      <c r="H378" s="42"/>
      <c r="I378" s="42"/>
      <c r="J378" s="42"/>
      <c r="K378" s="42"/>
      <c r="L378" s="42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2.75" customHeight="1">
      <c r="A379" s="33"/>
      <c r="B379" s="134"/>
      <c r="C379" s="133"/>
      <c r="D379" s="42"/>
      <c r="E379" s="42"/>
      <c r="F379" s="42"/>
      <c r="G379" s="42"/>
      <c r="H379" s="42"/>
      <c r="I379" s="42"/>
      <c r="J379" s="42"/>
      <c r="K379" s="42"/>
      <c r="L379" s="42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2.75" customHeight="1">
      <c r="A380" s="33"/>
      <c r="B380" s="134"/>
      <c r="C380" s="133"/>
      <c r="D380" s="42"/>
      <c r="E380" s="42"/>
      <c r="F380" s="42"/>
      <c r="G380" s="42"/>
      <c r="H380" s="42"/>
      <c r="I380" s="42"/>
      <c r="J380" s="42"/>
      <c r="K380" s="42"/>
      <c r="L380" s="42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2.75" customHeight="1">
      <c r="A381" s="33"/>
      <c r="B381" s="134"/>
      <c r="C381" s="133"/>
      <c r="D381" s="42"/>
      <c r="E381" s="42"/>
      <c r="F381" s="42"/>
      <c r="G381" s="42"/>
      <c r="H381" s="42"/>
      <c r="I381" s="42"/>
      <c r="J381" s="42"/>
      <c r="K381" s="42"/>
      <c r="L381" s="42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2.75" customHeight="1">
      <c r="A382" s="33"/>
      <c r="B382" s="134"/>
      <c r="C382" s="133"/>
      <c r="D382" s="42"/>
      <c r="E382" s="42"/>
      <c r="F382" s="42"/>
      <c r="G382" s="42"/>
      <c r="H382" s="42"/>
      <c r="I382" s="42"/>
      <c r="J382" s="42"/>
      <c r="K382" s="42"/>
      <c r="L382" s="42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2.75" customHeight="1">
      <c r="A383" s="33"/>
      <c r="B383" s="134"/>
      <c r="C383" s="133"/>
      <c r="D383" s="42"/>
      <c r="E383" s="42"/>
      <c r="F383" s="42"/>
      <c r="G383" s="42"/>
      <c r="H383" s="42"/>
      <c r="I383" s="42"/>
      <c r="J383" s="42"/>
      <c r="K383" s="42"/>
      <c r="L383" s="42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2.75" customHeight="1">
      <c r="A384" s="33"/>
      <c r="B384" s="134"/>
      <c r="C384" s="133"/>
      <c r="D384" s="42"/>
      <c r="E384" s="42"/>
      <c r="F384" s="42"/>
      <c r="G384" s="42"/>
      <c r="H384" s="42"/>
      <c r="I384" s="42"/>
      <c r="J384" s="42"/>
      <c r="K384" s="42"/>
      <c r="L384" s="42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2.75" customHeight="1">
      <c r="A385" s="33"/>
      <c r="B385" s="134"/>
      <c r="C385" s="133"/>
      <c r="D385" s="42"/>
      <c r="E385" s="42"/>
      <c r="F385" s="42"/>
      <c r="G385" s="42"/>
      <c r="H385" s="42"/>
      <c r="I385" s="42"/>
      <c r="J385" s="42"/>
      <c r="K385" s="42"/>
      <c r="L385" s="42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2.75" customHeight="1">
      <c r="A386" s="33"/>
      <c r="B386" s="134"/>
      <c r="C386" s="133"/>
      <c r="D386" s="42"/>
      <c r="E386" s="42"/>
      <c r="F386" s="42"/>
      <c r="G386" s="42"/>
      <c r="H386" s="42"/>
      <c r="I386" s="42"/>
      <c r="J386" s="42"/>
      <c r="K386" s="42"/>
      <c r="L386" s="42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2.75" customHeight="1">
      <c r="A387" s="33"/>
      <c r="B387" s="134"/>
      <c r="C387" s="133"/>
      <c r="D387" s="42"/>
      <c r="E387" s="42"/>
      <c r="F387" s="42"/>
      <c r="G387" s="42"/>
      <c r="H387" s="42"/>
      <c r="I387" s="42"/>
      <c r="J387" s="42"/>
      <c r="K387" s="42"/>
      <c r="L387" s="42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2.75" customHeight="1">
      <c r="A388" s="33"/>
      <c r="B388" s="134"/>
      <c r="C388" s="133"/>
      <c r="D388" s="42"/>
      <c r="E388" s="42"/>
      <c r="F388" s="42"/>
      <c r="G388" s="42"/>
      <c r="H388" s="42"/>
      <c r="I388" s="42"/>
      <c r="J388" s="42"/>
      <c r="K388" s="42"/>
      <c r="L388" s="42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2.75" customHeight="1">
      <c r="A389" s="33"/>
      <c r="B389" s="134"/>
      <c r="C389" s="133"/>
      <c r="D389" s="42"/>
      <c r="E389" s="42"/>
      <c r="F389" s="42"/>
      <c r="G389" s="42"/>
      <c r="H389" s="42"/>
      <c r="I389" s="42"/>
      <c r="J389" s="42"/>
      <c r="K389" s="42"/>
      <c r="L389" s="42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2.75" customHeight="1">
      <c r="A390" s="33"/>
      <c r="B390" s="134"/>
      <c r="C390" s="133"/>
      <c r="D390" s="42"/>
      <c r="E390" s="42"/>
      <c r="F390" s="42"/>
      <c r="G390" s="42"/>
      <c r="H390" s="42"/>
      <c r="I390" s="42"/>
      <c r="J390" s="42"/>
      <c r="K390" s="42"/>
      <c r="L390" s="42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2.75" customHeight="1">
      <c r="A391" s="33"/>
      <c r="B391" s="134"/>
      <c r="C391" s="133"/>
      <c r="D391" s="42"/>
      <c r="E391" s="42"/>
      <c r="F391" s="42"/>
      <c r="G391" s="42"/>
      <c r="H391" s="42"/>
      <c r="I391" s="42"/>
      <c r="J391" s="42"/>
      <c r="K391" s="42"/>
      <c r="L391" s="42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2.75" customHeight="1">
      <c r="A392" s="33"/>
      <c r="B392" s="134"/>
      <c r="C392" s="133"/>
      <c r="D392" s="42"/>
      <c r="E392" s="42"/>
      <c r="F392" s="42"/>
      <c r="G392" s="42"/>
      <c r="H392" s="42"/>
      <c r="I392" s="42"/>
      <c r="J392" s="42"/>
      <c r="K392" s="42"/>
      <c r="L392" s="42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2.75" customHeight="1">
      <c r="A393" s="33"/>
      <c r="B393" s="134"/>
      <c r="C393" s="133"/>
      <c r="D393" s="42"/>
      <c r="E393" s="42"/>
      <c r="F393" s="42"/>
      <c r="G393" s="42"/>
      <c r="H393" s="42"/>
      <c r="I393" s="42"/>
      <c r="J393" s="42"/>
      <c r="K393" s="42"/>
      <c r="L393" s="42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2.75" customHeight="1">
      <c r="A394" s="33"/>
      <c r="B394" s="134"/>
      <c r="C394" s="133"/>
      <c r="D394" s="42"/>
      <c r="E394" s="42"/>
      <c r="F394" s="42"/>
      <c r="G394" s="42"/>
      <c r="H394" s="42"/>
      <c r="I394" s="42"/>
      <c r="J394" s="42"/>
      <c r="K394" s="42"/>
      <c r="L394" s="42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2.75" customHeight="1">
      <c r="A395" s="33"/>
      <c r="B395" s="134"/>
      <c r="C395" s="133"/>
      <c r="D395" s="42"/>
      <c r="E395" s="42"/>
      <c r="F395" s="42"/>
      <c r="G395" s="42"/>
      <c r="H395" s="42"/>
      <c r="I395" s="42"/>
      <c r="J395" s="42"/>
      <c r="K395" s="42"/>
      <c r="L395" s="42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2.75" customHeight="1">
      <c r="A396" s="33"/>
      <c r="B396" s="134"/>
      <c r="C396" s="133"/>
      <c r="D396" s="42"/>
      <c r="E396" s="42"/>
      <c r="F396" s="42"/>
      <c r="G396" s="42"/>
      <c r="H396" s="42"/>
      <c r="I396" s="42"/>
      <c r="J396" s="42"/>
      <c r="K396" s="42"/>
      <c r="L396" s="42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2.75" customHeight="1">
      <c r="A397" s="33"/>
      <c r="B397" s="134"/>
      <c r="C397" s="133"/>
      <c r="D397" s="42"/>
      <c r="E397" s="42"/>
      <c r="F397" s="42"/>
      <c r="G397" s="42"/>
      <c r="H397" s="42"/>
      <c r="I397" s="42"/>
      <c r="J397" s="42"/>
      <c r="K397" s="42"/>
      <c r="L397" s="42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2.75" customHeight="1">
      <c r="A398" s="33"/>
      <c r="B398" s="134"/>
      <c r="C398" s="133"/>
      <c r="D398" s="42"/>
      <c r="E398" s="42"/>
      <c r="F398" s="42"/>
      <c r="G398" s="42"/>
      <c r="H398" s="42"/>
      <c r="I398" s="42"/>
      <c r="J398" s="42"/>
      <c r="K398" s="42"/>
      <c r="L398" s="42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2.75" customHeight="1">
      <c r="A399" s="33"/>
      <c r="B399" s="134"/>
      <c r="C399" s="133"/>
      <c r="D399" s="42"/>
      <c r="E399" s="42"/>
      <c r="F399" s="42"/>
      <c r="G399" s="42"/>
      <c r="H399" s="42"/>
      <c r="I399" s="42"/>
      <c r="J399" s="42"/>
      <c r="K399" s="42"/>
      <c r="L399" s="42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2.75" customHeight="1">
      <c r="A400" s="33"/>
      <c r="B400" s="134"/>
      <c r="C400" s="133"/>
      <c r="D400" s="42"/>
      <c r="E400" s="42"/>
      <c r="F400" s="42"/>
      <c r="G400" s="42"/>
      <c r="H400" s="42"/>
      <c r="I400" s="42"/>
      <c r="J400" s="42"/>
      <c r="K400" s="42"/>
      <c r="L400" s="42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2.75" customHeight="1">
      <c r="A401" s="33"/>
      <c r="B401" s="134"/>
      <c r="C401" s="133"/>
      <c r="D401" s="42"/>
      <c r="E401" s="42"/>
      <c r="F401" s="42"/>
      <c r="G401" s="42"/>
      <c r="H401" s="42"/>
      <c r="I401" s="42"/>
      <c r="J401" s="42"/>
      <c r="K401" s="42"/>
      <c r="L401" s="42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2.75" customHeight="1">
      <c r="A402" s="33"/>
      <c r="B402" s="134"/>
      <c r="C402" s="133"/>
      <c r="D402" s="42"/>
      <c r="E402" s="42"/>
      <c r="F402" s="42"/>
      <c r="G402" s="42"/>
      <c r="H402" s="42"/>
      <c r="I402" s="42"/>
      <c r="J402" s="42"/>
      <c r="K402" s="42"/>
      <c r="L402" s="42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2.75" customHeight="1">
      <c r="A403" s="33"/>
      <c r="B403" s="134"/>
      <c r="C403" s="133"/>
      <c r="D403" s="42"/>
      <c r="E403" s="42"/>
      <c r="F403" s="42"/>
      <c r="G403" s="42"/>
      <c r="H403" s="42"/>
      <c r="I403" s="42"/>
      <c r="J403" s="42"/>
      <c r="K403" s="42"/>
      <c r="L403" s="42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2.75" customHeight="1">
      <c r="A404" s="33"/>
      <c r="B404" s="134"/>
      <c r="C404" s="133"/>
      <c r="D404" s="42"/>
      <c r="E404" s="42"/>
      <c r="F404" s="42"/>
      <c r="G404" s="42"/>
      <c r="H404" s="42"/>
      <c r="I404" s="42"/>
      <c r="J404" s="42"/>
      <c r="K404" s="42"/>
      <c r="L404" s="42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2.75" customHeight="1">
      <c r="A405" s="33"/>
      <c r="B405" s="134"/>
      <c r="C405" s="133"/>
      <c r="D405" s="42"/>
      <c r="E405" s="42"/>
      <c r="F405" s="42"/>
      <c r="G405" s="42"/>
      <c r="H405" s="42"/>
      <c r="I405" s="42"/>
      <c r="J405" s="42"/>
      <c r="K405" s="42"/>
      <c r="L405" s="42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2.75" customHeight="1">
      <c r="A406" s="33"/>
      <c r="B406" s="134"/>
      <c r="C406" s="133"/>
      <c r="D406" s="42"/>
      <c r="E406" s="42"/>
      <c r="F406" s="42"/>
      <c r="G406" s="42"/>
      <c r="H406" s="42"/>
      <c r="I406" s="42"/>
      <c r="J406" s="42"/>
      <c r="K406" s="42"/>
      <c r="L406" s="42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2.75" customHeight="1">
      <c r="A407" s="33"/>
      <c r="B407" s="134"/>
      <c r="C407" s="133"/>
      <c r="D407" s="42"/>
      <c r="E407" s="42"/>
      <c r="F407" s="42"/>
      <c r="G407" s="42"/>
      <c r="H407" s="42"/>
      <c r="I407" s="42"/>
      <c r="J407" s="42"/>
      <c r="K407" s="42"/>
      <c r="L407" s="42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2.75" customHeight="1">
      <c r="A408" s="33"/>
      <c r="B408" s="134"/>
      <c r="C408" s="133"/>
      <c r="D408" s="42"/>
      <c r="E408" s="42"/>
      <c r="F408" s="42"/>
      <c r="G408" s="42"/>
      <c r="H408" s="42"/>
      <c r="I408" s="42"/>
      <c r="J408" s="42"/>
      <c r="K408" s="42"/>
      <c r="L408" s="42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2.75" customHeight="1">
      <c r="A409" s="33"/>
      <c r="B409" s="134"/>
      <c r="C409" s="133"/>
      <c r="D409" s="42"/>
      <c r="E409" s="42"/>
      <c r="F409" s="42"/>
      <c r="G409" s="42"/>
      <c r="H409" s="42"/>
      <c r="I409" s="42"/>
      <c r="J409" s="42"/>
      <c r="K409" s="42"/>
      <c r="L409" s="42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2.75" customHeight="1">
      <c r="A410" s="33"/>
      <c r="B410" s="134"/>
      <c r="C410" s="133"/>
      <c r="D410" s="42"/>
      <c r="E410" s="42"/>
      <c r="F410" s="42"/>
      <c r="G410" s="42"/>
      <c r="H410" s="42"/>
      <c r="I410" s="42"/>
      <c r="J410" s="42"/>
      <c r="K410" s="42"/>
      <c r="L410" s="42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2.75" customHeight="1">
      <c r="A411" s="33"/>
      <c r="B411" s="134"/>
      <c r="C411" s="133"/>
      <c r="D411" s="42"/>
      <c r="E411" s="42"/>
      <c r="F411" s="42"/>
      <c r="G411" s="42"/>
      <c r="H411" s="42"/>
      <c r="I411" s="42"/>
      <c r="J411" s="42"/>
      <c r="K411" s="42"/>
      <c r="L411" s="42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2.75" customHeight="1">
      <c r="A412" s="33"/>
      <c r="B412" s="134"/>
      <c r="C412" s="133"/>
      <c r="D412" s="42"/>
      <c r="E412" s="42"/>
      <c r="F412" s="42"/>
      <c r="G412" s="42"/>
      <c r="H412" s="42"/>
      <c r="I412" s="42"/>
      <c r="J412" s="42"/>
      <c r="K412" s="42"/>
      <c r="L412" s="42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2.75" customHeight="1">
      <c r="A413" s="33"/>
      <c r="B413" s="134"/>
      <c r="C413" s="133"/>
      <c r="D413" s="42"/>
      <c r="E413" s="42"/>
      <c r="F413" s="42"/>
      <c r="G413" s="42"/>
      <c r="H413" s="42"/>
      <c r="I413" s="42"/>
      <c r="J413" s="42"/>
      <c r="K413" s="42"/>
      <c r="L413" s="42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2.75" customHeight="1">
      <c r="A414" s="33"/>
      <c r="B414" s="134"/>
      <c r="C414" s="133"/>
      <c r="D414" s="42"/>
      <c r="E414" s="42"/>
      <c r="F414" s="42"/>
      <c r="G414" s="42"/>
      <c r="H414" s="42"/>
      <c r="I414" s="42"/>
      <c r="J414" s="42"/>
      <c r="K414" s="42"/>
      <c r="L414" s="42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2.75" customHeight="1">
      <c r="A415" s="33"/>
      <c r="B415" s="134"/>
      <c r="C415" s="133"/>
      <c r="D415" s="42"/>
      <c r="E415" s="42"/>
      <c r="F415" s="42"/>
      <c r="G415" s="42"/>
      <c r="H415" s="42"/>
      <c r="I415" s="42"/>
      <c r="J415" s="42"/>
      <c r="K415" s="42"/>
      <c r="L415" s="42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2.75" customHeight="1">
      <c r="A416" s="33"/>
      <c r="B416" s="134"/>
      <c r="C416" s="133"/>
      <c r="D416" s="42"/>
      <c r="E416" s="42"/>
      <c r="F416" s="42"/>
      <c r="G416" s="42"/>
      <c r="H416" s="42"/>
      <c r="I416" s="42"/>
      <c r="J416" s="42"/>
      <c r="K416" s="42"/>
      <c r="L416" s="42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2.75" customHeight="1">
      <c r="A417" s="33"/>
      <c r="B417" s="134"/>
      <c r="C417" s="133"/>
      <c r="D417" s="42"/>
      <c r="E417" s="42"/>
      <c r="F417" s="42"/>
      <c r="G417" s="42"/>
      <c r="H417" s="42"/>
      <c r="I417" s="42"/>
      <c r="J417" s="42"/>
      <c r="K417" s="42"/>
      <c r="L417" s="42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2.75" customHeight="1">
      <c r="A418" s="33"/>
      <c r="B418" s="134"/>
      <c r="C418" s="133"/>
      <c r="D418" s="42"/>
      <c r="E418" s="42"/>
      <c r="F418" s="42"/>
      <c r="G418" s="42"/>
      <c r="H418" s="42"/>
      <c r="I418" s="42"/>
      <c r="J418" s="42"/>
      <c r="K418" s="42"/>
      <c r="L418" s="42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2.75" customHeight="1">
      <c r="A419" s="33"/>
      <c r="B419" s="134"/>
      <c r="C419" s="133"/>
      <c r="D419" s="42"/>
      <c r="E419" s="42"/>
      <c r="F419" s="42"/>
      <c r="G419" s="42"/>
      <c r="H419" s="42"/>
      <c r="I419" s="42"/>
      <c r="J419" s="42"/>
      <c r="K419" s="42"/>
      <c r="L419" s="42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2.75" customHeight="1">
      <c r="A420" s="33"/>
      <c r="B420" s="134"/>
      <c r="C420" s="133"/>
      <c r="D420" s="42"/>
      <c r="E420" s="42"/>
      <c r="F420" s="42"/>
      <c r="G420" s="42"/>
      <c r="H420" s="42"/>
      <c r="I420" s="42"/>
      <c r="J420" s="42"/>
      <c r="K420" s="42"/>
      <c r="L420" s="42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2.75" customHeight="1">
      <c r="A421" s="33"/>
      <c r="B421" s="134"/>
      <c r="C421" s="133"/>
      <c r="D421" s="42"/>
      <c r="E421" s="42"/>
      <c r="F421" s="42"/>
      <c r="G421" s="42"/>
      <c r="H421" s="42"/>
      <c r="I421" s="42"/>
      <c r="J421" s="42"/>
      <c r="K421" s="42"/>
      <c r="L421" s="42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2.75" customHeight="1">
      <c r="A422" s="33"/>
      <c r="B422" s="134"/>
      <c r="C422" s="133"/>
      <c r="D422" s="42"/>
      <c r="E422" s="42"/>
      <c r="F422" s="42"/>
      <c r="G422" s="42"/>
      <c r="H422" s="42"/>
      <c r="I422" s="42"/>
      <c r="J422" s="42"/>
      <c r="K422" s="42"/>
      <c r="L422" s="42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2.75" customHeight="1">
      <c r="A423" s="33"/>
      <c r="B423" s="134"/>
      <c r="C423" s="133"/>
      <c r="D423" s="42"/>
      <c r="E423" s="42"/>
      <c r="F423" s="42"/>
      <c r="G423" s="42"/>
      <c r="H423" s="42"/>
      <c r="I423" s="42"/>
      <c r="J423" s="42"/>
      <c r="K423" s="42"/>
      <c r="L423" s="42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2.75" customHeight="1">
      <c r="A424" s="33"/>
      <c r="B424" s="134"/>
      <c r="C424" s="133"/>
      <c r="D424" s="42"/>
      <c r="E424" s="42"/>
      <c r="F424" s="42"/>
      <c r="G424" s="42"/>
      <c r="H424" s="42"/>
      <c r="I424" s="42"/>
      <c r="J424" s="42"/>
      <c r="K424" s="42"/>
      <c r="L424" s="42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2.75" customHeight="1">
      <c r="A425" s="33"/>
      <c r="B425" s="134"/>
      <c r="C425" s="133"/>
      <c r="D425" s="42"/>
      <c r="E425" s="42"/>
      <c r="F425" s="42"/>
      <c r="G425" s="42"/>
      <c r="H425" s="42"/>
      <c r="I425" s="42"/>
      <c r="J425" s="42"/>
      <c r="K425" s="42"/>
      <c r="L425" s="42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2.75" customHeight="1">
      <c r="A426" s="33"/>
      <c r="B426" s="134"/>
      <c r="C426" s="133"/>
      <c r="D426" s="42"/>
      <c r="E426" s="42"/>
      <c r="F426" s="42"/>
      <c r="G426" s="42"/>
      <c r="H426" s="42"/>
      <c r="I426" s="42"/>
      <c r="J426" s="42"/>
      <c r="K426" s="42"/>
      <c r="L426" s="42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2.75" customHeight="1">
      <c r="A427" s="33"/>
      <c r="B427" s="134"/>
      <c r="C427" s="133"/>
      <c r="D427" s="42"/>
      <c r="E427" s="42"/>
      <c r="F427" s="42"/>
      <c r="G427" s="42"/>
      <c r="H427" s="42"/>
      <c r="I427" s="42"/>
      <c r="J427" s="42"/>
      <c r="K427" s="42"/>
      <c r="L427" s="42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2.75" customHeight="1">
      <c r="A428" s="33"/>
      <c r="B428" s="134"/>
      <c r="C428" s="133"/>
      <c r="D428" s="42"/>
      <c r="E428" s="42"/>
      <c r="F428" s="42"/>
      <c r="G428" s="42"/>
      <c r="H428" s="42"/>
      <c r="I428" s="42"/>
      <c r="J428" s="42"/>
      <c r="K428" s="42"/>
      <c r="L428" s="42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2.75" customHeight="1">
      <c r="A429" s="33"/>
      <c r="B429" s="134"/>
      <c r="C429" s="133"/>
      <c r="D429" s="42"/>
      <c r="E429" s="42"/>
      <c r="F429" s="42"/>
      <c r="G429" s="42"/>
      <c r="H429" s="42"/>
      <c r="I429" s="42"/>
      <c r="J429" s="42"/>
      <c r="K429" s="42"/>
      <c r="L429" s="42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2.75" customHeight="1">
      <c r="A430" s="33"/>
      <c r="B430" s="134"/>
      <c r="C430" s="133"/>
      <c r="D430" s="42"/>
      <c r="E430" s="42"/>
      <c r="F430" s="42"/>
      <c r="G430" s="42"/>
      <c r="H430" s="42"/>
      <c r="I430" s="42"/>
      <c r="J430" s="42"/>
      <c r="K430" s="42"/>
      <c r="L430" s="42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2.75" customHeight="1">
      <c r="A431" s="33"/>
      <c r="B431" s="134"/>
      <c r="C431" s="133"/>
      <c r="D431" s="42"/>
      <c r="E431" s="42"/>
      <c r="F431" s="42"/>
      <c r="G431" s="42"/>
      <c r="H431" s="42"/>
      <c r="I431" s="42"/>
      <c r="J431" s="42"/>
      <c r="K431" s="42"/>
      <c r="L431" s="42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2.75" customHeight="1">
      <c r="A432" s="33"/>
      <c r="B432" s="134"/>
      <c r="C432" s="133"/>
      <c r="D432" s="42"/>
      <c r="E432" s="42"/>
      <c r="F432" s="42"/>
      <c r="G432" s="42"/>
      <c r="H432" s="42"/>
      <c r="I432" s="42"/>
      <c r="J432" s="42"/>
      <c r="K432" s="42"/>
      <c r="L432" s="42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2.75" customHeight="1">
      <c r="A433" s="33"/>
      <c r="B433" s="134"/>
      <c r="C433" s="133"/>
      <c r="D433" s="42"/>
      <c r="E433" s="42"/>
      <c r="F433" s="42"/>
      <c r="G433" s="42"/>
      <c r="H433" s="42"/>
      <c r="I433" s="42"/>
      <c r="J433" s="42"/>
      <c r="K433" s="42"/>
      <c r="L433" s="42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2.75" customHeight="1">
      <c r="A434" s="33"/>
      <c r="B434" s="134"/>
      <c r="C434" s="133"/>
      <c r="D434" s="42"/>
      <c r="E434" s="42"/>
      <c r="F434" s="42"/>
      <c r="G434" s="42"/>
      <c r="H434" s="42"/>
      <c r="I434" s="42"/>
      <c r="J434" s="42"/>
      <c r="K434" s="42"/>
      <c r="L434" s="42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2.75" customHeight="1">
      <c r="A435" s="33"/>
      <c r="B435" s="134"/>
      <c r="C435" s="133"/>
      <c r="D435" s="42"/>
      <c r="E435" s="42"/>
      <c r="F435" s="42"/>
      <c r="G435" s="42"/>
      <c r="H435" s="42"/>
      <c r="I435" s="42"/>
      <c r="J435" s="42"/>
      <c r="K435" s="42"/>
      <c r="L435" s="42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2.75" customHeight="1">
      <c r="A436" s="33"/>
      <c r="B436" s="134"/>
      <c r="C436" s="133"/>
      <c r="D436" s="42"/>
      <c r="E436" s="42"/>
      <c r="F436" s="42"/>
      <c r="G436" s="42"/>
      <c r="H436" s="42"/>
      <c r="I436" s="42"/>
      <c r="J436" s="42"/>
      <c r="K436" s="42"/>
      <c r="L436" s="42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2.75" customHeight="1">
      <c r="A437" s="33"/>
      <c r="B437" s="134"/>
      <c r="C437" s="133"/>
      <c r="D437" s="42"/>
      <c r="E437" s="42"/>
      <c r="F437" s="42"/>
      <c r="G437" s="42"/>
      <c r="H437" s="42"/>
      <c r="I437" s="42"/>
      <c r="J437" s="42"/>
      <c r="K437" s="42"/>
      <c r="L437" s="42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2.75" customHeight="1">
      <c r="A438" s="33"/>
      <c r="B438" s="134"/>
      <c r="C438" s="133"/>
      <c r="D438" s="42"/>
      <c r="E438" s="42"/>
      <c r="F438" s="42"/>
      <c r="G438" s="42"/>
      <c r="H438" s="42"/>
      <c r="I438" s="42"/>
      <c r="J438" s="42"/>
      <c r="K438" s="42"/>
      <c r="L438" s="42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2.75" customHeight="1">
      <c r="A439" s="33"/>
      <c r="B439" s="134"/>
      <c r="C439" s="133"/>
      <c r="D439" s="42"/>
      <c r="E439" s="42"/>
      <c r="F439" s="42"/>
      <c r="G439" s="42"/>
      <c r="H439" s="42"/>
      <c r="I439" s="42"/>
      <c r="J439" s="42"/>
      <c r="K439" s="42"/>
      <c r="L439" s="42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2.75" customHeight="1">
      <c r="A440" s="33"/>
      <c r="B440" s="134"/>
      <c r="C440" s="133"/>
      <c r="D440" s="42"/>
      <c r="E440" s="42"/>
      <c r="F440" s="42"/>
      <c r="G440" s="42"/>
      <c r="H440" s="42"/>
      <c r="I440" s="42"/>
      <c r="J440" s="42"/>
      <c r="K440" s="42"/>
      <c r="L440" s="42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2.75" customHeight="1">
      <c r="A441" s="33"/>
      <c r="B441" s="134"/>
      <c r="C441" s="133"/>
      <c r="D441" s="42"/>
      <c r="E441" s="42"/>
      <c r="F441" s="42"/>
      <c r="G441" s="42"/>
      <c r="H441" s="42"/>
      <c r="I441" s="42"/>
      <c r="J441" s="42"/>
      <c r="K441" s="42"/>
      <c r="L441" s="42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2.75" customHeight="1">
      <c r="A442" s="33"/>
      <c r="B442" s="134"/>
      <c r="C442" s="133"/>
      <c r="D442" s="42"/>
      <c r="E442" s="42"/>
      <c r="F442" s="42"/>
      <c r="G442" s="42"/>
      <c r="H442" s="42"/>
      <c r="I442" s="42"/>
      <c r="J442" s="42"/>
      <c r="K442" s="42"/>
      <c r="L442" s="42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2.75" customHeight="1">
      <c r="A443" s="33"/>
      <c r="B443" s="134"/>
      <c r="C443" s="133"/>
      <c r="D443" s="42"/>
      <c r="E443" s="42"/>
      <c r="F443" s="42"/>
      <c r="G443" s="42"/>
      <c r="H443" s="42"/>
      <c r="I443" s="42"/>
      <c r="J443" s="42"/>
      <c r="K443" s="42"/>
      <c r="L443" s="42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2.75" customHeight="1">
      <c r="A444" s="33"/>
      <c r="B444" s="134"/>
      <c r="C444" s="133"/>
      <c r="D444" s="42"/>
      <c r="E444" s="42"/>
      <c r="F444" s="42"/>
      <c r="G444" s="42"/>
      <c r="H444" s="42"/>
      <c r="I444" s="42"/>
      <c r="J444" s="42"/>
      <c r="K444" s="42"/>
      <c r="L444" s="42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2.75" customHeight="1">
      <c r="A445" s="33"/>
      <c r="B445" s="134"/>
      <c r="C445" s="133"/>
      <c r="D445" s="42"/>
      <c r="E445" s="42"/>
      <c r="F445" s="42"/>
      <c r="G445" s="42"/>
      <c r="H445" s="42"/>
      <c r="I445" s="42"/>
      <c r="J445" s="42"/>
      <c r="K445" s="42"/>
      <c r="L445" s="42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2.75" customHeight="1">
      <c r="A446" s="33"/>
      <c r="B446" s="134"/>
      <c r="C446" s="133"/>
      <c r="D446" s="42"/>
      <c r="E446" s="42"/>
      <c r="F446" s="42"/>
      <c r="G446" s="42"/>
      <c r="H446" s="42"/>
      <c r="I446" s="42"/>
      <c r="J446" s="42"/>
      <c r="K446" s="42"/>
      <c r="L446" s="42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2.75" customHeight="1">
      <c r="A447" s="33"/>
      <c r="B447" s="134"/>
      <c r="C447" s="133"/>
      <c r="D447" s="42"/>
      <c r="E447" s="42"/>
      <c r="F447" s="42"/>
      <c r="G447" s="42"/>
      <c r="H447" s="42"/>
      <c r="I447" s="42"/>
      <c r="J447" s="42"/>
      <c r="K447" s="42"/>
      <c r="L447" s="42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2.75" customHeight="1">
      <c r="A448" s="33"/>
      <c r="B448" s="134"/>
      <c r="C448" s="133"/>
      <c r="D448" s="42"/>
      <c r="E448" s="42"/>
      <c r="F448" s="42"/>
      <c r="G448" s="42"/>
      <c r="H448" s="42"/>
      <c r="I448" s="42"/>
      <c r="J448" s="42"/>
      <c r="K448" s="42"/>
      <c r="L448" s="42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2.75" customHeight="1">
      <c r="A449" s="33"/>
      <c r="B449" s="134"/>
      <c r="C449" s="133"/>
      <c r="D449" s="42"/>
      <c r="E449" s="42"/>
      <c r="F449" s="42"/>
      <c r="G449" s="42"/>
      <c r="H449" s="42"/>
      <c r="I449" s="42"/>
      <c r="J449" s="42"/>
      <c r="K449" s="42"/>
      <c r="L449" s="42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2.75" customHeight="1">
      <c r="A450" s="33"/>
      <c r="B450" s="134"/>
      <c r="C450" s="133"/>
      <c r="D450" s="42"/>
      <c r="E450" s="42"/>
      <c r="F450" s="42"/>
      <c r="G450" s="42"/>
      <c r="H450" s="42"/>
      <c r="I450" s="42"/>
      <c r="J450" s="42"/>
      <c r="K450" s="42"/>
      <c r="L450" s="42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2.75" customHeight="1">
      <c r="A451" s="33"/>
      <c r="B451" s="134"/>
      <c r="C451" s="133"/>
      <c r="D451" s="42"/>
      <c r="E451" s="42"/>
      <c r="F451" s="42"/>
      <c r="G451" s="42"/>
      <c r="H451" s="42"/>
      <c r="I451" s="42"/>
      <c r="J451" s="42"/>
      <c r="K451" s="42"/>
      <c r="L451" s="42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2.75" customHeight="1">
      <c r="A452" s="33"/>
      <c r="B452" s="134"/>
      <c r="C452" s="133"/>
      <c r="D452" s="42"/>
      <c r="E452" s="42"/>
      <c r="F452" s="42"/>
      <c r="G452" s="42"/>
      <c r="H452" s="42"/>
      <c r="I452" s="42"/>
      <c r="J452" s="42"/>
      <c r="K452" s="42"/>
      <c r="L452" s="42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2.75" customHeight="1">
      <c r="A453" s="33"/>
      <c r="B453" s="134"/>
      <c r="C453" s="133"/>
      <c r="D453" s="42"/>
      <c r="E453" s="42"/>
      <c r="F453" s="42"/>
      <c r="G453" s="42"/>
      <c r="H453" s="42"/>
      <c r="I453" s="42"/>
      <c r="J453" s="42"/>
      <c r="K453" s="42"/>
      <c r="L453" s="42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2.75" customHeight="1">
      <c r="A454" s="33"/>
      <c r="B454" s="134"/>
      <c r="C454" s="133"/>
      <c r="D454" s="42"/>
      <c r="E454" s="42"/>
      <c r="F454" s="42"/>
      <c r="G454" s="42"/>
      <c r="H454" s="42"/>
      <c r="I454" s="42"/>
      <c r="J454" s="42"/>
      <c r="K454" s="42"/>
      <c r="L454" s="42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2.75" customHeight="1">
      <c r="A455" s="33"/>
      <c r="B455" s="134"/>
      <c r="C455" s="133"/>
      <c r="D455" s="42"/>
      <c r="E455" s="42"/>
      <c r="F455" s="42"/>
      <c r="G455" s="42"/>
      <c r="H455" s="42"/>
      <c r="I455" s="42"/>
      <c r="J455" s="42"/>
      <c r="K455" s="42"/>
      <c r="L455" s="42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2.75" customHeight="1">
      <c r="A456" s="33"/>
      <c r="B456" s="134"/>
      <c r="C456" s="133"/>
      <c r="D456" s="42"/>
      <c r="E456" s="42"/>
      <c r="F456" s="42"/>
      <c r="G456" s="42"/>
      <c r="H456" s="42"/>
      <c r="I456" s="42"/>
      <c r="J456" s="42"/>
      <c r="K456" s="42"/>
      <c r="L456" s="42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2.75" customHeight="1">
      <c r="A457" s="33"/>
      <c r="B457" s="134"/>
      <c r="C457" s="133"/>
      <c r="D457" s="42"/>
      <c r="E457" s="42"/>
      <c r="F457" s="42"/>
      <c r="G457" s="42"/>
      <c r="H457" s="42"/>
      <c r="I457" s="42"/>
      <c r="J457" s="42"/>
      <c r="K457" s="42"/>
      <c r="L457" s="42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2.75" customHeight="1">
      <c r="A458" s="33"/>
      <c r="B458" s="134"/>
      <c r="C458" s="133"/>
      <c r="D458" s="42"/>
      <c r="E458" s="42"/>
      <c r="F458" s="42"/>
      <c r="G458" s="42"/>
      <c r="H458" s="42"/>
      <c r="I458" s="42"/>
      <c r="J458" s="42"/>
      <c r="K458" s="42"/>
      <c r="L458" s="42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2.75" customHeight="1">
      <c r="A459" s="33"/>
      <c r="B459" s="134"/>
      <c r="C459" s="133"/>
      <c r="D459" s="42"/>
      <c r="E459" s="42"/>
      <c r="F459" s="42"/>
      <c r="G459" s="42"/>
      <c r="H459" s="42"/>
      <c r="I459" s="42"/>
      <c r="J459" s="42"/>
      <c r="K459" s="42"/>
      <c r="L459" s="42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2.75" customHeight="1">
      <c r="A460" s="33"/>
      <c r="B460" s="134"/>
      <c r="C460" s="133"/>
      <c r="D460" s="42"/>
      <c r="E460" s="42"/>
      <c r="F460" s="42"/>
      <c r="G460" s="42"/>
      <c r="H460" s="42"/>
      <c r="I460" s="42"/>
      <c r="J460" s="42"/>
      <c r="K460" s="42"/>
      <c r="L460" s="42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2.75" customHeight="1">
      <c r="A461" s="33"/>
      <c r="B461" s="134"/>
      <c r="C461" s="133"/>
      <c r="D461" s="42"/>
      <c r="E461" s="42"/>
      <c r="F461" s="42"/>
      <c r="G461" s="42"/>
      <c r="H461" s="42"/>
      <c r="I461" s="42"/>
      <c r="J461" s="42"/>
      <c r="K461" s="42"/>
      <c r="L461" s="42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2.75" customHeight="1">
      <c r="A462" s="33"/>
      <c r="B462" s="134"/>
      <c r="C462" s="133"/>
      <c r="D462" s="42"/>
      <c r="E462" s="42"/>
      <c r="F462" s="42"/>
      <c r="G462" s="42"/>
      <c r="H462" s="42"/>
      <c r="I462" s="42"/>
      <c r="J462" s="42"/>
      <c r="K462" s="42"/>
      <c r="L462" s="42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2.75" customHeight="1">
      <c r="A463" s="33"/>
      <c r="B463" s="134"/>
      <c r="C463" s="133"/>
      <c r="D463" s="42"/>
      <c r="E463" s="42"/>
      <c r="F463" s="42"/>
      <c r="G463" s="42"/>
      <c r="H463" s="42"/>
      <c r="I463" s="42"/>
      <c r="J463" s="42"/>
      <c r="K463" s="42"/>
      <c r="L463" s="42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2.75" customHeight="1">
      <c r="A464" s="33"/>
      <c r="B464" s="134"/>
      <c r="C464" s="133"/>
      <c r="D464" s="42"/>
      <c r="E464" s="42"/>
      <c r="F464" s="42"/>
      <c r="G464" s="42"/>
      <c r="H464" s="42"/>
      <c r="I464" s="42"/>
      <c r="J464" s="42"/>
      <c r="K464" s="42"/>
      <c r="L464" s="42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2.75" customHeight="1">
      <c r="A465" s="33"/>
      <c r="B465" s="134"/>
      <c r="C465" s="133"/>
      <c r="D465" s="42"/>
      <c r="E465" s="42"/>
      <c r="F465" s="42"/>
      <c r="G465" s="42"/>
      <c r="H465" s="42"/>
      <c r="I465" s="42"/>
      <c r="J465" s="42"/>
      <c r="K465" s="42"/>
      <c r="L465" s="42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2.75" customHeight="1">
      <c r="A466" s="33"/>
      <c r="B466" s="134"/>
      <c r="C466" s="133"/>
      <c r="D466" s="42"/>
      <c r="E466" s="42"/>
      <c r="F466" s="42"/>
      <c r="G466" s="42"/>
      <c r="H466" s="42"/>
      <c r="I466" s="42"/>
      <c r="J466" s="42"/>
      <c r="K466" s="42"/>
      <c r="L466" s="42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2.75" customHeight="1">
      <c r="A467" s="33"/>
      <c r="B467" s="134"/>
      <c r="C467" s="133"/>
      <c r="D467" s="42"/>
      <c r="E467" s="42"/>
      <c r="F467" s="42"/>
      <c r="G467" s="42"/>
      <c r="H467" s="42"/>
      <c r="I467" s="42"/>
      <c r="J467" s="42"/>
      <c r="K467" s="42"/>
      <c r="L467" s="42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2.75" customHeight="1">
      <c r="A468" s="33"/>
      <c r="B468" s="134"/>
      <c r="C468" s="133"/>
      <c r="D468" s="42"/>
      <c r="E468" s="42"/>
      <c r="F468" s="42"/>
      <c r="G468" s="42"/>
      <c r="H468" s="42"/>
      <c r="I468" s="42"/>
      <c r="J468" s="42"/>
      <c r="K468" s="42"/>
      <c r="L468" s="42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2.75" customHeight="1">
      <c r="A469" s="33"/>
      <c r="B469" s="134"/>
      <c r="C469" s="133"/>
      <c r="D469" s="42"/>
      <c r="E469" s="42"/>
      <c r="F469" s="42"/>
      <c r="G469" s="42"/>
      <c r="H469" s="42"/>
      <c r="I469" s="42"/>
      <c r="J469" s="42"/>
      <c r="K469" s="42"/>
      <c r="L469" s="42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2.75" customHeight="1">
      <c r="A470" s="33"/>
      <c r="B470" s="134"/>
      <c r="C470" s="133"/>
      <c r="D470" s="42"/>
      <c r="E470" s="42"/>
      <c r="F470" s="42"/>
      <c r="G470" s="42"/>
      <c r="H470" s="42"/>
      <c r="I470" s="42"/>
      <c r="J470" s="42"/>
      <c r="K470" s="42"/>
      <c r="L470" s="42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2.75" customHeight="1">
      <c r="A471" s="33"/>
      <c r="B471" s="134"/>
      <c r="C471" s="133"/>
      <c r="D471" s="42"/>
      <c r="E471" s="42"/>
      <c r="F471" s="42"/>
      <c r="G471" s="42"/>
      <c r="H471" s="42"/>
      <c r="I471" s="42"/>
      <c r="J471" s="42"/>
      <c r="K471" s="42"/>
      <c r="L471" s="42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2.75" customHeight="1">
      <c r="A472" s="33"/>
      <c r="B472" s="134"/>
      <c r="C472" s="133"/>
      <c r="D472" s="42"/>
      <c r="E472" s="42"/>
      <c r="F472" s="42"/>
      <c r="G472" s="42"/>
      <c r="H472" s="42"/>
      <c r="I472" s="42"/>
      <c r="J472" s="42"/>
      <c r="K472" s="42"/>
      <c r="L472" s="42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2.75" customHeight="1">
      <c r="A473" s="33"/>
      <c r="B473" s="134"/>
      <c r="C473" s="133"/>
      <c r="D473" s="42"/>
      <c r="E473" s="42"/>
      <c r="F473" s="42"/>
      <c r="G473" s="42"/>
      <c r="H473" s="42"/>
      <c r="I473" s="42"/>
      <c r="J473" s="42"/>
      <c r="K473" s="42"/>
      <c r="L473" s="42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2.75" customHeight="1">
      <c r="A474" s="33"/>
      <c r="B474" s="134"/>
      <c r="C474" s="133"/>
      <c r="D474" s="42"/>
      <c r="E474" s="42"/>
      <c r="F474" s="42"/>
      <c r="G474" s="42"/>
      <c r="H474" s="42"/>
      <c r="I474" s="42"/>
      <c r="J474" s="42"/>
      <c r="K474" s="42"/>
      <c r="L474" s="42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2.75" customHeight="1">
      <c r="A475" s="33"/>
      <c r="B475" s="134"/>
      <c r="C475" s="133"/>
      <c r="D475" s="42"/>
      <c r="E475" s="42"/>
      <c r="F475" s="42"/>
      <c r="G475" s="42"/>
      <c r="H475" s="42"/>
      <c r="I475" s="42"/>
      <c r="J475" s="42"/>
      <c r="K475" s="42"/>
      <c r="L475" s="42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2.75" customHeight="1">
      <c r="A476" s="33"/>
      <c r="B476" s="134"/>
      <c r="C476" s="133"/>
      <c r="D476" s="42"/>
      <c r="E476" s="42"/>
      <c r="F476" s="42"/>
      <c r="G476" s="42"/>
      <c r="H476" s="42"/>
      <c r="I476" s="42"/>
      <c r="J476" s="42"/>
      <c r="K476" s="42"/>
      <c r="L476" s="42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2.75" customHeight="1">
      <c r="A477" s="33"/>
      <c r="B477" s="134"/>
      <c r="C477" s="133"/>
      <c r="D477" s="42"/>
      <c r="E477" s="42"/>
      <c r="F477" s="42"/>
      <c r="G477" s="42"/>
      <c r="H477" s="42"/>
      <c r="I477" s="42"/>
      <c r="J477" s="42"/>
      <c r="K477" s="42"/>
      <c r="L477" s="42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2.75" customHeight="1">
      <c r="A478" s="33"/>
      <c r="B478" s="134"/>
      <c r="C478" s="133"/>
      <c r="D478" s="42"/>
      <c r="E478" s="42"/>
      <c r="F478" s="42"/>
      <c r="G478" s="42"/>
      <c r="H478" s="42"/>
      <c r="I478" s="42"/>
      <c r="J478" s="42"/>
      <c r="K478" s="42"/>
      <c r="L478" s="42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2.75" customHeight="1">
      <c r="A479" s="33"/>
      <c r="B479" s="134"/>
      <c r="C479" s="133"/>
      <c r="D479" s="42"/>
      <c r="E479" s="42"/>
      <c r="F479" s="42"/>
      <c r="G479" s="42"/>
      <c r="H479" s="42"/>
      <c r="I479" s="42"/>
      <c r="J479" s="42"/>
      <c r="K479" s="42"/>
      <c r="L479" s="42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2.75" customHeight="1">
      <c r="A480" s="33"/>
      <c r="B480" s="134"/>
      <c r="C480" s="133"/>
      <c r="D480" s="42"/>
      <c r="E480" s="42"/>
      <c r="F480" s="42"/>
      <c r="G480" s="42"/>
      <c r="H480" s="42"/>
      <c r="I480" s="42"/>
      <c r="J480" s="42"/>
      <c r="K480" s="42"/>
      <c r="L480" s="42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2.75" customHeight="1">
      <c r="A481" s="33"/>
      <c r="B481" s="134"/>
      <c r="C481" s="133"/>
      <c r="D481" s="42"/>
      <c r="E481" s="42"/>
      <c r="F481" s="42"/>
      <c r="G481" s="42"/>
      <c r="H481" s="42"/>
      <c r="I481" s="42"/>
      <c r="J481" s="42"/>
      <c r="K481" s="42"/>
      <c r="L481" s="42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2.75" customHeight="1">
      <c r="A482" s="33"/>
      <c r="B482" s="134"/>
      <c r="C482" s="133"/>
      <c r="D482" s="42"/>
      <c r="E482" s="42"/>
      <c r="F482" s="42"/>
      <c r="G482" s="42"/>
      <c r="H482" s="42"/>
      <c r="I482" s="42"/>
      <c r="J482" s="42"/>
      <c r="K482" s="42"/>
      <c r="L482" s="42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2.75" customHeight="1">
      <c r="A483" s="33"/>
      <c r="B483" s="134"/>
      <c r="C483" s="133"/>
      <c r="D483" s="42"/>
      <c r="E483" s="42"/>
      <c r="F483" s="42"/>
      <c r="G483" s="42"/>
      <c r="H483" s="42"/>
      <c r="I483" s="42"/>
      <c r="J483" s="42"/>
      <c r="K483" s="42"/>
      <c r="L483" s="42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2.75" customHeight="1">
      <c r="A484" s="33"/>
      <c r="B484" s="134"/>
      <c r="C484" s="133"/>
      <c r="D484" s="42"/>
      <c r="E484" s="42"/>
      <c r="F484" s="42"/>
      <c r="G484" s="42"/>
      <c r="H484" s="42"/>
      <c r="I484" s="42"/>
      <c r="J484" s="42"/>
      <c r="K484" s="42"/>
      <c r="L484" s="42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2.75" customHeight="1">
      <c r="A485" s="33"/>
      <c r="B485" s="134"/>
      <c r="C485" s="133"/>
      <c r="D485" s="42"/>
      <c r="E485" s="42"/>
      <c r="F485" s="42"/>
      <c r="G485" s="42"/>
      <c r="H485" s="42"/>
      <c r="I485" s="42"/>
      <c r="J485" s="42"/>
      <c r="K485" s="42"/>
      <c r="L485" s="42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2.75" customHeight="1">
      <c r="A486" s="33"/>
      <c r="B486" s="134"/>
      <c r="C486" s="133"/>
      <c r="D486" s="42"/>
      <c r="E486" s="42"/>
      <c r="F486" s="42"/>
      <c r="G486" s="42"/>
      <c r="H486" s="42"/>
      <c r="I486" s="42"/>
      <c r="J486" s="42"/>
      <c r="K486" s="42"/>
      <c r="L486" s="42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2.75" customHeight="1">
      <c r="A487" s="33"/>
      <c r="B487" s="134"/>
      <c r="C487" s="133"/>
      <c r="D487" s="42"/>
      <c r="E487" s="42"/>
      <c r="F487" s="42"/>
      <c r="G487" s="42"/>
      <c r="H487" s="42"/>
      <c r="I487" s="42"/>
      <c r="J487" s="42"/>
      <c r="K487" s="42"/>
      <c r="L487" s="42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2.75" customHeight="1">
      <c r="A488" s="33"/>
      <c r="B488" s="134"/>
      <c r="C488" s="133"/>
      <c r="D488" s="42"/>
      <c r="E488" s="42"/>
      <c r="F488" s="42"/>
      <c r="G488" s="42"/>
      <c r="H488" s="42"/>
      <c r="I488" s="42"/>
      <c r="J488" s="42"/>
      <c r="K488" s="42"/>
      <c r="L488" s="42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2.75" customHeight="1">
      <c r="A489" s="33"/>
      <c r="B489" s="134"/>
      <c r="C489" s="133"/>
      <c r="D489" s="42"/>
      <c r="E489" s="42"/>
      <c r="F489" s="42"/>
      <c r="G489" s="42"/>
      <c r="H489" s="42"/>
      <c r="I489" s="42"/>
      <c r="J489" s="42"/>
      <c r="K489" s="42"/>
      <c r="L489" s="42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2.75" customHeight="1">
      <c r="A490" s="33"/>
      <c r="B490" s="134"/>
      <c r="C490" s="133"/>
      <c r="D490" s="42"/>
      <c r="E490" s="42"/>
      <c r="F490" s="42"/>
      <c r="G490" s="42"/>
      <c r="H490" s="42"/>
      <c r="I490" s="42"/>
      <c r="J490" s="42"/>
      <c r="K490" s="42"/>
      <c r="L490" s="42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2.75" customHeight="1">
      <c r="A491" s="33"/>
      <c r="B491" s="134"/>
      <c r="C491" s="133"/>
      <c r="D491" s="42"/>
      <c r="E491" s="42"/>
      <c r="F491" s="42"/>
      <c r="G491" s="42"/>
      <c r="H491" s="42"/>
      <c r="I491" s="42"/>
      <c r="J491" s="42"/>
      <c r="K491" s="42"/>
      <c r="L491" s="42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2.75" customHeight="1">
      <c r="A492" s="33"/>
      <c r="B492" s="134"/>
      <c r="C492" s="133"/>
      <c r="D492" s="42"/>
      <c r="E492" s="42"/>
      <c r="F492" s="42"/>
      <c r="G492" s="42"/>
      <c r="H492" s="42"/>
      <c r="I492" s="42"/>
      <c r="J492" s="42"/>
      <c r="K492" s="42"/>
      <c r="L492" s="42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2.75" customHeight="1">
      <c r="A493" s="33"/>
      <c r="B493" s="134"/>
      <c r="C493" s="133"/>
      <c r="D493" s="42"/>
      <c r="E493" s="42"/>
      <c r="F493" s="42"/>
      <c r="G493" s="42"/>
      <c r="H493" s="42"/>
      <c r="I493" s="42"/>
      <c r="J493" s="42"/>
      <c r="K493" s="42"/>
      <c r="L493" s="42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2.75" customHeight="1">
      <c r="A494" s="33"/>
      <c r="B494" s="134"/>
      <c r="C494" s="133"/>
      <c r="D494" s="42"/>
      <c r="E494" s="42"/>
      <c r="F494" s="42"/>
      <c r="G494" s="42"/>
      <c r="H494" s="42"/>
      <c r="I494" s="42"/>
      <c r="J494" s="42"/>
      <c r="K494" s="42"/>
      <c r="L494" s="42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2.75" customHeight="1">
      <c r="A495" s="33"/>
      <c r="B495" s="134"/>
      <c r="C495" s="133"/>
      <c r="D495" s="42"/>
      <c r="E495" s="42"/>
      <c r="F495" s="42"/>
      <c r="G495" s="42"/>
      <c r="H495" s="42"/>
      <c r="I495" s="42"/>
      <c r="J495" s="42"/>
      <c r="K495" s="42"/>
      <c r="L495" s="42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2.75" customHeight="1">
      <c r="A496" s="33"/>
      <c r="B496" s="134"/>
      <c r="C496" s="133"/>
      <c r="D496" s="42"/>
      <c r="E496" s="42"/>
      <c r="F496" s="42"/>
      <c r="G496" s="42"/>
      <c r="H496" s="42"/>
      <c r="I496" s="42"/>
      <c r="J496" s="42"/>
      <c r="K496" s="42"/>
      <c r="L496" s="42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2.75" customHeight="1">
      <c r="A497" s="33"/>
      <c r="B497" s="134"/>
      <c r="C497" s="133"/>
      <c r="D497" s="42"/>
      <c r="E497" s="42"/>
      <c r="F497" s="42"/>
      <c r="G497" s="42"/>
      <c r="H497" s="42"/>
      <c r="I497" s="42"/>
      <c r="J497" s="42"/>
      <c r="K497" s="42"/>
      <c r="L497" s="42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2.75" customHeight="1">
      <c r="A498" s="33"/>
      <c r="B498" s="134"/>
      <c r="C498" s="133"/>
      <c r="D498" s="42"/>
      <c r="E498" s="42"/>
      <c r="F498" s="42"/>
      <c r="G498" s="42"/>
      <c r="H498" s="42"/>
      <c r="I498" s="42"/>
      <c r="J498" s="42"/>
      <c r="K498" s="42"/>
      <c r="L498" s="42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2.75" customHeight="1">
      <c r="A499" s="33"/>
      <c r="B499" s="134"/>
      <c r="C499" s="133"/>
      <c r="D499" s="42"/>
      <c r="E499" s="42"/>
      <c r="F499" s="42"/>
      <c r="G499" s="42"/>
      <c r="H499" s="42"/>
      <c r="I499" s="42"/>
      <c r="J499" s="42"/>
      <c r="K499" s="42"/>
      <c r="L499" s="42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2.75" customHeight="1">
      <c r="A500" s="33"/>
      <c r="B500" s="134"/>
      <c r="C500" s="133"/>
      <c r="D500" s="42"/>
      <c r="E500" s="42"/>
      <c r="F500" s="42"/>
      <c r="G500" s="42"/>
      <c r="H500" s="42"/>
      <c r="I500" s="42"/>
      <c r="J500" s="42"/>
      <c r="K500" s="42"/>
      <c r="L500" s="42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2.75" customHeight="1">
      <c r="A501" s="33"/>
      <c r="B501" s="134"/>
      <c r="C501" s="133"/>
      <c r="D501" s="42"/>
      <c r="E501" s="42"/>
      <c r="F501" s="42"/>
      <c r="G501" s="42"/>
      <c r="H501" s="42"/>
      <c r="I501" s="42"/>
      <c r="J501" s="42"/>
      <c r="K501" s="42"/>
      <c r="L501" s="42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2.75" customHeight="1">
      <c r="A502" s="33"/>
      <c r="B502" s="134"/>
      <c r="C502" s="133"/>
      <c r="D502" s="42"/>
      <c r="E502" s="42"/>
      <c r="F502" s="42"/>
      <c r="G502" s="42"/>
      <c r="H502" s="42"/>
      <c r="I502" s="42"/>
      <c r="J502" s="42"/>
      <c r="K502" s="42"/>
      <c r="L502" s="42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2.75" customHeight="1">
      <c r="A503" s="33"/>
      <c r="B503" s="134"/>
      <c r="C503" s="133"/>
      <c r="D503" s="42"/>
      <c r="E503" s="42"/>
      <c r="F503" s="42"/>
      <c r="G503" s="42"/>
      <c r="H503" s="42"/>
      <c r="I503" s="42"/>
      <c r="J503" s="42"/>
      <c r="K503" s="42"/>
      <c r="L503" s="42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2.75" customHeight="1">
      <c r="A504" s="33"/>
      <c r="B504" s="134"/>
      <c r="C504" s="133"/>
      <c r="D504" s="42"/>
      <c r="E504" s="42"/>
      <c r="F504" s="42"/>
      <c r="G504" s="42"/>
      <c r="H504" s="42"/>
      <c r="I504" s="42"/>
      <c r="J504" s="42"/>
      <c r="K504" s="42"/>
      <c r="L504" s="42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2.75" customHeight="1">
      <c r="A505" s="33"/>
      <c r="B505" s="134"/>
      <c r="C505" s="133"/>
      <c r="D505" s="42"/>
      <c r="E505" s="42"/>
      <c r="F505" s="42"/>
      <c r="G505" s="42"/>
      <c r="H505" s="42"/>
      <c r="I505" s="42"/>
      <c r="J505" s="42"/>
      <c r="K505" s="42"/>
      <c r="L505" s="42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2.75" customHeight="1">
      <c r="A506" s="33"/>
      <c r="B506" s="134"/>
      <c r="C506" s="133"/>
      <c r="D506" s="42"/>
      <c r="E506" s="42"/>
      <c r="F506" s="42"/>
      <c r="G506" s="42"/>
      <c r="H506" s="42"/>
      <c r="I506" s="42"/>
      <c r="J506" s="42"/>
      <c r="K506" s="42"/>
      <c r="L506" s="42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2.75" customHeight="1">
      <c r="A507" s="33"/>
      <c r="B507" s="134"/>
      <c r="C507" s="133"/>
      <c r="D507" s="42"/>
      <c r="E507" s="42"/>
      <c r="F507" s="42"/>
      <c r="G507" s="42"/>
      <c r="H507" s="42"/>
      <c r="I507" s="42"/>
      <c r="J507" s="42"/>
      <c r="K507" s="42"/>
      <c r="L507" s="42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2.75" customHeight="1">
      <c r="A508" s="33"/>
      <c r="B508" s="134"/>
      <c r="C508" s="133"/>
      <c r="D508" s="42"/>
      <c r="E508" s="42"/>
      <c r="F508" s="42"/>
      <c r="G508" s="42"/>
      <c r="H508" s="42"/>
      <c r="I508" s="42"/>
      <c r="J508" s="42"/>
      <c r="K508" s="42"/>
      <c r="L508" s="42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2.75" customHeight="1">
      <c r="A509" s="33"/>
      <c r="B509" s="134"/>
      <c r="C509" s="133"/>
      <c r="D509" s="42"/>
      <c r="E509" s="42"/>
      <c r="F509" s="42"/>
      <c r="G509" s="42"/>
      <c r="H509" s="42"/>
      <c r="I509" s="42"/>
      <c r="J509" s="42"/>
      <c r="K509" s="42"/>
      <c r="L509" s="42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2.75" customHeight="1">
      <c r="A510" s="33"/>
      <c r="B510" s="134"/>
      <c r="C510" s="133"/>
      <c r="D510" s="42"/>
      <c r="E510" s="42"/>
      <c r="F510" s="42"/>
      <c r="G510" s="42"/>
      <c r="H510" s="42"/>
      <c r="I510" s="42"/>
      <c r="J510" s="42"/>
      <c r="K510" s="42"/>
      <c r="L510" s="42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2.75" customHeight="1">
      <c r="A511" s="33"/>
      <c r="B511" s="134"/>
      <c r="C511" s="133"/>
      <c r="D511" s="42"/>
      <c r="E511" s="42"/>
      <c r="F511" s="42"/>
      <c r="G511" s="42"/>
      <c r="H511" s="42"/>
      <c r="I511" s="42"/>
      <c r="J511" s="42"/>
      <c r="K511" s="42"/>
      <c r="L511" s="42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2.75" customHeight="1">
      <c r="A512" s="33"/>
      <c r="B512" s="134"/>
      <c r="C512" s="133"/>
      <c r="D512" s="42"/>
      <c r="E512" s="42"/>
      <c r="F512" s="42"/>
      <c r="G512" s="42"/>
      <c r="H512" s="42"/>
      <c r="I512" s="42"/>
      <c r="J512" s="42"/>
      <c r="K512" s="42"/>
      <c r="L512" s="42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2.75" customHeight="1">
      <c r="A513" s="33"/>
      <c r="B513" s="134"/>
      <c r="C513" s="133"/>
      <c r="D513" s="42"/>
      <c r="E513" s="42"/>
      <c r="F513" s="42"/>
      <c r="G513" s="42"/>
      <c r="H513" s="42"/>
      <c r="I513" s="42"/>
      <c r="J513" s="42"/>
      <c r="K513" s="42"/>
      <c r="L513" s="42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2.75" customHeight="1">
      <c r="A514" s="33"/>
      <c r="B514" s="134"/>
      <c r="C514" s="133"/>
      <c r="D514" s="42"/>
      <c r="E514" s="42"/>
      <c r="F514" s="42"/>
      <c r="G514" s="42"/>
      <c r="H514" s="42"/>
      <c r="I514" s="42"/>
      <c r="J514" s="42"/>
      <c r="K514" s="42"/>
      <c r="L514" s="42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2.75" customHeight="1">
      <c r="A515" s="33"/>
      <c r="B515" s="134"/>
      <c r="C515" s="133"/>
      <c r="D515" s="42"/>
      <c r="E515" s="42"/>
      <c r="F515" s="42"/>
      <c r="G515" s="42"/>
      <c r="H515" s="42"/>
      <c r="I515" s="42"/>
      <c r="J515" s="42"/>
      <c r="K515" s="42"/>
      <c r="L515" s="42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2.75" customHeight="1">
      <c r="A516" s="33"/>
      <c r="B516" s="134"/>
      <c r="C516" s="133"/>
      <c r="D516" s="42"/>
      <c r="E516" s="42"/>
      <c r="F516" s="42"/>
      <c r="G516" s="42"/>
      <c r="H516" s="42"/>
      <c r="I516" s="42"/>
      <c r="J516" s="42"/>
      <c r="K516" s="42"/>
      <c r="L516" s="42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2.75" customHeight="1">
      <c r="A517" s="33"/>
      <c r="B517" s="134"/>
      <c r="C517" s="133"/>
      <c r="D517" s="42"/>
      <c r="E517" s="42"/>
      <c r="F517" s="42"/>
      <c r="G517" s="42"/>
      <c r="H517" s="42"/>
      <c r="I517" s="42"/>
      <c r="J517" s="42"/>
      <c r="K517" s="42"/>
      <c r="L517" s="42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C1:AG3"/>
  </mergeCells>
  <hyperlinks>
    <hyperlink r:id="rId1" ref="AC1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39.29"/>
    <col customWidth="1" min="3" max="3" width="11.29"/>
    <col customWidth="1" min="4" max="4" width="10.71"/>
    <col customWidth="1" min="5" max="5" width="9.14"/>
    <col customWidth="1" min="6" max="6" width="7.14"/>
    <col customWidth="1" hidden="1" min="7" max="7" width="5.86"/>
    <col customWidth="1" hidden="1" min="8" max="8" width="5.57"/>
    <col customWidth="1" hidden="1" min="9" max="9" width="5.71"/>
    <col customWidth="1" hidden="1" min="10" max="10" width="0.71"/>
    <col customWidth="1" hidden="1" min="11" max="11" width="5.57"/>
    <col customWidth="1" hidden="1" min="12" max="12" width="5.43"/>
    <col customWidth="1" hidden="1" min="13" max="14" width="5.57"/>
    <col customWidth="1" hidden="1" min="15" max="15" width="5.86"/>
    <col customWidth="1" hidden="1" min="16" max="16" width="6.0"/>
    <col customWidth="1" hidden="1" min="17" max="17" width="5.57"/>
    <col customWidth="1" hidden="1" min="18" max="19" width="5.86"/>
    <col customWidth="1" hidden="1" min="20" max="20" width="6.0"/>
    <col customWidth="1" hidden="1" min="21" max="21" width="6.29"/>
    <col customWidth="1" hidden="1" min="22" max="22" width="6.0"/>
    <col customWidth="1" hidden="1" min="23" max="27" width="6.57"/>
  </cols>
  <sheetData>
    <row r="1" ht="12.75" customHeight="1">
      <c r="A1" s="33"/>
      <c r="B1" s="36" t="s">
        <v>48</v>
      </c>
      <c r="C1" s="185"/>
      <c r="D1" s="185"/>
      <c r="E1" s="185"/>
      <c r="F1" s="185"/>
      <c r="G1" s="186"/>
      <c r="H1" s="186"/>
      <c r="I1" s="186"/>
      <c r="J1" s="186"/>
      <c r="K1" s="186"/>
      <c r="L1" s="18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C1" s="124" t="s">
        <v>8</v>
      </c>
      <c r="AD1" s="51"/>
      <c r="AE1" s="51"/>
      <c r="AF1" s="51"/>
      <c r="AG1" s="52"/>
    </row>
    <row r="2" ht="12.75" customHeight="1">
      <c r="A2" s="33"/>
      <c r="B2" s="125" t="s">
        <v>110</v>
      </c>
      <c r="C2" s="126"/>
      <c r="D2" s="187"/>
      <c r="E2" s="188"/>
      <c r="F2" s="127"/>
      <c r="G2" s="188"/>
      <c r="H2" s="188"/>
      <c r="I2" s="186"/>
      <c r="J2" s="186"/>
      <c r="K2" s="186"/>
      <c r="L2" s="18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C2" s="128"/>
      <c r="AG2" s="129"/>
    </row>
    <row r="3" ht="12.75" customHeight="1">
      <c r="A3" s="33"/>
      <c r="B3" s="125"/>
      <c r="C3" s="126"/>
      <c r="D3" s="189"/>
      <c r="E3" s="190"/>
      <c r="F3" s="127"/>
      <c r="G3" s="188"/>
      <c r="H3" s="188"/>
      <c r="I3" s="186"/>
      <c r="J3" s="186"/>
      <c r="K3" s="186"/>
      <c r="L3" s="18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C3" s="53"/>
      <c r="AD3" s="54"/>
      <c r="AE3" s="54"/>
      <c r="AF3" s="54"/>
      <c r="AG3" s="55"/>
    </row>
    <row r="4" ht="12.75" customHeight="1">
      <c r="A4" s="131"/>
      <c r="B4" s="131"/>
      <c r="C4" s="131"/>
      <c r="D4" s="191"/>
      <c r="E4" s="131"/>
      <c r="F4" s="131"/>
      <c r="G4" s="186"/>
      <c r="H4" s="186"/>
      <c r="I4" s="186"/>
      <c r="J4" s="186"/>
      <c r="K4" s="186"/>
      <c r="L4" s="18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2.75" customHeight="1">
      <c r="A5" s="33" t="s">
        <v>21</v>
      </c>
      <c r="B5" s="33"/>
      <c r="C5" s="133"/>
      <c r="D5" s="192"/>
      <c r="E5" s="186"/>
      <c r="F5" s="42"/>
      <c r="G5" s="186"/>
      <c r="H5" s="186"/>
      <c r="I5" s="186"/>
      <c r="J5" s="186"/>
      <c r="K5" s="186"/>
      <c r="L5" s="186"/>
      <c r="M5" s="5" t="s">
        <v>4</v>
      </c>
      <c r="N5" s="5"/>
      <c r="O5" s="5"/>
      <c r="P5" s="5"/>
      <c r="Q5" s="5"/>
      <c r="R5" s="5" t="s">
        <v>5</v>
      </c>
      <c r="S5" s="5"/>
      <c r="T5" s="5"/>
      <c r="U5" s="5"/>
      <c r="V5" s="5"/>
      <c r="W5" s="5" t="s">
        <v>6</v>
      </c>
      <c r="X5" s="5"/>
      <c r="Y5" s="5"/>
      <c r="Z5" s="5"/>
      <c r="AA5" s="5"/>
    </row>
    <row r="6" ht="12.75" customHeight="1">
      <c r="A6" s="33" t="s">
        <v>50</v>
      </c>
      <c r="B6" s="134"/>
      <c r="C6" s="135" t="s">
        <v>20</v>
      </c>
      <c r="D6" s="193" t="s">
        <v>51</v>
      </c>
      <c r="E6" s="36" t="s">
        <v>52</v>
      </c>
      <c r="F6" s="45" t="s">
        <v>53</v>
      </c>
      <c r="G6" s="186"/>
      <c r="H6" s="186"/>
      <c r="I6" s="186"/>
      <c r="J6" s="186"/>
      <c r="K6" s="186"/>
      <c r="L6" s="186"/>
      <c r="M6" s="5" t="s">
        <v>28</v>
      </c>
      <c r="N6" s="5" t="s">
        <v>30</v>
      </c>
      <c r="O6" s="5" t="s">
        <v>32</v>
      </c>
      <c r="P6" s="5" t="s">
        <v>34</v>
      </c>
      <c r="Q6" s="5" t="s">
        <v>35</v>
      </c>
      <c r="R6" s="5" t="s">
        <v>28</v>
      </c>
      <c r="S6" s="5" t="s">
        <v>30</v>
      </c>
      <c r="T6" s="5" t="s">
        <v>32</v>
      </c>
      <c r="U6" s="5" t="s">
        <v>34</v>
      </c>
      <c r="V6" s="5" t="s">
        <v>35</v>
      </c>
      <c r="W6" s="5" t="s">
        <v>28</v>
      </c>
      <c r="X6" s="5" t="s">
        <v>30</v>
      </c>
      <c r="Y6" s="5" t="s">
        <v>32</v>
      </c>
      <c r="Z6" s="5" t="s">
        <v>34</v>
      </c>
      <c r="AA6" s="5" t="s">
        <v>35</v>
      </c>
    </row>
    <row r="7" ht="12.75" customHeight="1">
      <c r="A7" s="136">
        <v>1.0</v>
      </c>
      <c r="B7" s="137" t="s">
        <v>5</v>
      </c>
      <c r="C7" s="138">
        <v>0.55</v>
      </c>
      <c r="D7" s="139">
        <v>5.0</v>
      </c>
      <c r="E7" s="139">
        <v>1.0</v>
      </c>
      <c r="F7" s="140">
        <f>'1RM'!$C$5*C7</f>
        <v>55</v>
      </c>
      <c r="G7" s="186"/>
      <c r="H7" s="186"/>
      <c r="I7" s="186">
        <f t="shared" ref="I7:I10" si="1">D7*E7</f>
        <v>5</v>
      </c>
      <c r="J7" s="192">
        <f t="shared" ref="J7:J10" si="2">I7*F7</f>
        <v>275</v>
      </c>
      <c r="K7" s="186"/>
      <c r="L7" s="186"/>
      <c r="M7" s="5"/>
      <c r="N7" s="5"/>
      <c r="O7" s="5"/>
      <c r="P7" s="5"/>
      <c r="Q7" s="5"/>
      <c r="R7" s="143">
        <f t="shared" ref="R7:R10" si="3">IF(ISNUMBER(SEARCH("Press de banca",$B7)),IF($C7&gt;=0.5,IF($C7&lt;0.6,$D7*$E7," ")," ")," ")</f>
        <v>5</v>
      </c>
      <c r="S7" s="143" t="str">
        <f t="shared" ref="S7:S10" si="4">IF(ISNUMBER(SEARCH("Press de banca",$B7)),IF($C7&gt;=0.6,IF($C7&lt;0.7,$D7*$E7," ")," ")," ")</f>
        <v> </v>
      </c>
      <c r="T7" s="143" t="str">
        <f t="shared" ref="T7:T10" si="5">IF(ISNUMBER(SEARCH("Press de banca",$B7)),IF($C7&gt;=0.7,IF($C7&lt;0.8,$D7*$E7," ")," ")," ")</f>
        <v> </v>
      </c>
      <c r="U7" s="143" t="str">
        <f t="shared" ref="U7:U10" si="6">IF(ISNUMBER(SEARCH("Press de banca",$B7)),IF($C7&gt;=0.8,IF($C7&lt;0.9,$D7*$E7," ")," ")," ")</f>
        <v> </v>
      </c>
      <c r="V7" s="143" t="str">
        <f t="shared" ref="V7:V10" si="7">IF(ISNUMBER(SEARCH("Press de banca",$B7)),IF($C7&gt;=0.9,$D7*$E7," ")," ")</f>
        <v> </v>
      </c>
      <c r="W7" s="5"/>
      <c r="X7" s="5"/>
      <c r="Y7" s="5"/>
      <c r="Z7" s="5"/>
      <c r="AA7" s="5"/>
    </row>
    <row r="8" ht="12.75" customHeight="1">
      <c r="A8" s="136"/>
      <c r="B8" s="144" t="s">
        <v>5</v>
      </c>
      <c r="C8" s="138">
        <v>0.65</v>
      </c>
      <c r="D8" s="139">
        <v>4.0</v>
      </c>
      <c r="E8" s="139">
        <v>1.0</v>
      </c>
      <c r="F8" s="140">
        <f>'1RM'!$C$5*C8</f>
        <v>65</v>
      </c>
      <c r="G8" s="186"/>
      <c r="H8" s="186"/>
      <c r="I8" s="186">
        <f t="shared" si="1"/>
        <v>4</v>
      </c>
      <c r="J8" s="192">
        <f t="shared" si="2"/>
        <v>260</v>
      </c>
      <c r="K8" s="186"/>
      <c r="L8" s="186"/>
      <c r="M8" s="5"/>
      <c r="N8" s="5"/>
      <c r="O8" s="5"/>
      <c r="P8" s="5"/>
      <c r="Q8" s="5"/>
      <c r="R8" s="143" t="str">
        <f t="shared" si="3"/>
        <v> </v>
      </c>
      <c r="S8" s="143">
        <f t="shared" si="4"/>
        <v>4</v>
      </c>
      <c r="T8" s="143" t="str">
        <f t="shared" si="5"/>
        <v> </v>
      </c>
      <c r="U8" s="143" t="str">
        <f t="shared" si="6"/>
        <v> </v>
      </c>
      <c r="V8" s="143" t="str">
        <f t="shared" si="7"/>
        <v> </v>
      </c>
      <c r="W8" s="5"/>
      <c r="X8" s="5"/>
      <c r="Y8" s="5"/>
      <c r="Z8" s="5"/>
      <c r="AA8" s="5"/>
    </row>
    <row r="9" ht="12.75" customHeight="1">
      <c r="A9" s="136"/>
      <c r="B9" s="144" t="s">
        <v>5</v>
      </c>
      <c r="C9" s="138">
        <v>0.75</v>
      </c>
      <c r="D9" s="139">
        <v>3.0</v>
      </c>
      <c r="E9" s="139">
        <v>1.0</v>
      </c>
      <c r="F9" s="140">
        <f>'1RM'!$C$5*C9</f>
        <v>75</v>
      </c>
      <c r="G9" s="186"/>
      <c r="H9" s="186"/>
      <c r="I9" s="186">
        <f t="shared" si="1"/>
        <v>3</v>
      </c>
      <c r="J9" s="192">
        <f t="shared" si="2"/>
        <v>225</v>
      </c>
      <c r="K9" s="186"/>
      <c r="L9" s="186"/>
      <c r="M9" s="5"/>
      <c r="N9" s="5"/>
      <c r="O9" s="5"/>
      <c r="P9" s="5"/>
      <c r="Q9" s="5"/>
      <c r="R9" s="143" t="str">
        <f t="shared" si="3"/>
        <v> </v>
      </c>
      <c r="S9" s="143" t="str">
        <f t="shared" si="4"/>
        <v> </v>
      </c>
      <c r="T9" s="143">
        <f t="shared" si="5"/>
        <v>3</v>
      </c>
      <c r="U9" s="143" t="str">
        <f t="shared" si="6"/>
        <v> </v>
      </c>
      <c r="V9" s="143" t="str">
        <f t="shared" si="7"/>
        <v> </v>
      </c>
      <c r="W9" s="5"/>
      <c r="X9" s="5"/>
      <c r="Y9" s="5"/>
      <c r="Z9" s="5"/>
      <c r="AA9" s="5"/>
    </row>
    <row r="10" ht="12.75" customHeight="1">
      <c r="A10" s="136"/>
      <c r="B10" s="144" t="s">
        <v>5</v>
      </c>
      <c r="C10" s="138">
        <v>0.85</v>
      </c>
      <c r="D10" s="139">
        <v>2.0</v>
      </c>
      <c r="E10" s="139">
        <v>3.0</v>
      </c>
      <c r="F10" s="140">
        <f>'1RM'!$C$5*C10</f>
        <v>85</v>
      </c>
      <c r="G10" s="186"/>
      <c r="H10" s="186"/>
      <c r="I10" s="186">
        <f t="shared" si="1"/>
        <v>6</v>
      </c>
      <c r="J10" s="192">
        <f t="shared" si="2"/>
        <v>510</v>
      </c>
      <c r="K10" s="186"/>
      <c r="L10" s="186"/>
      <c r="M10" s="5"/>
      <c r="N10" s="5"/>
      <c r="O10" s="5"/>
      <c r="P10" s="5"/>
      <c r="Q10" s="5"/>
      <c r="R10" s="143" t="str">
        <f t="shared" si="3"/>
        <v> </v>
      </c>
      <c r="S10" s="143" t="str">
        <f t="shared" si="4"/>
        <v> </v>
      </c>
      <c r="T10" s="143" t="str">
        <f t="shared" si="5"/>
        <v> </v>
      </c>
      <c r="U10" s="143">
        <f t="shared" si="6"/>
        <v>6</v>
      </c>
      <c r="V10" s="143" t="str">
        <f t="shared" si="7"/>
        <v> </v>
      </c>
      <c r="W10" s="5"/>
      <c r="X10" s="5"/>
      <c r="Y10" s="5"/>
      <c r="Z10" s="5"/>
      <c r="AA10" s="5"/>
    </row>
    <row r="11" ht="12.75" customHeight="1">
      <c r="A11" s="145">
        <v>2.0</v>
      </c>
      <c r="B11" s="146" t="s">
        <v>4</v>
      </c>
      <c r="C11" s="147">
        <v>0.5</v>
      </c>
      <c r="D11" s="148">
        <v>5.0</v>
      </c>
      <c r="E11" s="148">
        <v>1.0</v>
      </c>
      <c r="F11" s="149">
        <f>'1RM'!$C$4*C11</f>
        <v>50</v>
      </c>
      <c r="G11" s="186">
        <f t="shared" ref="G11:G14" si="8">D11*E11</f>
        <v>5</v>
      </c>
      <c r="H11" s="192">
        <f t="shared" ref="H11:H14" si="9">G11*F11</f>
        <v>250</v>
      </c>
      <c r="I11" s="186"/>
      <c r="J11" s="186"/>
      <c r="K11" s="186"/>
      <c r="L11" s="186"/>
      <c r="M11" s="150">
        <f t="shared" ref="M11:M14" si="10">IF(ISNUMBER(SEARCH("Sentadilla",$B11)),IF($C11&gt;=0.5,IF($C11&lt;0.6,$D11*$E11," ")," ")," ")</f>
        <v>5</v>
      </c>
      <c r="N11" s="150" t="str">
        <f t="shared" ref="N11:N14" si="11">IF(ISNUMBER(SEARCH("Sentadilla",$B11)),IF($C11&gt;=0.6,IF($C11&lt;0.7,$D11*$E11," ")," ")," ")</f>
        <v> </v>
      </c>
      <c r="O11" s="150" t="str">
        <f t="shared" ref="O11:O14" si="12">IF(ISNUMBER(SEARCH("Sentadilla",$B11)),IF($C11&gt;=0.7,IF($C11&lt;0.8,$D11*$E11," ")," ")," ")</f>
        <v> </v>
      </c>
      <c r="P11" s="150" t="str">
        <f t="shared" ref="P11:P14" si="13">IF(ISNUMBER(SEARCH("Sentadilla",$B11)),IF($C11&gt;=0.8,IF($C11&lt;0.9,$D11*$E11," ")," ")," ")</f>
        <v> </v>
      </c>
      <c r="Q11" s="150" t="str">
        <f t="shared" ref="Q11:Q14" si="14">IF(ISNUMBER(SEARCH("Sentadilla",$B11)),IF($C11&gt;=0.9,$D11*$E11," ")," ")</f>
        <v> </v>
      </c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2.75" customHeight="1">
      <c r="A12" s="145"/>
      <c r="B12" s="151" t="s">
        <v>4</v>
      </c>
      <c r="C12" s="147">
        <v>0.6</v>
      </c>
      <c r="D12" s="148">
        <v>4.0</v>
      </c>
      <c r="E12" s="148">
        <v>1.0</v>
      </c>
      <c r="F12" s="149">
        <f>'1RM'!$C$4*C12</f>
        <v>60</v>
      </c>
      <c r="G12" s="186">
        <f t="shared" si="8"/>
        <v>4</v>
      </c>
      <c r="H12" s="192">
        <f t="shared" si="9"/>
        <v>240</v>
      </c>
      <c r="I12" s="186"/>
      <c r="J12" s="186"/>
      <c r="K12" s="186"/>
      <c r="L12" s="186"/>
      <c r="M12" s="150" t="str">
        <f t="shared" si="10"/>
        <v> </v>
      </c>
      <c r="N12" s="150">
        <f t="shared" si="11"/>
        <v>4</v>
      </c>
      <c r="O12" s="150" t="str">
        <f t="shared" si="12"/>
        <v> </v>
      </c>
      <c r="P12" s="150" t="str">
        <f t="shared" si="13"/>
        <v> </v>
      </c>
      <c r="Q12" s="150" t="str">
        <f t="shared" si="14"/>
        <v> </v>
      </c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2.75" customHeight="1">
      <c r="A13" s="145"/>
      <c r="B13" s="151" t="s">
        <v>4</v>
      </c>
      <c r="C13" s="147">
        <v>0.7</v>
      </c>
      <c r="D13" s="148">
        <v>3.0</v>
      </c>
      <c r="E13" s="148">
        <v>1.0</v>
      </c>
      <c r="F13" s="149">
        <f>'1RM'!$C$4*C13</f>
        <v>70</v>
      </c>
      <c r="G13" s="186">
        <f t="shared" si="8"/>
        <v>3</v>
      </c>
      <c r="H13" s="192">
        <f t="shared" si="9"/>
        <v>210</v>
      </c>
      <c r="I13" s="186"/>
      <c r="J13" s="186"/>
      <c r="K13" s="186"/>
      <c r="L13" s="186"/>
      <c r="M13" s="150" t="str">
        <f t="shared" si="10"/>
        <v> </v>
      </c>
      <c r="N13" s="150" t="str">
        <f t="shared" si="11"/>
        <v> </v>
      </c>
      <c r="O13" s="150">
        <f t="shared" si="12"/>
        <v>3</v>
      </c>
      <c r="P13" s="150" t="str">
        <f t="shared" si="13"/>
        <v> </v>
      </c>
      <c r="Q13" s="150" t="str">
        <f t="shared" si="14"/>
        <v> </v>
      </c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2.75" customHeight="1">
      <c r="A14" s="145"/>
      <c r="B14" s="151" t="s">
        <v>4</v>
      </c>
      <c r="C14" s="147">
        <v>0.8</v>
      </c>
      <c r="D14" s="148">
        <v>3.0</v>
      </c>
      <c r="E14" s="148">
        <v>4.0</v>
      </c>
      <c r="F14" s="149">
        <f>'1RM'!$C$4*C14</f>
        <v>80</v>
      </c>
      <c r="G14" s="186">
        <f t="shared" si="8"/>
        <v>12</v>
      </c>
      <c r="H14" s="192">
        <f t="shared" si="9"/>
        <v>960</v>
      </c>
      <c r="I14" s="186"/>
      <c r="J14" s="186"/>
      <c r="K14" s="186"/>
      <c r="L14" s="186"/>
      <c r="M14" s="150" t="str">
        <f t="shared" si="10"/>
        <v> </v>
      </c>
      <c r="N14" s="150" t="str">
        <f t="shared" si="11"/>
        <v> </v>
      </c>
      <c r="O14" s="150" t="str">
        <f t="shared" si="12"/>
        <v> </v>
      </c>
      <c r="P14" s="150">
        <f t="shared" si="13"/>
        <v>12</v>
      </c>
      <c r="Q14" s="150" t="str">
        <f t="shared" si="14"/>
        <v> </v>
      </c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2.75" customHeight="1">
      <c r="A15" s="136">
        <v>3.0</v>
      </c>
      <c r="B15" s="137" t="s">
        <v>5</v>
      </c>
      <c r="C15" s="138">
        <v>0.5</v>
      </c>
      <c r="D15" s="139">
        <v>5.0</v>
      </c>
      <c r="E15" s="139">
        <v>1.0</v>
      </c>
      <c r="F15" s="140">
        <f>'1RM'!$C$5*C15</f>
        <v>50</v>
      </c>
      <c r="G15" s="186"/>
      <c r="H15" s="186"/>
      <c r="I15" s="186">
        <f t="shared" ref="I15:I18" si="15">D15*E15</f>
        <v>5</v>
      </c>
      <c r="J15" s="192">
        <f t="shared" ref="J15:J18" si="16">I15*F15</f>
        <v>250</v>
      </c>
      <c r="K15" s="186"/>
      <c r="L15" s="186"/>
      <c r="M15" s="5"/>
      <c r="N15" s="5"/>
      <c r="O15" s="5"/>
      <c r="P15" s="5"/>
      <c r="Q15" s="5"/>
      <c r="R15" s="143">
        <f t="shared" ref="R15:R18" si="17">IF(ISNUMBER(SEARCH("Press de banca",$B15)),IF($C15&gt;=0.5,IF($C15&lt;0.6,$D15*$E15," ")," ")," ")</f>
        <v>5</v>
      </c>
      <c r="S15" s="143" t="str">
        <f t="shared" ref="S15:S18" si="18">IF(ISNUMBER(SEARCH("Press de banca",$B15)),IF($C15&gt;=0.6,IF($C15&lt;0.7,$D15*$E15," ")," ")," ")</f>
        <v> </v>
      </c>
      <c r="T15" s="143" t="str">
        <f t="shared" ref="T15:T18" si="19">IF(ISNUMBER(SEARCH("Press de banca",$B15)),IF($C15&gt;=0.7,IF($C15&lt;0.8,$D15*$E15," ")," ")," ")</f>
        <v> </v>
      </c>
      <c r="U15" s="143" t="str">
        <f t="shared" ref="U15:U18" si="20">IF(ISNUMBER(SEARCH("Press de banca",$B15)),IF($C15&gt;=0.8,IF($C15&lt;0.9,$D15*$E15," ")," ")," ")</f>
        <v> </v>
      </c>
      <c r="V15" s="143" t="str">
        <f t="shared" ref="V15:V18" si="21">IF(ISNUMBER(SEARCH("Press de banca",$B15)),IF($C15&gt;=0.9,$D15*$E15," ")," ")</f>
        <v> </v>
      </c>
      <c r="W15" s="5"/>
      <c r="X15" s="5"/>
      <c r="Y15" s="5"/>
      <c r="Z15" s="5"/>
      <c r="AA15" s="5"/>
    </row>
    <row r="16" ht="12.75" customHeight="1">
      <c r="A16" s="136"/>
      <c r="B16" s="144" t="s">
        <v>5</v>
      </c>
      <c r="C16" s="138">
        <v>0.6</v>
      </c>
      <c r="D16" s="139">
        <v>4.0</v>
      </c>
      <c r="E16" s="139">
        <v>1.0</v>
      </c>
      <c r="F16" s="140">
        <f>'1RM'!$C$5*C16</f>
        <v>60</v>
      </c>
      <c r="G16" s="186"/>
      <c r="H16" s="186"/>
      <c r="I16" s="186">
        <f t="shared" si="15"/>
        <v>4</v>
      </c>
      <c r="J16" s="192">
        <f t="shared" si="16"/>
        <v>240</v>
      </c>
      <c r="K16" s="186"/>
      <c r="L16" s="186"/>
      <c r="M16" s="5"/>
      <c r="N16" s="5"/>
      <c r="O16" s="5"/>
      <c r="P16" s="5"/>
      <c r="Q16" s="5"/>
      <c r="R16" s="143" t="str">
        <f t="shared" si="17"/>
        <v> </v>
      </c>
      <c r="S16" s="143">
        <f t="shared" si="18"/>
        <v>4</v>
      </c>
      <c r="T16" s="143" t="str">
        <f t="shared" si="19"/>
        <v> </v>
      </c>
      <c r="U16" s="143" t="str">
        <f t="shared" si="20"/>
        <v> </v>
      </c>
      <c r="V16" s="143" t="str">
        <f t="shared" si="21"/>
        <v> </v>
      </c>
      <c r="W16" s="5"/>
      <c r="X16" s="5"/>
      <c r="Y16" s="5"/>
      <c r="Z16" s="5"/>
      <c r="AA16" s="5"/>
    </row>
    <row r="17" ht="12.75" customHeight="1">
      <c r="A17" s="136"/>
      <c r="B17" s="144" t="s">
        <v>5</v>
      </c>
      <c r="C17" s="138">
        <v>0.7</v>
      </c>
      <c r="D17" s="139">
        <v>3.0</v>
      </c>
      <c r="E17" s="139">
        <v>1.0</v>
      </c>
      <c r="F17" s="140">
        <f>'1RM'!$C$5*C17</f>
        <v>70</v>
      </c>
      <c r="G17" s="186"/>
      <c r="H17" s="186"/>
      <c r="I17" s="186">
        <f t="shared" si="15"/>
        <v>3</v>
      </c>
      <c r="J17" s="192">
        <f t="shared" si="16"/>
        <v>210</v>
      </c>
      <c r="K17" s="186"/>
      <c r="L17" s="186"/>
      <c r="M17" s="5"/>
      <c r="N17" s="5"/>
      <c r="O17" s="5"/>
      <c r="P17" s="5"/>
      <c r="Q17" s="5"/>
      <c r="R17" s="143" t="str">
        <f t="shared" si="17"/>
        <v> </v>
      </c>
      <c r="S17" s="143" t="str">
        <f t="shared" si="18"/>
        <v> </v>
      </c>
      <c r="T17" s="143">
        <f t="shared" si="19"/>
        <v>3</v>
      </c>
      <c r="U17" s="143" t="str">
        <f t="shared" si="20"/>
        <v> </v>
      </c>
      <c r="V17" s="143" t="str">
        <f t="shared" si="21"/>
        <v> </v>
      </c>
      <c r="W17" s="5"/>
      <c r="X17" s="5"/>
      <c r="Y17" s="5"/>
      <c r="Z17" s="5"/>
      <c r="AA17" s="5"/>
    </row>
    <row r="18" ht="12.75" customHeight="1">
      <c r="A18" s="136"/>
      <c r="B18" s="144" t="s">
        <v>5</v>
      </c>
      <c r="C18" s="138">
        <v>0.8</v>
      </c>
      <c r="D18" s="139">
        <v>2.0</v>
      </c>
      <c r="E18" s="139">
        <v>4.0</v>
      </c>
      <c r="F18" s="140">
        <f>'1RM'!$C$5*C18</f>
        <v>80</v>
      </c>
      <c r="G18" s="186"/>
      <c r="H18" s="186"/>
      <c r="I18" s="186">
        <f t="shared" si="15"/>
        <v>8</v>
      </c>
      <c r="J18" s="192">
        <f t="shared" si="16"/>
        <v>640</v>
      </c>
      <c r="K18" s="186"/>
      <c r="L18" s="186"/>
      <c r="M18" s="5"/>
      <c r="N18" s="5"/>
      <c r="O18" s="5"/>
      <c r="P18" s="5"/>
      <c r="Q18" s="5"/>
      <c r="R18" s="143" t="str">
        <f t="shared" si="17"/>
        <v> </v>
      </c>
      <c r="S18" s="143" t="str">
        <f t="shared" si="18"/>
        <v> </v>
      </c>
      <c r="T18" s="143" t="str">
        <f t="shared" si="19"/>
        <v> </v>
      </c>
      <c r="U18" s="143">
        <f t="shared" si="20"/>
        <v>8</v>
      </c>
      <c r="V18" s="143" t="str">
        <f t="shared" si="21"/>
        <v> </v>
      </c>
      <c r="W18" s="5"/>
      <c r="X18" s="5"/>
      <c r="Y18" s="5"/>
      <c r="Z18" s="5"/>
      <c r="AA18" s="5"/>
    </row>
    <row r="19" ht="12.75" customHeight="1">
      <c r="A19" s="152">
        <v>4.0</v>
      </c>
      <c r="B19" s="153" t="s">
        <v>55</v>
      </c>
      <c r="C19" s="154"/>
      <c r="D19" s="155">
        <v>8.0</v>
      </c>
      <c r="E19" s="155">
        <v>4.0</v>
      </c>
      <c r="F19" s="156"/>
      <c r="G19" s="186"/>
      <c r="H19" s="186"/>
      <c r="I19" s="186"/>
      <c r="J19" s="186"/>
      <c r="K19" s="186"/>
      <c r="L19" s="18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2.75" customHeight="1">
      <c r="A20" s="164">
        <v>5.0</v>
      </c>
      <c r="B20" s="165" t="s">
        <v>65</v>
      </c>
      <c r="C20" s="166"/>
      <c r="D20" s="167">
        <v>8.0</v>
      </c>
      <c r="E20" s="167">
        <v>4.0</v>
      </c>
      <c r="F20" s="168"/>
      <c r="G20" s="186"/>
      <c r="H20" s="186"/>
      <c r="I20" s="186"/>
      <c r="J20" s="186"/>
      <c r="K20" s="186"/>
      <c r="L20" s="18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2.75" customHeight="1">
      <c r="A21" s="33"/>
      <c r="B21" s="134"/>
      <c r="C21" s="133"/>
      <c r="D21" s="192"/>
      <c r="E21" s="186"/>
      <c r="F21" s="42"/>
      <c r="G21" s="186"/>
      <c r="H21" s="186"/>
      <c r="I21" s="186"/>
      <c r="J21" s="186"/>
      <c r="K21" s="186"/>
      <c r="L21" s="186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2.75" customHeight="1">
      <c r="A22" s="33" t="s">
        <v>57</v>
      </c>
      <c r="B22" s="134"/>
      <c r="C22" s="135" t="s">
        <v>20</v>
      </c>
      <c r="D22" s="193" t="s">
        <v>51</v>
      </c>
      <c r="E22" s="36" t="s">
        <v>52</v>
      </c>
      <c r="F22" s="45" t="s">
        <v>53</v>
      </c>
      <c r="G22" s="186"/>
      <c r="H22" s="186"/>
      <c r="I22" s="186"/>
      <c r="J22" s="186"/>
      <c r="K22" s="186"/>
      <c r="L22" s="18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2.75" customHeight="1">
      <c r="A23" s="157">
        <v>1.0</v>
      </c>
      <c r="B23" s="158" t="s">
        <v>67</v>
      </c>
      <c r="C23" s="159">
        <v>0.5</v>
      </c>
      <c r="D23" s="160">
        <v>3.0</v>
      </c>
      <c r="E23" s="160">
        <v>1.0</v>
      </c>
      <c r="F23" s="161">
        <f>'1RM'!$C$6*C23</f>
        <v>50</v>
      </c>
      <c r="G23" s="186"/>
      <c r="H23" s="186"/>
      <c r="I23" s="186"/>
      <c r="J23" s="186"/>
      <c r="K23" s="186">
        <f t="shared" ref="K23:K25" si="22">D23*E23</f>
        <v>3</v>
      </c>
      <c r="L23" s="186">
        <f t="shared" ref="L23:L25" si="23">K23*F23</f>
        <v>150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162">
        <f t="shared" ref="W23:W25" si="24">IF(ISNUMBER(SEARCH("Peso muerto",$B23)),IF($C23&gt;=0.5,IF($C23&lt;0.6,$D23*$E23," ")," ")," ")</f>
        <v>3</v>
      </c>
      <c r="X23" s="162" t="str">
        <f t="shared" ref="X23:X25" si="25">IF(ISNUMBER(SEARCH("Peso muerto",$B23)),IF($C23&gt;=0.6,IF($C23&lt;0.7,$D23*$E23," ")," ")," ")</f>
        <v> </v>
      </c>
      <c r="Y23" s="162" t="str">
        <f t="shared" ref="Y23:Y25" si="26">IF(ISNUMBER(SEARCH("Peso muerto",$B23)),IF($C23&gt;=0.7,IF($C23&lt;0.8,$D23*$E23," ")," ")," ")</f>
        <v> </v>
      </c>
      <c r="Z23" s="162" t="str">
        <f t="shared" ref="Z23:Z25" si="27">IF(ISNUMBER(SEARCH("Peso muerto",$B23)),IF($C23&gt;=0.8,IF($C23&lt;0.9,$D23*$E23," ")," ")," ")</f>
        <v> </v>
      </c>
      <c r="AA23" s="162" t="str">
        <f t="shared" ref="AA23:AA25" si="28">IF(ISNUMBER(SEARCH("Peso muerto",$B23)),IF($C23&gt;=0.9,$D23*$E23," ")," ")</f>
        <v> </v>
      </c>
    </row>
    <row r="24" ht="12.75" customHeight="1">
      <c r="A24" s="157"/>
      <c r="B24" s="163" t="s">
        <v>67</v>
      </c>
      <c r="C24" s="159">
        <v>0.6</v>
      </c>
      <c r="D24" s="160">
        <v>3.0</v>
      </c>
      <c r="E24" s="160">
        <v>1.0</v>
      </c>
      <c r="F24" s="161">
        <f>'1RM'!$C$6*C24</f>
        <v>60</v>
      </c>
      <c r="G24" s="186"/>
      <c r="H24" s="186"/>
      <c r="I24" s="186"/>
      <c r="J24" s="186"/>
      <c r="K24" s="186">
        <f t="shared" si="22"/>
        <v>3</v>
      </c>
      <c r="L24" s="186">
        <f t="shared" si="23"/>
        <v>180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162" t="str">
        <f t="shared" si="24"/>
        <v> </v>
      </c>
      <c r="X24" s="162">
        <f t="shared" si="25"/>
        <v>3</v>
      </c>
      <c r="Y24" s="162" t="str">
        <f t="shared" si="26"/>
        <v> </v>
      </c>
      <c r="Z24" s="162" t="str">
        <f t="shared" si="27"/>
        <v> </v>
      </c>
      <c r="AA24" s="162" t="str">
        <f t="shared" si="28"/>
        <v> </v>
      </c>
    </row>
    <row r="25" ht="12.75" customHeight="1">
      <c r="A25" s="157"/>
      <c r="B25" s="163" t="s">
        <v>67</v>
      </c>
      <c r="C25" s="159">
        <v>0.7</v>
      </c>
      <c r="D25" s="160">
        <v>2.0</v>
      </c>
      <c r="E25" s="160">
        <v>2.0</v>
      </c>
      <c r="F25" s="161">
        <f>'1RM'!$C$6*C25</f>
        <v>70</v>
      </c>
      <c r="G25" s="186"/>
      <c r="H25" s="186"/>
      <c r="I25" s="186"/>
      <c r="J25" s="186"/>
      <c r="K25" s="186">
        <f t="shared" si="22"/>
        <v>4</v>
      </c>
      <c r="L25" s="186">
        <f t="shared" si="23"/>
        <v>280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162" t="str">
        <f t="shared" si="24"/>
        <v> </v>
      </c>
      <c r="X25" s="162" t="str">
        <f t="shared" si="25"/>
        <v> </v>
      </c>
      <c r="Y25" s="162">
        <f t="shared" si="26"/>
        <v>4</v>
      </c>
      <c r="Z25" s="162" t="str">
        <f t="shared" si="27"/>
        <v> </v>
      </c>
      <c r="AA25" s="162" t="str">
        <f t="shared" si="28"/>
        <v> </v>
      </c>
    </row>
    <row r="26" ht="12.75" customHeight="1">
      <c r="A26" s="136">
        <v>2.0</v>
      </c>
      <c r="B26" s="137" t="s">
        <v>5</v>
      </c>
      <c r="C26" s="138">
        <v>0.5</v>
      </c>
      <c r="D26" s="139">
        <v>5.0</v>
      </c>
      <c r="E26" s="139">
        <v>1.0</v>
      </c>
      <c r="F26" s="140">
        <f>'1RM'!$C$5*C26</f>
        <v>50</v>
      </c>
      <c r="G26" s="186"/>
      <c r="H26" s="186"/>
      <c r="I26" s="186">
        <f t="shared" ref="I26:I29" si="29">D26*E26</f>
        <v>5</v>
      </c>
      <c r="J26" s="192">
        <f t="shared" ref="J26:J29" si="30">I26*F26</f>
        <v>250</v>
      </c>
      <c r="K26" s="186"/>
      <c r="L26" s="186"/>
      <c r="M26" s="5"/>
      <c r="N26" s="5"/>
      <c r="O26" s="5"/>
      <c r="P26" s="5"/>
      <c r="Q26" s="5"/>
      <c r="R26" s="143">
        <f t="shared" ref="R26:R29" si="31">IF(ISNUMBER(SEARCH("Press de banca",$B26)),IF($C26&gt;=0.5,IF($C26&lt;0.6,$D26*$E26," ")," ")," ")</f>
        <v>5</v>
      </c>
      <c r="S26" s="143" t="str">
        <f t="shared" ref="S26:S29" si="32">IF(ISNUMBER(SEARCH("Press de banca",$B26)),IF($C26&gt;=0.6,IF($C26&lt;0.7,$D26*$E26," ")," ")," ")</f>
        <v> </v>
      </c>
      <c r="T26" s="143" t="str">
        <f t="shared" ref="T26:T29" si="33">IF(ISNUMBER(SEARCH("Press de banca",$B26)),IF($C26&gt;=0.7,IF($C26&lt;0.8,$D26*$E26," ")," ")," ")</f>
        <v> </v>
      </c>
      <c r="U26" s="143" t="str">
        <f t="shared" ref="U26:U29" si="34">IF(ISNUMBER(SEARCH("Press de banca",$B26)),IF($C26&gt;=0.8,IF($C26&lt;0.9,$D26*$E26," ")," ")," ")</f>
        <v> </v>
      </c>
      <c r="V26" s="143" t="str">
        <f t="shared" ref="V26:V29" si="35">IF(ISNUMBER(SEARCH("Press de banca",$B26)),IF($C26&gt;=0.9,$D26*$E26," ")," ")</f>
        <v> </v>
      </c>
      <c r="W26" s="5"/>
      <c r="X26" s="5"/>
      <c r="Y26" s="5"/>
      <c r="Z26" s="5"/>
      <c r="AA26" s="5"/>
    </row>
    <row r="27" ht="12.75" customHeight="1">
      <c r="A27" s="136"/>
      <c r="B27" s="144" t="s">
        <v>5</v>
      </c>
      <c r="C27" s="138">
        <v>0.6</v>
      </c>
      <c r="D27" s="139">
        <v>4.0</v>
      </c>
      <c r="E27" s="139">
        <v>1.0</v>
      </c>
      <c r="F27" s="140">
        <f>'1RM'!$C$5*C27</f>
        <v>60</v>
      </c>
      <c r="G27" s="186"/>
      <c r="H27" s="186"/>
      <c r="I27" s="186">
        <f t="shared" si="29"/>
        <v>4</v>
      </c>
      <c r="J27" s="192">
        <f t="shared" si="30"/>
        <v>240</v>
      </c>
      <c r="K27" s="186"/>
      <c r="L27" s="186"/>
      <c r="M27" s="5"/>
      <c r="N27" s="5"/>
      <c r="O27" s="5"/>
      <c r="P27" s="5"/>
      <c r="Q27" s="5"/>
      <c r="R27" s="143" t="str">
        <f t="shared" si="31"/>
        <v> </v>
      </c>
      <c r="S27" s="143">
        <f t="shared" si="32"/>
        <v>4</v>
      </c>
      <c r="T27" s="143" t="str">
        <f t="shared" si="33"/>
        <v> </v>
      </c>
      <c r="U27" s="143" t="str">
        <f t="shared" si="34"/>
        <v> </v>
      </c>
      <c r="V27" s="143" t="str">
        <f t="shared" si="35"/>
        <v> </v>
      </c>
      <c r="W27" s="5"/>
      <c r="X27" s="5"/>
      <c r="Y27" s="5"/>
      <c r="Z27" s="5"/>
      <c r="AA27" s="5"/>
    </row>
    <row r="28" ht="12.75" customHeight="1">
      <c r="A28" s="136"/>
      <c r="B28" s="144" t="s">
        <v>5</v>
      </c>
      <c r="C28" s="138">
        <v>0.7</v>
      </c>
      <c r="D28" s="139">
        <v>3.0</v>
      </c>
      <c r="E28" s="139">
        <v>1.0</v>
      </c>
      <c r="F28" s="140">
        <f>'1RM'!$C$5*C28</f>
        <v>70</v>
      </c>
      <c r="G28" s="186"/>
      <c r="H28" s="186"/>
      <c r="I28" s="186">
        <f t="shared" si="29"/>
        <v>3</v>
      </c>
      <c r="J28" s="192">
        <f t="shared" si="30"/>
        <v>210</v>
      </c>
      <c r="K28" s="186"/>
      <c r="L28" s="186"/>
      <c r="M28" s="5"/>
      <c r="N28" s="5"/>
      <c r="O28" s="5"/>
      <c r="P28" s="5"/>
      <c r="Q28" s="5"/>
      <c r="R28" s="143" t="str">
        <f t="shared" si="31"/>
        <v> </v>
      </c>
      <c r="S28" s="143" t="str">
        <f t="shared" si="32"/>
        <v> </v>
      </c>
      <c r="T28" s="143">
        <f t="shared" si="33"/>
        <v>3</v>
      </c>
      <c r="U28" s="143" t="str">
        <f t="shared" si="34"/>
        <v> </v>
      </c>
      <c r="V28" s="143" t="str">
        <f t="shared" si="35"/>
        <v> </v>
      </c>
      <c r="W28" s="5"/>
      <c r="X28" s="5"/>
      <c r="Y28" s="5"/>
      <c r="Z28" s="5"/>
      <c r="AA28" s="5"/>
    </row>
    <row r="29" ht="12.75" customHeight="1">
      <c r="A29" s="136"/>
      <c r="B29" s="144" t="s">
        <v>5</v>
      </c>
      <c r="C29" s="138">
        <v>0.8</v>
      </c>
      <c r="D29" s="139">
        <v>3.0</v>
      </c>
      <c r="E29" s="139">
        <v>4.0</v>
      </c>
      <c r="F29" s="140">
        <f>'1RM'!$C$5*C29</f>
        <v>80</v>
      </c>
      <c r="G29" s="186"/>
      <c r="H29" s="186"/>
      <c r="I29" s="186">
        <f t="shared" si="29"/>
        <v>12</v>
      </c>
      <c r="J29" s="192">
        <f t="shared" si="30"/>
        <v>960</v>
      </c>
      <c r="K29" s="186"/>
      <c r="L29" s="186"/>
      <c r="M29" s="5"/>
      <c r="N29" s="5"/>
      <c r="O29" s="5"/>
      <c r="P29" s="5"/>
      <c r="Q29" s="5"/>
      <c r="R29" s="143" t="str">
        <f t="shared" si="31"/>
        <v> </v>
      </c>
      <c r="S29" s="143" t="str">
        <f t="shared" si="32"/>
        <v> </v>
      </c>
      <c r="T29" s="143" t="str">
        <f t="shared" si="33"/>
        <v> </v>
      </c>
      <c r="U29" s="143">
        <f t="shared" si="34"/>
        <v>12</v>
      </c>
      <c r="V29" s="143" t="str">
        <f t="shared" si="35"/>
        <v> </v>
      </c>
      <c r="W29" s="5"/>
      <c r="X29" s="5"/>
      <c r="Y29" s="5"/>
      <c r="Z29" s="5"/>
      <c r="AA29" s="5"/>
    </row>
    <row r="30" ht="12.75" customHeight="1">
      <c r="A30" s="157">
        <v>3.0</v>
      </c>
      <c r="B30" s="158" t="s">
        <v>68</v>
      </c>
      <c r="C30" s="159">
        <v>0.6</v>
      </c>
      <c r="D30" s="160">
        <v>3.0</v>
      </c>
      <c r="E30" s="160">
        <v>1.0</v>
      </c>
      <c r="F30" s="161">
        <f>'1RM'!$C$6*C30</f>
        <v>60</v>
      </c>
      <c r="G30" s="186"/>
      <c r="H30" s="186"/>
      <c r="I30" s="186"/>
      <c r="J30" s="186"/>
      <c r="K30" s="186">
        <f t="shared" ref="K30:K33" si="36">D30*E30</f>
        <v>3</v>
      </c>
      <c r="L30" s="186">
        <f t="shared" ref="L30:L33" si="37">K30*F30</f>
        <v>180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162" t="str">
        <f t="shared" ref="W30:W33" si="38">IF(ISNUMBER(SEARCH("Peso muerto",$B30)),IF($C30&gt;=0.5,IF($C30&lt;0.6,$D30*$E30," ")," ")," ")</f>
        <v> </v>
      </c>
      <c r="X30" s="162">
        <f t="shared" ref="X30:X33" si="39">IF(ISNUMBER(SEARCH("Peso muerto",$B30)),IF($C30&gt;=0.6,IF($C30&lt;0.7,$D30*$E30," ")," ")," ")</f>
        <v>3</v>
      </c>
      <c r="Y30" s="162" t="str">
        <f t="shared" ref="Y30:Y33" si="40">IF(ISNUMBER(SEARCH("Peso muerto",$B30)),IF($C30&gt;=0.7,IF($C30&lt;0.8,$D30*$E30," ")," ")," ")</f>
        <v> </v>
      </c>
      <c r="Z30" s="162" t="str">
        <f t="shared" ref="Z30:Z33" si="41">IF(ISNUMBER(SEARCH("Peso muerto",$B30)),IF($C30&gt;=0.8,IF($C30&lt;0.9,$D30*$E30," ")," ")," ")</f>
        <v> </v>
      </c>
      <c r="AA30" s="162" t="str">
        <f t="shared" ref="AA30:AA33" si="42">IF(ISNUMBER(SEARCH("Peso muerto",$B30)),IF($C30&gt;=0.9,$D30*$E30," ")," ")</f>
        <v> </v>
      </c>
    </row>
    <row r="31" ht="12.75" customHeight="1">
      <c r="A31" s="157"/>
      <c r="B31" s="163" t="s">
        <v>68</v>
      </c>
      <c r="C31" s="159">
        <v>0.7</v>
      </c>
      <c r="D31" s="160">
        <v>3.0</v>
      </c>
      <c r="E31" s="160">
        <v>1.0</v>
      </c>
      <c r="F31" s="161">
        <f>'1RM'!$C$6*C31</f>
        <v>70</v>
      </c>
      <c r="G31" s="186"/>
      <c r="H31" s="186"/>
      <c r="I31" s="186"/>
      <c r="J31" s="186"/>
      <c r="K31" s="186">
        <f t="shared" si="36"/>
        <v>3</v>
      </c>
      <c r="L31" s="186">
        <f t="shared" si="37"/>
        <v>210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162" t="str">
        <f t="shared" si="38"/>
        <v> </v>
      </c>
      <c r="X31" s="162" t="str">
        <f t="shared" si="39"/>
        <v> </v>
      </c>
      <c r="Y31" s="162">
        <f t="shared" si="40"/>
        <v>3</v>
      </c>
      <c r="Z31" s="162" t="str">
        <f t="shared" si="41"/>
        <v> </v>
      </c>
      <c r="AA31" s="162" t="str">
        <f t="shared" si="42"/>
        <v> </v>
      </c>
    </row>
    <row r="32" ht="12.75" customHeight="1">
      <c r="A32" s="157"/>
      <c r="B32" s="163" t="s">
        <v>68</v>
      </c>
      <c r="C32" s="159">
        <v>0.8</v>
      </c>
      <c r="D32" s="160">
        <v>2.0</v>
      </c>
      <c r="E32" s="160">
        <v>2.0</v>
      </c>
      <c r="F32" s="161">
        <f>'1RM'!$C$6*C32</f>
        <v>80</v>
      </c>
      <c r="G32" s="186"/>
      <c r="H32" s="186"/>
      <c r="I32" s="186"/>
      <c r="J32" s="186"/>
      <c r="K32" s="186">
        <f t="shared" si="36"/>
        <v>4</v>
      </c>
      <c r="L32" s="186">
        <f t="shared" si="37"/>
        <v>320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162" t="str">
        <f t="shared" si="38"/>
        <v> </v>
      </c>
      <c r="X32" s="162" t="str">
        <f t="shared" si="39"/>
        <v> </v>
      </c>
      <c r="Y32" s="162" t="str">
        <f t="shared" si="40"/>
        <v> </v>
      </c>
      <c r="Z32" s="162">
        <f t="shared" si="41"/>
        <v>4</v>
      </c>
      <c r="AA32" s="162" t="str">
        <f t="shared" si="42"/>
        <v> </v>
      </c>
    </row>
    <row r="33" ht="12.75" customHeight="1">
      <c r="A33" s="157"/>
      <c r="B33" s="163" t="s">
        <v>68</v>
      </c>
      <c r="C33" s="159">
        <v>0.9</v>
      </c>
      <c r="D33" s="160">
        <v>1.0</v>
      </c>
      <c r="E33" s="160">
        <v>3.0</v>
      </c>
      <c r="F33" s="161">
        <f>'1RM'!$C$6*C33</f>
        <v>90</v>
      </c>
      <c r="G33" s="186"/>
      <c r="H33" s="186"/>
      <c r="I33" s="186"/>
      <c r="J33" s="186"/>
      <c r="K33" s="186">
        <f t="shared" si="36"/>
        <v>3</v>
      </c>
      <c r="L33" s="186">
        <f t="shared" si="37"/>
        <v>270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162" t="str">
        <f t="shared" si="38"/>
        <v> </v>
      </c>
      <c r="X33" s="162" t="str">
        <f t="shared" si="39"/>
        <v> </v>
      </c>
      <c r="Y33" s="162" t="str">
        <f t="shared" si="40"/>
        <v> </v>
      </c>
      <c r="Z33" s="162" t="str">
        <f t="shared" si="41"/>
        <v> </v>
      </c>
      <c r="AA33" s="162">
        <f t="shared" si="42"/>
        <v>3</v>
      </c>
    </row>
    <row r="34" ht="12.75" customHeight="1">
      <c r="A34" s="152">
        <v>4.0</v>
      </c>
      <c r="B34" s="153" t="s">
        <v>60</v>
      </c>
      <c r="C34" s="154"/>
      <c r="D34" s="155">
        <v>6.0</v>
      </c>
      <c r="E34" s="155">
        <v>4.0</v>
      </c>
      <c r="F34" s="156"/>
      <c r="G34" s="186"/>
      <c r="H34" s="186"/>
      <c r="I34" s="186"/>
      <c r="J34" s="186"/>
      <c r="K34" s="186"/>
      <c r="L34" s="18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2.75" customHeight="1">
      <c r="A35" s="152">
        <v>5.0</v>
      </c>
      <c r="B35" s="153" t="s">
        <v>56</v>
      </c>
      <c r="C35" s="154"/>
      <c r="D35" s="155">
        <v>8.0</v>
      </c>
      <c r="E35" s="155">
        <v>4.0</v>
      </c>
      <c r="F35" s="156"/>
      <c r="G35" s="186"/>
      <c r="H35" s="186"/>
      <c r="I35" s="186"/>
      <c r="J35" s="186"/>
      <c r="K35" s="186"/>
      <c r="L35" s="18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2.75" customHeight="1">
      <c r="A36" s="33"/>
      <c r="B36" s="134"/>
      <c r="C36" s="133"/>
      <c r="D36" s="192"/>
      <c r="E36" s="186"/>
      <c r="F36" s="42"/>
      <c r="G36" s="186"/>
      <c r="H36" s="186"/>
      <c r="I36" s="186"/>
      <c r="J36" s="186"/>
      <c r="K36" s="186"/>
      <c r="L36" s="18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2.75" customHeight="1">
      <c r="A37" s="33" t="s">
        <v>62</v>
      </c>
      <c r="B37" s="134"/>
      <c r="C37" s="135" t="s">
        <v>20</v>
      </c>
      <c r="D37" s="193" t="s">
        <v>51</v>
      </c>
      <c r="E37" s="36" t="s">
        <v>52</v>
      </c>
      <c r="F37" s="45" t="s">
        <v>53</v>
      </c>
      <c r="G37" s="186"/>
      <c r="H37" s="186"/>
      <c r="I37" s="186"/>
      <c r="J37" s="186"/>
      <c r="K37" s="186"/>
      <c r="L37" s="18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2.75" customHeight="1">
      <c r="A38" s="145">
        <v>1.0</v>
      </c>
      <c r="B38" s="146" t="s">
        <v>4</v>
      </c>
      <c r="C38" s="147">
        <v>0.5</v>
      </c>
      <c r="D38" s="148">
        <v>3.0</v>
      </c>
      <c r="E38" s="148">
        <v>1.0</v>
      </c>
      <c r="F38" s="149">
        <f>'1RM'!$C$4*C38</f>
        <v>50</v>
      </c>
      <c r="G38" s="186">
        <f t="shared" ref="G38:G42" si="43">D38*E38</f>
        <v>3</v>
      </c>
      <c r="H38" s="192">
        <f t="shared" ref="H38:H42" si="44">G38*F38</f>
        <v>150</v>
      </c>
      <c r="I38" s="186"/>
      <c r="J38" s="186"/>
      <c r="K38" s="186"/>
      <c r="L38" s="186"/>
      <c r="M38" s="150">
        <f t="shared" ref="M38:M42" si="45">IF(ISNUMBER(SEARCH("Sentadilla",$B38)),IF($C38&gt;=0.5,IF($C38&lt;0.6,$D38*$E38," ")," ")," ")</f>
        <v>3</v>
      </c>
      <c r="N38" s="150" t="str">
        <f t="shared" ref="N38:N42" si="46">IF(ISNUMBER(SEARCH("Sentadilla",$B38)),IF($C38&gt;=0.6,IF($C38&lt;0.7,$D38*$E38," ")," ")," ")</f>
        <v> </v>
      </c>
      <c r="O38" s="150" t="str">
        <f t="shared" ref="O38:O42" si="47">IF(ISNUMBER(SEARCH("Sentadilla",$B38)),IF($C38&gt;=0.7,IF($C38&lt;0.8,$D38*$E38," ")," ")," ")</f>
        <v> </v>
      </c>
      <c r="P38" s="150" t="str">
        <f t="shared" ref="P38:P42" si="48">IF(ISNUMBER(SEARCH("Sentadilla",$B38)),IF($C38&gt;=0.8,IF($C38&lt;0.9,$D38*$E38," ")," ")," ")</f>
        <v> </v>
      </c>
      <c r="Q38" s="150" t="str">
        <f t="shared" ref="Q38:Q42" si="49">IF(ISNUMBER(SEARCH("Sentadilla",$B38)),IF($C38&gt;=0.9,$D38*$E38," ")," ")</f>
        <v> </v>
      </c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2.75" customHeight="1">
      <c r="A39" s="145"/>
      <c r="B39" s="151" t="s">
        <v>4</v>
      </c>
      <c r="C39" s="147">
        <v>0.6</v>
      </c>
      <c r="D39" s="148">
        <v>3.0</v>
      </c>
      <c r="E39" s="148">
        <v>1.0</v>
      </c>
      <c r="F39" s="149">
        <f>'1RM'!$C$4*C39</f>
        <v>60</v>
      </c>
      <c r="G39" s="186">
        <f t="shared" si="43"/>
        <v>3</v>
      </c>
      <c r="H39" s="192">
        <f t="shared" si="44"/>
        <v>180</v>
      </c>
      <c r="I39" s="186"/>
      <c r="J39" s="186"/>
      <c r="K39" s="186"/>
      <c r="L39" s="186"/>
      <c r="M39" s="150" t="str">
        <f t="shared" si="45"/>
        <v> </v>
      </c>
      <c r="N39" s="150">
        <f t="shared" si="46"/>
        <v>3</v>
      </c>
      <c r="O39" s="150" t="str">
        <f t="shared" si="47"/>
        <v> </v>
      </c>
      <c r="P39" s="150" t="str">
        <f t="shared" si="48"/>
        <v> </v>
      </c>
      <c r="Q39" s="150" t="str">
        <f t="shared" si="49"/>
        <v> </v>
      </c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2.75" customHeight="1">
      <c r="A40" s="145"/>
      <c r="B40" s="151" t="s">
        <v>4</v>
      </c>
      <c r="C40" s="147">
        <v>0.7</v>
      </c>
      <c r="D40" s="148">
        <v>3.0</v>
      </c>
      <c r="E40" s="148">
        <v>1.0</v>
      </c>
      <c r="F40" s="149">
        <f>'1RM'!$C$4*C40</f>
        <v>70</v>
      </c>
      <c r="G40" s="186">
        <f t="shared" si="43"/>
        <v>3</v>
      </c>
      <c r="H40" s="192">
        <f t="shared" si="44"/>
        <v>210</v>
      </c>
      <c r="I40" s="186"/>
      <c r="J40" s="186"/>
      <c r="K40" s="186"/>
      <c r="L40" s="186"/>
      <c r="M40" s="150" t="str">
        <f t="shared" si="45"/>
        <v> </v>
      </c>
      <c r="N40" s="150" t="str">
        <f t="shared" si="46"/>
        <v> </v>
      </c>
      <c r="O40" s="150">
        <f t="shared" si="47"/>
        <v>3</v>
      </c>
      <c r="P40" s="150" t="str">
        <f t="shared" si="48"/>
        <v> </v>
      </c>
      <c r="Q40" s="150" t="str">
        <f t="shared" si="49"/>
        <v> </v>
      </c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2.75" customHeight="1">
      <c r="A41" s="145"/>
      <c r="B41" s="151" t="s">
        <v>4</v>
      </c>
      <c r="C41" s="147">
        <v>0.8</v>
      </c>
      <c r="D41" s="148">
        <v>2.0</v>
      </c>
      <c r="E41" s="148">
        <v>2.0</v>
      </c>
      <c r="F41" s="149">
        <f>'1RM'!$C$4*C41</f>
        <v>80</v>
      </c>
      <c r="G41" s="186">
        <f t="shared" si="43"/>
        <v>4</v>
      </c>
      <c r="H41" s="192">
        <f t="shared" si="44"/>
        <v>320</v>
      </c>
      <c r="I41" s="186"/>
      <c r="J41" s="186"/>
      <c r="K41" s="186"/>
      <c r="L41" s="186"/>
      <c r="M41" s="150" t="str">
        <f t="shared" si="45"/>
        <v> </v>
      </c>
      <c r="N41" s="150" t="str">
        <f t="shared" si="46"/>
        <v> </v>
      </c>
      <c r="O41" s="150" t="str">
        <f t="shared" si="47"/>
        <v> </v>
      </c>
      <c r="P41" s="150">
        <f t="shared" si="48"/>
        <v>4</v>
      </c>
      <c r="Q41" s="150" t="str">
        <f t="shared" si="49"/>
        <v> </v>
      </c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2.75" customHeight="1">
      <c r="A42" s="145"/>
      <c r="B42" s="151" t="s">
        <v>4</v>
      </c>
      <c r="C42" s="147">
        <v>0.85</v>
      </c>
      <c r="D42" s="148">
        <v>1.0</v>
      </c>
      <c r="E42" s="148">
        <v>3.0</v>
      </c>
      <c r="F42" s="149">
        <f>'1RM'!$C$4*C42</f>
        <v>85</v>
      </c>
      <c r="G42" s="186">
        <f t="shared" si="43"/>
        <v>3</v>
      </c>
      <c r="H42" s="192">
        <f t="shared" si="44"/>
        <v>255</v>
      </c>
      <c r="I42" s="186"/>
      <c r="J42" s="186"/>
      <c r="K42" s="186"/>
      <c r="L42" s="186"/>
      <c r="M42" s="150" t="str">
        <f t="shared" si="45"/>
        <v> </v>
      </c>
      <c r="N42" s="150" t="str">
        <f t="shared" si="46"/>
        <v> </v>
      </c>
      <c r="O42" s="150" t="str">
        <f t="shared" si="47"/>
        <v> </v>
      </c>
      <c r="P42" s="150">
        <f t="shared" si="48"/>
        <v>3</v>
      </c>
      <c r="Q42" s="150" t="str">
        <f t="shared" si="49"/>
        <v> </v>
      </c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2.75" customHeight="1">
      <c r="A43" s="136">
        <v>2.0</v>
      </c>
      <c r="B43" s="137" t="s">
        <v>5</v>
      </c>
      <c r="C43" s="138">
        <v>0.5</v>
      </c>
      <c r="D43" s="139">
        <v>3.0</v>
      </c>
      <c r="E43" s="139">
        <v>1.0</v>
      </c>
      <c r="F43" s="140">
        <f>'1RM'!$C$5*C43</f>
        <v>50</v>
      </c>
      <c r="G43" s="186"/>
      <c r="H43" s="186"/>
      <c r="I43" s="186">
        <f t="shared" ref="I43:I48" si="50">D43*E43</f>
        <v>3</v>
      </c>
      <c r="J43" s="192">
        <f t="shared" ref="J43:J48" si="51">I43*F43</f>
        <v>150</v>
      </c>
      <c r="K43" s="186"/>
      <c r="L43" s="186"/>
      <c r="M43" s="5"/>
      <c r="N43" s="5"/>
      <c r="O43" s="5"/>
      <c r="P43" s="5"/>
      <c r="Q43" s="5"/>
      <c r="R43" s="143">
        <f t="shared" ref="R43:R48" si="52">IF(ISNUMBER(SEARCH("Press de banca",$B43)),IF($C43&gt;=0.5,IF($C43&lt;0.6,$D43*$E43," ")," ")," ")</f>
        <v>3</v>
      </c>
      <c r="S43" s="143" t="str">
        <f t="shared" ref="S43:S48" si="53">IF(ISNUMBER(SEARCH("Press de banca",$B43)),IF($C43&gt;=0.6,IF($C43&lt;0.7,$D43*$E43," ")," ")," ")</f>
        <v> </v>
      </c>
      <c r="T43" s="143" t="str">
        <f t="shared" ref="T43:T48" si="54">IF(ISNUMBER(SEARCH("Press de banca",$B43)),IF($C43&gt;=0.7,IF($C43&lt;0.8,$D43*$E43," ")," ")," ")</f>
        <v> </v>
      </c>
      <c r="U43" s="143" t="str">
        <f t="shared" ref="U43:U48" si="55">IF(ISNUMBER(SEARCH("Press de banca",$B43)),IF($C43&gt;=0.8,IF($C43&lt;0.9,$D43*$E43," ")," ")," ")</f>
        <v> </v>
      </c>
      <c r="V43" s="143" t="str">
        <f t="shared" ref="V43:V48" si="56">IF(ISNUMBER(SEARCH("Press de banca",$B43)),IF($C43&gt;=0.9,$D43*$E43," ")," ")</f>
        <v> </v>
      </c>
      <c r="W43" s="5"/>
      <c r="X43" s="5"/>
      <c r="Y43" s="5"/>
      <c r="Z43" s="5"/>
      <c r="AA43" s="5"/>
    </row>
    <row r="44" ht="12.75" customHeight="1">
      <c r="A44" s="136"/>
      <c r="B44" s="144" t="s">
        <v>5</v>
      </c>
      <c r="C44" s="138">
        <v>0.6</v>
      </c>
      <c r="D44" s="139">
        <v>3.0</v>
      </c>
      <c r="E44" s="139">
        <v>1.0</v>
      </c>
      <c r="F44" s="140">
        <f>'1RM'!$C$5*C44</f>
        <v>60</v>
      </c>
      <c r="G44" s="186"/>
      <c r="H44" s="186"/>
      <c r="I44" s="186">
        <f t="shared" si="50"/>
        <v>3</v>
      </c>
      <c r="J44" s="192">
        <f t="shared" si="51"/>
        <v>180</v>
      </c>
      <c r="K44" s="186"/>
      <c r="L44" s="186"/>
      <c r="M44" s="5"/>
      <c r="N44" s="5"/>
      <c r="O44" s="5"/>
      <c r="P44" s="5"/>
      <c r="Q44" s="5"/>
      <c r="R44" s="143" t="str">
        <f t="shared" si="52"/>
        <v> </v>
      </c>
      <c r="S44" s="143">
        <f t="shared" si="53"/>
        <v>3</v>
      </c>
      <c r="T44" s="143" t="str">
        <f t="shared" si="54"/>
        <v> </v>
      </c>
      <c r="U44" s="143" t="str">
        <f t="shared" si="55"/>
        <v> </v>
      </c>
      <c r="V44" s="143" t="str">
        <f t="shared" si="56"/>
        <v> </v>
      </c>
      <c r="W44" s="5"/>
      <c r="X44" s="5"/>
      <c r="Y44" s="5"/>
      <c r="Z44" s="5"/>
      <c r="AA44" s="5"/>
    </row>
    <row r="45" ht="12.75" customHeight="1">
      <c r="A45" s="136"/>
      <c r="B45" s="144" t="s">
        <v>5</v>
      </c>
      <c r="C45" s="138">
        <v>0.7</v>
      </c>
      <c r="D45" s="139">
        <v>3.0</v>
      </c>
      <c r="E45" s="139">
        <v>1.0</v>
      </c>
      <c r="F45" s="140">
        <f>'1RM'!$C$5*C45</f>
        <v>70</v>
      </c>
      <c r="G45" s="186"/>
      <c r="H45" s="186"/>
      <c r="I45" s="186">
        <f t="shared" si="50"/>
        <v>3</v>
      </c>
      <c r="J45" s="192">
        <f t="shared" si="51"/>
        <v>210</v>
      </c>
      <c r="K45" s="186"/>
      <c r="L45" s="186"/>
      <c r="M45" s="5"/>
      <c r="N45" s="5"/>
      <c r="O45" s="5"/>
      <c r="P45" s="5"/>
      <c r="Q45" s="5"/>
      <c r="R45" s="143" t="str">
        <f t="shared" si="52"/>
        <v> </v>
      </c>
      <c r="S45" s="143" t="str">
        <f t="shared" si="53"/>
        <v> </v>
      </c>
      <c r="T45" s="143">
        <f t="shared" si="54"/>
        <v>3</v>
      </c>
      <c r="U45" s="143" t="str">
        <f t="shared" si="55"/>
        <v> </v>
      </c>
      <c r="V45" s="143" t="str">
        <f t="shared" si="56"/>
        <v> </v>
      </c>
      <c r="W45" s="5"/>
      <c r="X45" s="5"/>
      <c r="Y45" s="5"/>
      <c r="Z45" s="5"/>
      <c r="AA45" s="5"/>
    </row>
    <row r="46" ht="12.75" customHeight="1">
      <c r="A46" s="136"/>
      <c r="B46" s="144" t="s">
        <v>5</v>
      </c>
      <c r="C46" s="138">
        <v>0.8</v>
      </c>
      <c r="D46" s="139">
        <v>2.0</v>
      </c>
      <c r="E46" s="139">
        <v>2.0</v>
      </c>
      <c r="F46" s="140">
        <f>'1RM'!$C$5*C46</f>
        <v>80</v>
      </c>
      <c r="G46" s="186"/>
      <c r="H46" s="186"/>
      <c r="I46" s="186">
        <f t="shared" si="50"/>
        <v>4</v>
      </c>
      <c r="J46" s="192">
        <f t="shared" si="51"/>
        <v>320</v>
      </c>
      <c r="K46" s="186"/>
      <c r="L46" s="186"/>
      <c r="M46" s="5"/>
      <c r="N46" s="5"/>
      <c r="O46" s="5"/>
      <c r="P46" s="5"/>
      <c r="Q46" s="5"/>
      <c r="R46" s="143" t="str">
        <f t="shared" si="52"/>
        <v> </v>
      </c>
      <c r="S46" s="143" t="str">
        <f t="shared" si="53"/>
        <v> </v>
      </c>
      <c r="T46" s="143" t="str">
        <f t="shared" si="54"/>
        <v> </v>
      </c>
      <c r="U46" s="143">
        <f t="shared" si="55"/>
        <v>4</v>
      </c>
      <c r="V46" s="143" t="str">
        <f t="shared" si="56"/>
        <v> </v>
      </c>
      <c r="W46" s="5"/>
      <c r="X46" s="5"/>
      <c r="Y46" s="5"/>
      <c r="Z46" s="5"/>
      <c r="AA46" s="5"/>
    </row>
    <row r="47" ht="12.75" customHeight="1">
      <c r="A47" s="136"/>
      <c r="B47" s="144" t="s">
        <v>5</v>
      </c>
      <c r="C47" s="138">
        <v>0.85</v>
      </c>
      <c r="D47" s="139">
        <v>2.0</v>
      </c>
      <c r="E47" s="139">
        <v>3.0</v>
      </c>
      <c r="F47" s="140">
        <f>'1RM'!$C$5*C47</f>
        <v>85</v>
      </c>
      <c r="G47" s="186"/>
      <c r="H47" s="186"/>
      <c r="I47" s="186">
        <f t="shared" si="50"/>
        <v>6</v>
      </c>
      <c r="J47" s="192">
        <f t="shared" si="51"/>
        <v>510</v>
      </c>
      <c r="K47" s="186"/>
      <c r="L47" s="186"/>
      <c r="M47" s="5"/>
      <c r="N47" s="5"/>
      <c r="O47" s="5"/>
      <c r="P47" s="5"/>
      <c r="Q47" s="5"/>
      <c r="R47" s="143" t="str">
        <f t="shared" si="52"/>
        <v> </v>
      </c>
      <c r="S47" s="143" t="str">
        <f t="shared" si="53"/>
        <v> </v>
      </c>
      <c r="T47" s="143" t="str">
        <f t="shared" si="54"/>
        <v> </v>
      </c>
      <c r="U47" s="143">
        <f t="shared" si="55"/>
        <v>6</v>
      </c>
      <c r="V47" s="143" t="str">
        <f t="shared" si="56"/>
        <v> </v>
      </c>
      <c r="W47" s="5"/>
      <c r="X47" s="5"/>
      <c r="Y47" s="5"/>
      <c r="Z47" s="5"/>
      <c r="AA47" s="5"/>
    </row>
    <row r="48" ht="12.75" customHeight="1">
      <c r="A48" s="136"/>
      <c r="B48" s="144" t="s">
        <v>5</v>
      </c>
      <c r="C48" s="138">
        <v>0.8</v>
      </c>
      <c r="D48" s="139">
        <v>2.0</v>
      </c>
      <c r="E48" s="139">
        <v>2.0</v>
      </c>
      <c r="F48" s="140">
        <f>'1RM'!$C$5*C48</f>
        <v>80</v>
      </c>
      <c r="G48" s="186"/>
      <c r="H48" s="186"/>
      <c r="I48" s="186">
        <f t="shared" si="50"/>
        <v>4</v>
      </c>
      <c r="J48" s="192">
        <f t="shared" si="51"/>
        <v>320</v>
      </c>
      <c r="K48" s="186"/>
      <c r="L48" s="186"/>
      <c r="M48" s="5"/>
      <c r="N48" s="5"/>
      <c r="O48" s="5"/>
      <c r="P48" s="5"/>
      <c r="Q48" s="5"/>
      <c r="R48" s="143" t="str">
        <f t="shared" si="52"/>
        <v> </v>
      </c>
      <c r="S48" s="143" t="str">
        <f t="shared" si="53"/>
        <v> </v>
      </c>
      <c r="T48" s="143" t="str">
        <f t="shared" si="54"/>
        <v> </v>
      </c>
      <c r="U48" s="143">
        <f t="shared" si="55"/>
        <v>4</v>
      </c>
      <c r="V48" s="143" t="str">
        <f t="shared" si="56"/>
        <v> </v>
      </c>
      <c r="W48" s="5"/>
      <c r="X48" s="5"/>
      <c r="Y48" s="5"/>
      <c r="Z48" s="5"/>
      <c r="AA48" s="5"/>
    </row>
    <row r="49" ht="12.75" customHeight="1">
      <c r="A49" s="152">
        <v>3.0</v>
      </c>
      <c r="B49" s="153" t="s">
        <v>55</v>
      </c>
      <c r="C49" s="154"/>
      <c r="D49" s="194" t="s">
        <v>111</v>
      </c>
      <c r="E49" s="155">
        <v>4.0</v>
      </c>
      <c r="F49" s="156"/>
      <c r="G49" s="186"/>
      <c r="H49" s="186"/>
      <c r="I49" s="186"/>
      <c r="J49" s="186"/>
      <c r="K49" s="186"/>
      <c r="L49" s="18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2.75" customHeight="1">
      <c r="A50" s="152">
        <v>4.0</v>
      </c>
      <c r="B50" s="153" t="s">
        <v>83</v>
      </c>
      <c r="C50" s="154"/>
      <c r="D50" s="155">
        <v>6.0</v>
      </c>
      <c r="E50" s="155">
        <v>4.0</v>
      </c>
      <c r="F50" s="156"/>
      <c r="G50" s="186"/>
      <c r="H50" s="186"/>
      <c r="I50" s="186"/>
      <c r="J50" s="186"/>
      <c r="K50" s="186"/>
      <c r="L50" s="18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2.75" customHeight="1">
      <c r="A51" s="152">
        <v>5.0</v>
      </c>
      <c r="B51" s="153" t="s">
        <v>61</v>
      </c>
      <c r="C51" s="154"/>
      <c r="D51" s="155">
        <v>5.0</v>
      </c>
      <c r="E51" s="155">
        <v>4.0</v>
      </c>
      <c r="F51" s="156"/>
      <c r="G51" s="186"/>
      <c r="H51" s="186"/>
      <c r="I51" s="186"/>
      <c r="J51" s="186"/>
      <c r="K51" s="186"/>
      <c r="L51" s="18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2.75" customHeight="1">
      <c r="A52" s="33"/>
      <c r="B52" s="134"/>
      <c r="C52" s="135"/>
      <c r="D52" s="193"/>
      <c r="E52" s="36"/>
      <c r="F52" s="45"/>
      <c r="G52" s="186"/>
      <c r="H52" s="186"/>
      <c r="I52" s="186"/>
      <c r="J52" s="186"/>
      <c r="K52" s="186"/>
      <c r="L52" s="18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2.75" customHeight="1">
      <c r="A53" s="33" t="s">
        <v>66</v>
      </c>
      <c r="B53" s="134"/>
      <c r="C53" s="135" t="s">
        <v>20</v>
      </c>
      <c r="D53" s="193" t="s">
        <v>51</v>
      </c>
      <c r="E53" s="36" t="s">
        <v>52</v>
      </c>
      <c r="F53" s="45" t="s">
        <v>53</v>
      </c>
      <c r="G53" s="186"/>
      <c r="H53" s="186"/>
      <c r="I53" s="186"/>
      <c r="J53" s="186"/>
      <c r="K53" s="186"/>
      <c r="L53" s="18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2.75" customHeight="1">
      <c r="A54" s="152">
        <v>1.0</v>
      </c>
      <c r="B54" s="153" t="s">
        <v>88</v>
      </c>
      <c r="C54" s="154"/>
      <c r="D54" s="155">
        <v>3.0</v>
      </c>
      <c r="E54" s="155">
        <v>5.0</v>
      </c>
      <c r="F54" s="156"/>
      <c r="G54" s="186"/>
      <c r="H54" s="186"/>
      <c r="I54" s="186"/>
      <c r="J54" s="186"/>
      <c r="K54" s="186"/>
      <c r="L54" s="18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2.75" customHeight="1">
      <c r="A55" s="157">
        <v>2.0</v>
      </c>
      <c r="B55" s="158" t="s">
        <v>68</v>
      </c>
      <c r="C55" s="159">
        <v>0.55</v>
      </c>
      <c r="D55" s="160">
        <v>3.0</v>
      </c>
      <c r="E55" s="160">
        <v>1.0</v>
      </c>
      <c r="F55" s="161">
        <f>'1RM'!$C$6*C55</f>
        <v>55</v>
      </c>
      <c r="G55" s="186"/>
      <c r="H55" s="186"/>
      <c r="I55" s="186"/>
      <c r="J55" s="186"/>
      <c r="K55" s="186">
        <f t="shared" ref="K55:K58" si="57">D55*E55</f>
        <v>3</v>
      </c>
      <c r="L55" s="186">
        <f t="shared" ref="L55:L58" si="58">K55*F55</f>
        <v>165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162">
        <f t="shared" ref="W55:W58" si="59">IF(ISNUMBER(SEARCH("Peso muerto",$B55)),IF($C55&gt;=0.5,IF($C55&lt;0.6,$D55*$E55," ")," ")," ")</f>
        <v>3</v>
      </c>
      <c r="X55" s="162" t="str">
        <f t="shared" ref="X55:X58" si="60">IF(ISNUMBER(SEARCH("Peso muerto",$B55)),IF($C55&gt;=0.6,IF($C55&lt;0.7,$D55*$E55," ")," ")," ")</f>
        <v> </v>
      </c>
      <c r="Y55" s="162" t="str">
        <f t="shared" ref="Y55:Y58" si="61">IF(ISNUMBER(SEARCH("Peso muerto",$B55)),IF($C55&gt;=0.7,IF($C55&lt;0.8,$D55*$E55," ")," ")," ")</f>
        <v> </v>
      </c>
      <c r="Z55" s="162" t="str">
        <f t="shared" ref="Z55:Z58" si="62">IF(ISNUMBER(SEARCH("Peso muerto",$B55)),IF($C55&gt;=0.8,IF($C55&lt;0.9,$D55*$E55," ")," ")," ")</f>
        <v> </v>
      </c>
      <c r="AA55" s="162" t="str">
        <f t="shared" ref="AA55:AA58" si="63">IF(ISNUMBER(SEARCH("Peso muerto",$B55)),IF($C55&gt;=0.9,$D55*$E55," ")," ")</f>
        <v> </v>
      </c>
    </row>
    <row r="56" ht="12.75" customHeight="1">
      <c r="A56" s="157"/>
      <c r="B56" s="163" t="s">
        <v>68</v>
      </c>
      <c r="C56" s="159">
        <v>0.65</v>
      </c>
      <c r="D56" s="160">
        <v>3.0</v>
      </c>
      <c r="E56" s="160">
        <v>1.0</v>
      </c>
      <c r="F56" s="161">
        <f>'1RM'!$C$6*C56</f>
        <v>65</v>
      </c>
      <c r="G56" s="186"/>
      <c r="H56" s="186"/>
      <c r="I56" s="186"/>
      <c r="J56" s="186"/>
      <c r="K56" s="186">
        <f t="shared" si="57"/>
        <v>3</v>
      </c>
      <c r="L56" s="186">
        <f t="shared" si="58"/>
        <v>195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162" t="str">
        <f t="shared" si="59"/>
        <v> </v>
      </c>
      <c r="X56" s="162">
        <f t="shared" si="60"/>
        <v>3</v>
      </c>
      <c r="Y56" s="162" t="str">
        <f t="shared" si="61"/>
        <v> </v>
      </c>
      <c r="Z56" s="162" t="str">
        <f t="shared" si="62"/>
        <v> </v>
      </c>
      <c r="AA56" s="162" t="str">
        <f t="shared" si="63"/>
        <v> </v>
      </c>
    </row>
    <row r="57" ht="12.75" customHeight="1">
      <c r="A57" s="157"/>
      <c r="B57" s="163" t="s">
        <v>68</v>
      </c>
      <c r="C57" s="159">
        <v>0.75</v>
      </c>
      <c r="D57" s="160">
        <v>3.0</v>
      </c>
      <c r="E57" s="160">
        <v>1.0</v>
      </c>
      <c r="F57" s="161">
        <f>'1RM'!$C$6*C57</f>
        <v>75</v>
      </c>
      <c r="G57" s="186"/>
      <c r="H57" s="186"/>
      <c r="I57" s="186"/>
      <c r="J57" s="186"/>
      <c r="K57" s="186">
        <f t="shared" si="57"/>
        <v>3</v>
      </c>
      <c r="L57" s="186">
        <f t="shared" si="58"/>
        <v>225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162" t="str">
        <f t="shared" si="59"/>
        <v> </v>
      </c>
      <c r="X57" s="162" t="str">
        <f t="shared" si="60"/>
        <v> </v>
      </c>
      <c r="Y57" s="162">
        <f t="shared" si="61"/>
        <v>3</v>
      </c>
      <c r="Z57" s="162" t="str">
        <f t="shared" si="62"/>
        <v> </v>
      </c>
      <c r="AA57" s="162" t="str">
        <f t="shared" si="63"/>
        <v> </v>
      </c>
    </row>
    <row r="58" ht="12.75" customHeight="1">
      <c r="A58" s="157"/>
      <c r="B58" s="163" t="s">
        <v>68</v>
      </c>
      <c r="C58" s="159">
        <v>0.85</v>
      </c>
      <c r="D58" s="160">
        <v>2.0</v>
      </c>
      <c r="E58" s="160">
        <v>3.0</v>
      </c>
      <c r="F58" s="161">
        <f>'1RM'!$C$6*C58</f>
        <v>85</v>
      </c>
      <c r="G58" s="186"/>
      <c r="H58" s="186"/>
      <c r="I58" s="186"/>
      <c r="J58" s="186"/>
      <c r="K58" s="186">
        <f t="shared" si="57"/>
        <v>6</v>
      </c>
      <c r="L58" s="186">
        <f t="shared" si="58"/>
        <v>510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162" t="str">
        <f t="shared" si="59"/>
        <v> </v>
      </c>
      <c r="X58" s="162" t="str">
        <f t="shared" si="60"/>
        <v> </v>
      </c>
      <c r="Y58" s="162" t="str">
        <f t="shared" si="61"/>
        <v> </v>
      </c>
      <c r="Z58" s="162">
        <f t="shared" si="62"/>
        <v>6</v>
      </c>
      <c r="AA58" s="162" t="str">
        <f t="shared" si="63"/>
        <v> </v>
      </c>
    </row>
    <row r="59" ht="12.75" customHeight="1">
      <c r="A59" s="152">
        <v>3.0</v>
      </c>
      <c r="B59" s="153" t="s">
        <v>74</v>
      </c>
      <c r="C59" s="154"/>
      <c r="D59" s="155">
        <v>6.0</v>
      </c>
      <c r="E59" s="155">
        <v>4.0</v>
      </c>
      <c r="F59" s="156"/>
      <c r="G59" s="186"/>
      <c r="H59" s="186"/>
      <c r="I59" s="186"/>
      <c r="J59" s="186"/>
      <c r="K59" s="186"/>
      <c r="L59" s="18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2.75" customHeight="1">
      <c r="A60" s="152">
        <v>4.0</v>
      </c>
      <c r="B60" s="153" t="s">
        <v>60</v>
      </c>
      <c r="C60" s="154"/>
      <c r="D60" s="155">
        <v>6.0</v>
      </c>
      <c r="E60" s="155">
        <v>4.0</v>
      </c>
      <c r="F60" s="156"/>
      <c r="G60" s="186"/>
      <c r="H60" s="186"/>
      <c r="I60" s="186"/>
      <c r="J60" s="186"/>
      <c r="K60" s="186"/>
      <c r="L60" s="18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2.75" customHeight="1">
      <c r="A61" s="164">
        <v>5.0</v>
      </c>
      <c r="B61" s="165" t="s">
        <v>71</v>
      </c>
      <c r="C61" s="166"/>
      <c r="D61" s="167">
        <v>8.0</v>
      </c>
      <c r="E61" s="167">
        <v>4.0</v>
      </c>
      <c r="F61" s="168"/>
      <c r="G61" s="186"/>
      <c r="H61" s="186"/>
      <c r="I61" s="186"/>
      <c r="J61" s="186"/>
      <c r="K61" s="186"/>
      <c r="L61" s="18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2.75" customHeight="1">
      <c r="A62" s="169"/>
      <c r="B62" s="170"/>
      <c r="C62" s="171"/>
      <c r="D62" s="195"/>
      <c r="E62" s="180"/>
      <c r="F62" s="172"/>
      <c r="G62" s="180">
        <f t="shared" ref="G62:AA62" si="64">SUM(G7:G61)</f>
        <v>40</v>
      </c>
      <c r="H62" s="180">
        <f t="shared" si="64"/>
        <v>2775</v>
      </c>
      <c r="I62" s="180">
        <f t="shared" si="64"/>
        <v>85</v>
      </c>
      <c r="J62" s="195">
        <f t="shared" si="64"/>
        <v>5960</v>
      </c>
      <c r="K62" s="180">
        <f t="shared" si="64"/>
        <v>38</v>
      </c>
      <c r="L62" s="180">
        <f t="shared" si="64"/>
        <v>2685</v>
      </c>
      <c r="M62" s="180">
        <f t="shared" si="64"/>
        <v>8</v>
      </c>
      <c r="N62" s="180">
        <f t="shared" si="64"/>
        <v>7</v>
      </c>
      <c r="O62" s="180">
        <f t="shared" si="64"/>
        <v>6</v>
      </c>
      <c r="P62" s="180">
        <f t="shared" si="64"/>
        <v>19</v>
      </c>
      <c r="Q62" s="180">
        <f t="shared" si="64"/>
        <v>0</v>
      </c>
      <c r="R62" s="172">
        <f t="shared" si="64"/>
        <v>18</v>
      </c>
      <c r="S62" s="172">
        <f t="shared" si="64"/>
        <v>15</v>
      </c>
      <c r="T62" s="172">
        <f t="shared" si="64"/>
        <v>12</v>
      </c>
      <c r="U62" s="172">
        <f t="shared" si="64"/>
        <v>40</v>
      </c>
      <c r="V62" s="172">
        <f t="shared" si="64"/>
        <v>0</v>
      </c>
      <c r="W62" s="180">
        <f t="shared" si="64"/>
        <v>6</v>
      </c>
      <c r="X62" s="180">
        <f t="shared" si="64"/>
        <v>9</v>
      </c>
      <c r="Y62" s="180">
        <f t="shared" si="64"/>
        <v>10</v>
      </c>
      <c r="Z62" s="180">
        <f t="shared" si="64"/>
        <v>10</v>
      </c>
      <c r="AA62" s="180">
        <f t="shared" si="64"/>
        <v>3</v>
      </c>
    </row>
    <row r="63" ht="12.75" customHeight="1">
      <c r="A63" s="33" t="s">
        <v>22</v>
      </c>
      <c r="B63" s="33"/>
      <c r="C63" s="133"/>
      <c r="D63" s="192"/>
      <c r="E63" s="186"/>
      <c r="F63" s="42"/>
      <c r="G63" s="186"/>
      <c r="H63" s="186"/>
      <c r="I63" s="186"/>
      <c r="J63" s="186"/>
      <c r="K63" s="186"/>
      <c r="L63" s="18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2.75" customHeight="1">
      <c r="A64" s="33" t="s">
        <v>50</v>
      </c>
      <c r="B64" s="134"/>
      <c r="C64" s="135" t="s">
        <v>20</v>
      </c>
      <c r="D64" s="193" t="s">
        <v>51</v>
      </c>
      <c r="E64" s="36" t="s">
        <v>52</v>
      </c>
      <c r="F64" s="45" t="s">
        <v>53</v>
      </c>
      <c r="G64" s="186"/>
      <c r="H64" s="186"/>
      <c r="I64" s="186"/>
      <c r="J64" s="186"/>
      <c r="K64" s="186"/>
      <c r="L64" s="18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2.75" customHeight="1">
      <c r="A65" s="145">
        <v>1.0</v>
      </c>
      <c r="B65" s="146" t="s">
        <v>4</v>
      </c>
      <c r="C65" s="147">
        <v>0.5</v>
      </c>
      <c r="D65" s="148">
        <v>3.0</v>
      </c>
      <c r="E65" s="148">
        <v>1.0</v>
      </c>
      <c r="F65" s="149">
        <f>'1RM'!$C$4*C65</f>
        <v>50</v>
      </c>
      <c r="G65" s="186">
        <f t="shared" ref="G65:G68" si="65">D65*E65</f>
        <v>3</v>
      </c>
      <c r="H65" s="192">
        <f t="shared" ref="H65:H68" si="66">G65*F65</f>
        <v>150</v>
      </c>
      <c r="I65" s="186"/>
      <c r="J65" s="186"/>
      <c r="K65" s="186"/>
      <c r="L65" s="186"/>
      <c r="M65" s="150">
        <f t="shared" ref="M65:M68" si="67">IF(ISNUMBER(SEARCH("Sentadilla",$B65)),IF($C65&gt;=0.5,IF($C65&lt;0.6,$D65*$E65," ")," ")," ")</f>
        <v>3</v>
      </c>
      <c r="N65" s="150" t="str">
        <f t="shared" ref="N65:N68" si="68">IF(ISNUMBER(SEARCH("Sentadilla",$B65)),IF($C65&gt;=0.6,IF($C65&lt;0.7,$D65*$E65," ")," ")," ")</f>
        <v> </v>
      </c>
      <c r="O65" s="150" t="str">
        <f t="shared" ref="O65:O68" si="69">IF(ISNUMBER(SEARCH("Sentadilla",$B65)),IF($C65&gt;=0.7,IF($C65&lt;0.8,$D65*$E65," ")," ")," ")</f>
        <v> </v>
      </c>
      <c r="P65" s="150" t="str">
        <f t="shared" ref="P65:P68" si="70">IF(ISNUMBER(SEARCH("Sentadilla",$B65)),IF($C65&gt;=0.8,IF($C65&lt;0.9,$D65*$E65," ")," ")," ")</f>
        <v> </v>
      </c>
      <c r="Q65" s="150" t="str">
        <f t="shared" ref="Q65:Q68" si="71">IF(ISNUMBER(SEARCH("Sentadilla",$B65)),IF($C65&gt;=0.9,$D65*$E65," ")," ")</f>
        <v> </v>
      </c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2.75" customHeight="1">
      <c r="A66" s="145"/>
      <c r="B66" s="151" t="s">
        <v>4</v>
      </c>
      <c r="C66" s="147">
        <v>0.6</v>
      </c>
      <c r="D66" s="148">
        <v>3.0</v>
      </c>
      <c r="E66" s="148">
        <v>1.0</v>
      </c>
      <c r="F66" s="149">
        <f>'1RM'!$C$4*C66</f>
        <v>60</v>
      </c>
      <c r="G66" s="186">
        <f t="shared" si="65"/>
        <v>3</v>
      </c>
      <c r="H66" s="192">
        <f t="shared" si="66"/>
        <v>180</v>
      </c>
      <c r="I66" s="186"/>
      <c r="J66" s="186"/>
      <c r="K66" s="186"/>
      <c r="L66" s="186"/>
      <c r="M66" s="150" t="str">
        <f t="shared" si="67"/>
        <v> </v>
      </c>
      <c r="N66" s="150">
        <f t="shared" si="68"/>
        <v>3</v>
      </c>
      <c r="O66" s="150" t="str">
        <f t="shared" si="69"/>
        <v> </v>
      </c>
      <c r="P66" s="150" t="str">
        <f t="shared" si="70"/>
        <v> </v>
      </c>
      <c r="Q66" s="150" t="str">
        <f t="shared" si="71"/>
        <v> </v>
      </c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2.75" customHeight="1">
      <c r="A67" s="145"/>
      <c r="B67" s="151" t="s">
        <v>4</v>
      </c>
      <c r="C67" s="147">
        <v>0.7</v>
      </c>
      <c r="D67" s="148">
        <v>3.0</v>
      </c>
      <c r="E67" s="148">
        <v>1.0</v>
      </c>
      <c r="F67" s="149">
        <f>'1RM'!$C$4*C67</f>
        <v>70</v>
      </c>
      <c r="G67" s="186">
        <f t="shared" si="65"/>
        <v>3</v>
      </c>
      <c r="H67" s="192">
        <f t="shared" si="66"/>
        <v>210</v>
      </c>
      <c r="I67" s="186"/>
      <c r="J67" s="186"/>
      <c r="K67" s="186"/>
      <c r="L67" s="186"/>
      <c r="M67" s="150" t="str">
        <f t="shared" si="67"/>
        <v> </v>
      </c>
      <c r="N67" s="150" t="str">
        <f t="shared" si="68"/>
        <v> </v>
      </c>
      <c r="O67" s="150">
        <f t="shared" si="69"/>
        <v>3</v>
      </c>
      <c r="P67" s="150" t="str">
        <f t="shared" si="70"/>
        <v> </v>
      </c>
      <c r="Q67" s="150" t="str">
        <f t="shared" si="71"/>
        <v> </v>
      </c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2.75" customHeight="1">
      <c r="A68" s="145"/>
      <c r="B68" s="151" t="s">
        <v>4</v>
      </c>
      <c r="C68" s="147">
        <v>0.75</v>
      </c>
      <c r="D68" s="148">
        <v>2.0</v>
      </c>
      <c r="E68" s="148">
        <v>3.0</v>
      </c>
      <c r="F68" s="149">
        <f>'1RM'!$C$4*C68</f>
        <v>75</v>
      </c>
      <c r="G68" s="186">
        <f t="shared" si="65"/>
        <v>6</v>
      </c>
      <c r="H68" s="192">
        <f t="shared" si="66"/>
        <v>450</v>
      </c>
      <c r="I68" s="186"/>
      <c r="J68" s="186"/>
      <c r="K68" s="186"/>
      <c r="L68" s="186"/>
      <c r="M68" s="150" t="str">
        <f t="shared" si="67"/>
        <v> </v>
      </c>
      <c r="N68" s="150" t="str">
        <f t="shared" si="68"/>
        <v> </v>
      </c>
      <c r="O68" s="150">
        <f t="shared" si="69"/>
        <v>6</v>
      </c>
      <c r="P68" s="150" t="str">
        <f t="shared" si="70"/>
        <v> </v>
      </c>
      <c r="Q68" s="150" t="str">
        <f t="shared" si="71"/>
        <v> </v>
      </c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2.75" customHeight="1">
      <c r="A69" s="136">
        <v>2.0</v>
      </c>
      <c r="B69" s="137" t="s">
        <v>5</v>
      </c>
      <c r="C69" s="138">
        <v>0.5</v>
      </c>
      <c r="D69" s="139">
        <v>3.0</v>
      </c>
      <c r="E69" s="139">
        <v>1.0</v>
      </c>
      <c r="F69" s="140">
        <f>'1RM'!$C$5*C69</f>
        <v>50</v>
      </c>
      <c r="G69" s="186"/>
      <c r="H69" s="186"/>
      <c r="I69" s="186">
        <f t="shared" ref="I69:I72" si="72">D69*E69</f>
        <v>3</v>
      </c>
      <c r="J69" s="192">
        <f t="shared" ref="J69:J72" si="73">I69*F69</f>
        <v>150</v>
      </c>
      <c r="K69" s="186"/>
      <c r="L69" s="186"/>
      <c r="M69" s="5"/>
      <c r="N69" s="5"/>
      <c r="O69" s="5"/>
      <c r="P69" s="5"/>
      <c r="Q69" s="5"/>
      <c r="R69" s="143">
        <f t="shared" ref="R69:R72" si="74">IF(ISNUMBER(SEARCH("Press de banca",$B69)),IF($C69&gt;=0.5,IF($C69&lt;0.6,$D69*$E69," ")," ")," ")</f>
        <v>3</v>
      </c>
      <c r="S69" s="143" t="str">
        <f t="shared" ref="S69:S72" si="75">IF(ISNUMBER(SEARCH("Press de banca",$B69)),IF($C69&gt;=0.6,IF($C69&lt;0.7,$D69*$E69," ")," ")," ")</f>
        <v> </v>
      </c>
      <c r="T69" s="143" t="str">
        <f t="shared" ref="T69:T72" si="76">IF(ISNUMBER(SEARCH("Press de banca",$B69)),IF($C69&gt;=0.7,IF($C69&lt;0.8,$D69*$E69," ")," ")," ")</f>
        <v> </v>
      </c>
      <c r="U69" s="143" t="str">
        <f t="shared" ref="U69:U72" si="77">IF(ISNUMBER(SEARCH("Press de banca",$B69)),IF($C69&gt;=0.8,IF($C69&lt;0.9,$D69*$E69," ")," ")," ")</f>
        <v> </v>
      </c>
      <c r="V69" s="143" t="str">
        <f t="shared" ref="V69:V72" si="78">IF(ISNUMBER(SEARCH("Press de banca",$B69)),IF($C69&gt;=0.9,$D69*$E69," ")," ")</f>
        <v> </v>
      </c>
      <c r="W69" s="5"/>
      <c r="X69" s="5"/>
      <c r="Y69" s="5"/>
      <c r="Z69" s="5"/>
      <c r="AA69" s="5"/>
    </row>
    <row r="70" ht="12.75" customHeight="1">
      <c r="A70" s="136"/>
      <c r="B70" s="144" t="s">
        <v>5</v>
      </c>
      <c r="C70" s="138">
        <v>0.6</v>
      </c>
      <c r="D70" s="139">
        <v>3.0</v>
      </c>
      <c r="E70" s="139">
        <v>1.0</v>
      </c>
      <c r="F70" s="140">
        <f>'1RM'!$C$5*C70</f>
        <v>60</v>
      </c>
      <c r="G70" s="186"/>
      <c r="H70" s="186"/>
      <c r="I70" s="186">
        <f t="shared" si="72"/>
        <v>3</v>
      </c>
      <c r="J70" s="192">
        <f t="shared" si="73"/>
        <v>180</v>
      </c>
      <c r="K70" s="186"/>
      <c r="L70" s="186"/>
      <c r="M70" s="5"/>
      <c r="N70" s="5"/>
      <c r="O70" s="5"/>
      <c r="P70" s="5"/>
      <c r="Q70" s="5"/>
      <c r="R70" s="143" t="str">
        <f t="shared" si="74"/>
        <v> </v>
      </c>
      <c r="S70" s="143">
        <f t="shared" si="75"/>
        <v>3</v>
      </c>
      <c r="T70" s="143" t="str">
        <f t="shared" si="76"/>
        <v> </v>
      </c>
      <c r="U70" s="143" t="str">
        <f t="shared" si="77"/>
        <v> </v>
      </c>
      <c r="V70" s="143" t="str">
        <f t="shared" si="78"/>
        <v> </v>
      </c>
      <c r="W70" s="5"/>
      <c r="X70" s="5"/>
      <c r="Y70" s="5"/>
      <c r="Z70" s="5"/>
      <c r="AA70" s="5"/>
    </row>
    <row r="71" ht="12.75" customHeight="1">
      <c r="A71" s="136"/>
      <c r="B71" s="144" t="s">
        <v>5</v>
      </c>
      <c r="C71" s="138">
        <v>0.7</v>
      </c>
      <c r="D71" s="139">
        <v>3.0</v>
      </c>
      <c r="E71" s="139">
        <v>1.0</v>
      </c>
      <c r="F71" s="140">
        <f>'1RM'!$C$5*C71</f>
        <v>70</v>
      </c>
      <c r="G71" s="186"/>
      <c r="H71" s="186"/>
      <c r="I71" s="186">
        <f t="shared" si="72"/>
        <v>3</v>
      </c>
      <c r="J71" s="192">
        <f t="shared" si="73"/>
        <v>210</v>
      </c>
      <c r="K71" s="186"/>
      <c r="L71" s="186"/>
      <c r="M71" s="5"/>
      <c r="N71" s="5"/>
      <c r="O71" s="5"/>
      <c r="P71" s="5"/>
      <c r="Q71" s="5"/>
      <c r="R71" s="143" t="str">
        <f t="shared" si="74"/>
        <v> </v>
      </c>
      <c r="S71" s="143" t="str">
        <f t="shared" si="75"/>
        <v> </v>
      </c>
      <c r="T71" s="143">
        <f t="shared" si="76"/>
        <v>3</v>
      </c>
      <c r="U71" s="143" t="str">
        <f t="shared" si="77"/>
        <v> </v>
      </c>
      <c r="V71" s="143" t="str">
        <f t="shared" si="78"/>
        <v> </v>
      </c>
      <c r="W71" s="5"/>
      <c r="X71" s="5"/>
      <c r="Y71" s="5"/>
      <c r="Z71" s="5"/>
      <c r="AA71" s="5"/>
    </row>
    <row r="72" ht="12.75" customHeight="1">
      <c r="A72" s="136"/>
      <c r="B72" s="144" t="s">
        <v>5</v>
      </c>
      <c r="C72" s="138">
        <v>0.75</v>
      </c>
      <c r="D72" s="139">
        <v>2.0</v>
      </c>
      <c r="E72" s="139">
        <v>3.0</v>
      </c>
      <c r="F72" s="140">
        <f>'1RM'!$C$5*C72</f>
        <v>75</v>
      </c>
      <c r="G72" s="186"/>
      <c r="H72" s="186"/>
      <c r="I72" s="186">
        <f t="shared" si="72"/>
        <v>6</v>
      </c>
      <c r="J72" s="192">
        <f t="shared" si="73"/>
        <v>450</v>
      </c>
      <c r="K72" s="186"/>
      <c r="L72" s="186"/>
      <c r="M72" s="5"/>
      <c r="N72" s="5"/>
      <c r="O72" s="5"/>
      <c r="P72" s="5"/>
      <c r="Q72" s="5"/>
      <c r="R72" s="143" t="str">
        <f t="shared" si="74"/>
        <v> </v>
      </c>
      <c r="S72" s="143" t="str">
        <f t="shared" si="75"/>
        <v> </v>
      </c>
      <c r="T72" s="143">
        <f t="shared" si="76"/>
        <v>6</v>
      </c>
      <c r="U72" s="143" t="str">
        <f t="shared" si="77"/>
        <v> </v>
      </c>
      <c r="V72" s="143" t="str">
        <f t="shared" si="78"/>
        <v> </v>
      </c>
      <c r="W72" s="5"/>
      <c r="X72" s="5"/>
      <c r="Y72" s="5"/>
      <c r="Z72" s="5"/>
      <c r="AA72" s="5"/>
    </row>
    <row r="73" ht="12.75" customHeight="1">
      <c r="A73" s="152">
        <v>3.0</v>
      </c>
      <c r="B73" s="153" t="s">
        <v>55</v>
      </c>
      <c r="C73" s="154"/>
      <c r="D73" s="155">
        <v>6.0</v>
      </c>
      <c r="E73" s="155">
        <v>4.0</v>
      </c>
      <c r="F73" s="156"/>
      <c r="G73" s="186"/>
      <c r="H73" s="186"/>
      <c r="I73" s="186"/>
      <c r="J73" s="186"/>
      <c r="K73" s="186"/>
      <c r="L73" s="18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2.75" customHeight="1">
      <c r="A74" s="164">
        <v>4.0</v>
      </c>
      <c r="B74" s="165" t="s">
        <v>65</v>
      </c>
      <c r="C74" s="166"/>
      <c r="D74" s="167">
        <v>8.0</v>
      </c>
      <c r="E74" s="167">
        <v>3.0</v>
      </c>
      <c r="F74" s="168"/>
      <c r="G74" s="186"/>
      <c r="H74" s="192"/>
      <c r="I74" s="186"/>
      <c r="J74" s="186"/>
      <c r="K74" s="186"/>
      <c r="L74" s="18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2.75" customHeight="1">
      <c r="A75" s="33"/>
      <c r="B75" s="134"/>
      <c r="C75" s="133"/>
      <c r="D75" s="192"/>
      <c r="E75" s="186"/>
      <c r="F75" s="42"/>
      <c r="G75" s="186"/>
      <c r="H75" s="186"/>
      <c r="I75" s="186"/>
      <c r="J75" s="186"/>
      <c r="K75" s="186"/>
      <c r="L75" s="18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2.75" customHeight="1">
      <c r="A76" s="33" t="s">
        <v>57</v>
      </c>
      <c r="B76" s="134"/>
      <c r="C76" s="135" t="s">
        <v>20</v>
      </c>
      <c r="D76" s="193" t="s">
        <v>51</v>
      </c>
      <c r="E76" s="36" t="s">
        <v>52</v>
      </c>
      <c r="F76" s="45" t="s">
        <v>53</v>
      </c>
      <c r="G76" s="186"/>
      <c r="H76" s="186"/>
      <c r="I76" s="186"/>
      <c r="J76" s="186"/>
      <c r="K76" s="186"/>
      <c r="L76" s="18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2.75" customHeight="1">
      <c r="A77" s="136">
        <v>1.0</v>
      </c>
      <c r="B77" s="137" t="s">
        <v>5</v>
      </c>
      <c r="C77" s="138">
        <v>0.5</v>
      </c>
      <c r="D77" s="139">
        <v>3.0</v>
      </c>
      <c r="E77" s="139">
        <v>1.0</v>
      </c>
      <c r="F77" s="140">
        <f>'1RM'!$C$5*C77</f>
        <v>50</v>
      </c>
      <c r="G77" s="186"/>
      <c r="H77" s="186"/>
      <c r="I77" s="186">
        <f t="shared" ref="I77:I82" si="79">D77*E77</f>
        <v>3</v>
      </c>
      <c r="J77" s="192">
        <f t="shared" ref="J77:J82" si="80">I77*F77</f>
        <v>150</v>
      </c>
      <c r="K77" s="186"/>
      <c r="L77" s="186"/>
      <c r="M77" s="5"/>
      <c r="N77" s="5"/>
      <c r="O77" s="5"/>
      <c r="P77" s="5"/>
      <c r="Q77" s="5"/>
      <c r="R77" s="143">
        <f t="shared" ref="R77:R83" si="81">IF(ISNUMBER(SEARCH("Press de banca",$B77)),IF($C77&gt;=0.5,IF($C77&lt;0.6,$D77*$E77," ")," ")," ")</f>
        <v>3</v>
      </c>
      <c r="S77" s="143" t="str">
        <f t="shared" ref="S77:S83" si="82">IF(ISNUMBER(SEARCH("Press de banca",$B77)),IF($C77&gt;=0.6,IF($C77&lt;0.7,$D77*$E77," ")," ")," ")</f>
        <v> </v>
      </c>
      <c r="T77" s="143" t="str">
        <f t="shared" ref="T77:T83" si="83">IF(ISNUMBER(SEARCH("Press de banca",$B77)),IF($C77&gt;=0.7,IF($C77&lt;0.8,$D77*$E77," ")," ")," ")</f>
        <v> </v>
      </c>
      <c r="U77" s="143" t="str">
        <f t="shared" ref="U77:U83" si="84">IF(ISNUMBER(SEARCH("Press de banca",$B77)),IF($C77&gt;=0.8,IF($C77&lt;0.9,$D77*$E77," ")," ")," ")</f>
        <v> </v>
      </c>
      <c r="V77" s="143" t="str">
        <f t="shared" ref="V77:V82" si="85">IF(ISNUMBER(SEARCH("Press de banca",$B77)),IF($C77&gt;=0.9,$D77*$E77," ")," ")</f>
        <v> </v>
      </c>
      <c r="W77" s="5"/>
      <c r="X77" s="5"/>
      <c r="Y77" s="5"/>
      <c r="Z77" s="5"/>
      <c r="AA77" s="5"/>
    </row>
    <row r="78" ht="12.75" customHeight="1">
      <c r="A78" s="136"/>
      <c r="B78" s="144" t="s">
        <v>5</v>
      </c>
      <c r="C78" s="138">
        <v>0.6</v>
      </c>
      <c r="D78" s="139">
        <v>3.0</v>
      </c>
      <c r="E78" s="139">
        <v>1.0</v>
      </c>
      <c r="F78" s="140">
        <f>'1RM'!$C$5*C78</f>
        <v>60</v>
      </c>
      <c r="G78" s="186"/>
      <c r="H78" s="186"/>
      <c r="I78" s="186">
        <f t="shared" si="79"/>
        <v>3</v>
      </c>
      <c r="J78" s="192">
        <f t="shared" si="80"/>
        <v>180</v>
      </c>
      <c r="K78" s="186"/>
      <c r="L78" s="186"/>
      <c r="M78" s="5"/>
      <c r="N78" s="5"/>
      <c r="O78" s="5"/>
      <c r="P78" s="5"/>
      <c r="Q78" s="5"/>
      <c r="R78" s="143" t="str">
        <f t="shared" si="81"/>
        <v> </v>
      </c>
      <c r="S78" s="143">
        <f t="shared" si="82"/>
        <v>3</v>
      </c>
      <c r="T78" s="143" t="str">
        <f t="shared" si="83"/>
        <v> </v>
      </c>
      <c r="U78" s="143" t="str">
        <f t="shared" si="84"/>
        <v> </v>
      </c>
      <c r="V78" s="143" t="str">
        <f t="shared" si="85"/>
        <v> </v>
      </c>
      <c r="W78" s="5"/>
      <c r="X78" s="5"/>
      <c r="Y78" s="5"/>
      <c r="Z78" s="5"/>
      <c r="AA78" s="5"/>
    </row>
    <row r="79" ht="12.75" customHeight="1">
      <c r="A79" s="136"/>
      <c r="B79" s="144" t="s">
        <v>5</v>
      </c>
      <c r="C79" s="138">
        <v>0.7</v>
      </c>
      <c r="D79" s="139">
        <v>3.0</v>
      </c>
      <c r="E79" s="139">
        <v>1.0</v>
      </c>
      <c r="F79" s="140">
        <f>'1RM'!$C$5*C79</f>
        <v>70</v>
      </c>
      <c r="G79" s="186"/>
      <c r="H79" s="186"/>
      <c r="I79" s="186">
        <f t="shared" si="79"/>
        <v>3</v>
      </c>
      <c r="J79" s="192">
        <f t="shared" si="80"/>
        <v>210</v>
      </c>
      <c r="K79" s="186"/>
      <c r="L79" s="186"/>
      <c r="M79" s="5"/>
      <c r="N79" s="5"/>
      <c r="O79" s="5"/>
      <c r="P79" s="5"/>
      <c r="Q79" s="5"/>
      <c r="R79" s="143" t="str">
        <f t="shared" si="81"/>
        <v> </v>
      </c>
      <c r="S79" s="143" t="str">
        <f t="shared" si="82"/>
        <v> </v>
      </c>
      <c r="T79" s="143">
        <f t="shared" si="83"/>
        <v>3</v>
      </c>
      <c r="U79" s="143" t="str">
        <f t="shared" si="84"/>
        <v> </v>
      </c>
      <c r="V79" s="143" t="str">
        <f t="shared" si="85"/>
        <v> </v>
      </c>
      <c r="W79" s="5"/>
      <c r="X79" s="5"/>
      <c r="Y79" s="5"/>
      <c r="Z79" s="5"/>
      <c r="AA79" s="5"/>
    </row>
    <row r="80" ht="12.75" customHeight="1">
      <c r="A80" s="136"/>
      <c r="B80" s="144" t="s">
        <v>5</v>
      </c>
      <c r="C80" s="138">
        <v>0.8</v>
      </c>
      <c r="D80" s="139">
        <v>2.0</v>
      </c>
      <c r="E80" s="139">
        <v>1.0</v>
      </c>
      <c r="F80" s="140">
        <f>'1RM'!$C$5*C80</f>
        <v>80</v>
      </c>
      <c r="G80" s="186"/>
      <c r="H80" s="186"/>
      <c r="I80" s="186">
        <f t="shared" si="79"/>
        <v>2</v>
      </c>
      <c r="J80" s="192">
        <f t="shared" si="80"/>
        <v>160</v>
      </c>
      <c r="K80" s="186"/>
      <c r="L80" s="186"/>
      <c r="M80" s="5"/>
      <c r="N80" s="5"/>
      <c r="O80" s="5"/>
      <c r="P80" s="5"/>
      <c r="Q80" s="5"/>
      <c r="R80" s="143" t="str">
        <f t="shared" si="81"/>
        <v> </v>
      </c>
      <c r="S80" s="143" t="str">
        <f t="shared" si="82"/>
        <v> </v>
      </c>
      <c r="T80" s="143" t="str">
        <f t="shared" si="83"/>
        <v> </v>
      </c>
      <c r="U80" s="143">
        <f t="shared" si="84"/>
        <v>2</v>
      </c>
      <c r="V80" s="143" t="str">
        <f t="shared" si="85"/>
        <v> </v>
      </c>
      <c r="W80" s="5"/>
      <c r="X80" s="5"/>
      <c r="Y80" s="5"/>
      <c r="Z80" s="5"/>
      <c r="AA80" s="5"/>
    </row>
    <row r="81" ht="12.75" customHeight="1">
      <c r="A81" s="136"/>
      <c r="B81" s="144" t="s">
        <v>5</v>
      </c>
      <c r="C81" s="138">
        <v>0.9</v>
      </c>
      <c r="D81" s="139">
        <v>1.0</v>
      </c>
      <c r="E81" s="139">
        <v>1.0</v>
      </c>
      <c r="F81" s="140">
        <f>'1RM'!$C$5*C81</f>
        <v>90</v>
      </c>
      <c r="G81" s="186"/>
      <c r="H81" s="186"/>
      <c r="I81" s="186">
        <f t="shared" si="79"/>
        <v>1</v>
      </c>
      <c r="J81" s="192">
        <f t="shared" si="80"/>
        <v>90</v>
      </c>
      <c r="K81" s="186"/>
      <c r="L81" s="186"/>
      <c r="M81" s="5"/>
      <c r="N81" s="5"/>
      <c r="O81" s="5"/>
      <c r="P81" s="5"/>
      <c r="Q81" s="5"/>
      <c r="R81" s="143" t="str">
        <f t="shared" si="81"/>
        <v> </v>
      </c>
      <c r="S81" s="143" t="str">
        <f t="shared" si="82"/>
        <v> </v>
      </c>
      <c r="T81" s="143" t="str">
        <f t="shared" si="83"/>
        <v> </v>
      </c>
      <c r="U81" s="143" t="str">
        <f t="shared" si="84"/>
        <v> </v>
      </c>
      <c r="V81" s="143">
        <f t="shared" si="85"/>
        <v>1</v>
      </c>
      <c r="W81" s="5"/>
      <c r="X81" s="5"/>
      <c r="Y81" s="5"/>
      <c r="Z81" s="5"/>
      <c r="AA81" s="5"/>
    </row>
    <row r="82" ht="12.75" customHeight="1">
      <c r="A82" s="136"/>
      <c r="B82" s="144" t="s">
        <v>5</v>
      </c>
      <c r="C82" s="138">
        <v>0.95</v>
      </c>
      <c r="D82" s="139">
        <v>1.0</v>
      </c>
      <c r="E82" s="139">
        <v>1.0</v>
      </c>
      <c r="F82" s="140">
        <f>'1RM'!$C$5*C82</f>
        <v>95</v>
      </c>
      <c r="G82" s="186"/>
      <c r="H82" s="186"/>
      <c r="I82" s="186">
        <f t="shared" si="79"/>
        <v>1</v>
      </c>
      <c r="J82" s="192">
        <f t="shared" si="80"/>
        <v>95</v>
      </c>
      <c r="K82" s="186"/>
      <c r="L82" s="186"/>
      <c r="M82" s="5"/>
      <c r="N82" s="5"/>
      <c r="O82" s="5"/>
      <c r="P82" s="5"/>
      <c r="Q82" s="5"/>
      <c r="R82" s="143" t="str">
        <f t="shared" si="81"/>
        <v> </v>
      </c>
      <c r="S82" s="143" t="str">
        <f t="shared" si="82"/>
        <v> </v>
      </c>
      <c r="T82" s="143" t="str">
        <f t="shared" si="83"/>
        <v> </v>
      </c>
      <c r="U82" s="143" t="str">
        <f t="shared" si="84"/>
        <v> </v>
      </c>
      <c r="V82" s="143">
        <f t="shared" si="85"/>
        <v>1</v>
      </c>
      <c r="W82" s="5"/>
      <c r="X82" s="5"/>
      <c r="Y82" s="5"/>
      <c r="Z82" s="5"/>
      <c r="AA82" s="5"/>
    </row>
    <row r="83" ht="12.75" customHeight="1">
      <c r="A83" s="136"/>
      <c r="B83" s="144" t="s">
        <v>5</v>
      </c>
      <c r="C83" s="138">
        <v>1.0</v>
      </c>
      <c r="D83" s="139">
        <v>1.0</v>
      </c>
      <c r="E83" s="196" t="s">
        <v>112</v>
      </c>
      <c r="F83" s="140">
        <f>'1RM'!$C$5*C83</f>
        <v>100</v>
      </c>
      <c r="G83" s="186"/>
      <c r="H83" s="186"/>
      <c r="I83" s="186">
        <f>2</f>
        <v>2</v>
      </c>
      <c r="J83" s="186">
        <f>2*0.95*'1RM'!C5</f>
        <v>190</v>
      </c>
      <c r="K83" s="186"/>
      <c r="L83" s="186"/>
      <c r="M83" s="5"/>
      <c r="N83" s="5"/>
      <c r="O83" s="5"/>
      <c r="P83" s="5"/>
      <c r="Q83" s="5"/>
      <c r="R83" s="143" t="str">
        <f t="shared" si="81"/>
        <v> </v>
      </c>
      <c r="S83" s="143" t="str">
        <f t="shared" si="82"/>
        <v> </v>
      </c>
      <c r="T83" s="143" t="str">
        <f t="shared" si="83"/>
        <v> </v>
      </c>
      <c r="U83" s="143" t="str">
        <f t="shared" si="84"/>
        <v> </v>
      </c>
      <c r="V83" s="143">
        <v>2.0</v>
      </c>
      <c r="W83" s="5"/>
      <c r="X83" s="5"/>
      <c r="Y83" s="5"/>
      <c r="Z83" s="5"/>
      <c r="AA83" s="5"/>
    </row>
    <row r="84" ht="12.75" customHeight="1">
      <c r="A84" s="157">
        <v>2.0</v>
      </c>
      <c r="B84" s="158" t="s">
        <v>6</v>
      </c>
      <c r="C84" s="159">
        <v>0.5</v>
      </c>
      <c r="D84" s="160">
        <v>3.0</v>
      </c>
      <c r="E84" s="160">
        <v>1.0</v>
      </c>
      <c r="F84" s="161">
        <f>'1RM'!$C$6*C84</f>
        <v>50</v>
      </c>
      <c r="G84" s="186"/>
      <c r="H84" s="186"/>
      <c r="I84" s="186"/>
      <c r="J84" s="186"/>
      <c r="K84" s="186">
        <f t="shared" ref="K84:K89" si="86">D84*E84</f>
        <v>3</v>
      </c>
      <c r="L84" s="186">
        <f t="shared" ref="L84:L89" si="87">K84*F84</f>
        <v>150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162">
        <f t="shared" ref="W84:W90" si="88">IF(ISNUMBER(SEARCH("Peso muerto",$B84)),IF($C84&gt;=0.5,IF($C84&lt;0.6,$D84*$E84," ")," ")," ")</f>
        <v>3</v>
      </c>
      <c r="X84" s="162" t="str">
        <f t="shared" ref="X84:X90" si="89">IF(ISNUMBER(SEARCH("Peso muerto",$B84)),IF($C84&gt;=0.6,IF($C84&lt;0.7,$D84*$E84," ")," ")," ")</f>
        <v> </v>
      </c>
      <c r="Y84" s="162" t="str">
        <f t="shared" ref="Y84:Y90" si="90">IF(ISNUMBER(SEARCH("Peso muerto",$B84)),IF($C84&gt;=0.7,IF($C84&lt;0.8,$D84*$E84," ")," ")," ")</f>
        <v> </v>
      </c>
      <c r="Z84" s="162" t="str">
        <f t="shared" ref="Z84:Z90" si="91">IF(ISNUMBER(SEARCH("Peso muerto",$B84)),IF($C84&gt;=0.8,IF($C84&lt;0.9,$D84*$E84," ")," ")," ")</f>
        <v> </v>
      </c>
      <c r="AA84" s="162" t="str">
        <f t="shared" ref="AA84:AA89" si="92">IF(ISNUMBER(SEARCH("Peso muerto",$B84)),IF($C84&gt;=0.9,$D84*$E84," ")," ")</f>
        <v> </v>
      </c>
    </row>
    <row r="85" ht="12.75" customHeight="1">
      <c r="A85" s="157"/>
      <c r="B85" s="163" t="s">
        <v>6</v>
      </c>
      <c r="C85" s="159">
        <v>0.6</v>
      </c>
      <c r="D85" s="160">
        <v>3.0</v>
      </c>
      <c r="E85" s="160">
        <v>1.0</v>
      </c>
      <c r="F85" s="161">
        <f>'1RM'!$C$6*C85</f>
        <v>60</v>
      </c>
      <c r="G85" s="186"/>
      <c r="H85" s="186"/>
      <c r="I85" s="186"/>
      <c r="J85" s="186"/>
      <c r="K85" s="186">
        <f t="shared" si="86"/>
        <v>3</v>
      </c>
      <c r="L85" s="186">
        <f t="shared" si="87"/>
        <v>180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162" t="str">
        <f t="shared" si="88"/>
        <v> </v>
      </c>
      <c r="X85" s="162">
        <f t="shared" si="89"/>
        <v>3</v>
      </c>
      <c r="Y85" s="162" t="str">
        <f t="shared" si="90"/>
        <v> </v>
      </c>
      <c r="Z85" s="162" t="str">
        <f t="shared" si="91"/>
        <v> </v>
      </c>
      <c r="AA85" s="162" t="str">
        <f t="shared" si="92"/>
        <v> </v>
      </c>
    </row>
    <row r="86" ht="12.75" customHeight="1">
      <c r="A86" s="157"/>
      <c r="B86" s="163" t="s">
        <v>6</v>
      </c>
      <c r="C86" s="159">
        <v>0.7</v>
      </c>
      <c r="D86" s="160">
        <v>2.0</v>
      </c>
      <c r="E86" s="160">
        <v>1.0</v>
      </c>
      <c r="F86" s="161">
        <f>'1RM'!$C$6*C86</f>
        <v>70</v>
      </c>
      <c r="G86" s="186"/>
      <c r="H86" s="186"/>
      <c r="I86" s="186"/>
      <c r="J86" s="186"/>
      <c r="K86" s="186">
        <f t="shared" si="86"/>
        <v>2</v>
      </c>
      <c r="L86" s="186">
        <f t="shared" si="87"/>
        <v>140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162" t="str">
        <f t="shared" si="88"/>
        <v> </v>
      </c>
      <c r="X86" s="162" t="str">
        <f t="shared" si="89"/>
        <v> </v>
      </c>
      <c r="Y86" s="162">
        <f t="shared" si="90"/>
        <v>2</v>
      </c>
      <c r="Z86" s="162" t="str">
        <f t="shared" si="91"/>
        <v> </v>
      </c>
      <c r="AA86" s="162" t="str">
        <f t="shared" si="92"/>
        <v> </v>
      </c>
    </row>
    <row r="87" ht="12.75" customHeight="1">
      <c r="A87" s="157"/>
      <c r="B87" s="163" t="s">
        <v>6</v>
      </c>
      <c r="C87" s="159">
        <v>0.8</v>
      </c>
      <c r="D87" s="160">
        <v>2.0</v>
      </c>
      <c r="E87" s="160">
        <v>1.0</v>
      </c>
      <c r="F87" s="161">
        <f>'1RM'!$C$6*C87</f>
        <v>80</v>
      </c>
      <c r="G87" s="186"/>
      <c r="H87" s="186"/>
      <c r="I87" s="186"/>
      <c r="J87" s="186"/>
      <c r="K87" s="186">
        <f t="shared" si="86"/>
        <v>2</v>
      </c>
      <c r="L87" s="186">
        <f t="shared" si="87"/>
        <v>160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162" t="str">
        <f t="shared" si="88"/>
        <v> </v>
      </c>
      <c r="X87" s="162" t="str">
        <f t="shared" si="89"/>
        <v> </v>
      </c>
      <c r="Y87" s="162" t="str">
        <f t="shared" si="90"/>
        <v> </v>
      </c>
      <c r="Z87" s="162">
        <f t="shared" si="91"/>
        <v>2</v>
      </c>
      <c r="AA87" s="162" t="str">
        <f t="shared" si="92"/>
        <v> </v>
      </c>
    </row>
    <row r="88" ht="12.75" customHeight="1">
      <c r="A88" s="157"/>
      <c r="B88" s="163" t="s">
        <v>6</v>
      </c>
      <c r="C88" s="159">
        <v>0.9</v>
      </c>
      <c r="D88" s="160">
        <v>1.0</v>
      </c>
      <c r="E88" s="160">
        <v>1.0</v>
      </c>
      <c r="F88" s="161">
        <f>'1RM'!$C$6*C88</f>
        <v>90</v>
      </c>
      <c r="G88" s="186"/>
      <c r="H88" s="186"/>
      <c r="I88" s="186"/>
      <c r="J88" s="186"/>
      <c r="K88" s="186">
        <f t="shared" si="86"/>
        <v>1</v>
      </c>
      <c r="L88" s="186">
        <f t="shared" si="87"/>
        <v>90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162" t="str">
        <f t="shared" si="88"/>
        <v> </v>
      </c>
      <c r="X88" s="162" t="str">
        <f t="shared" si="89"/>
        <v> </v>
      </c>
      <c r="Y88" s="162" t="str">
        <f t="shared" si="90"/>
        <v> </v>
      </c>
      <c r="Z88" s="162" t="str">
        <f t="shared" si="91"/>
        <v> </v>
      </c>
      <c r="AA88" s="162">
        <f t="shared" si="92"/>
        <v>1</v>
      </c>
    </row>
    <row r="89" ht="12.75" customHeight="1">
      <c r="A89" s="157"/>
      <c r="B89" s="163" t="s">
        <v>6</v>
      </c>
      <c r="C89" s="159">
        <v>0.95</v>
      </c>
      <c r="D89" s="160">
        <v>1.0</v>
      </c>
      <c r="E89" s="160">
        <v>1.0</v>
      </c>
      <c r="F89" s="161">
        <f>'1RM'!$C$6*C89</f>
        <v>95</v>
      </c>
      <c r="G89" s="186"/>
      <c r="H89" s="186"/>
      <c r="I89" s="186"/>
      <c r="J89" s="186"/>
      <c r="K89" s="186">
        <f t="shared" si="86"/>
        <v>1</v>
      </c>
      <c r="L89" s="186">
        <f t="shared" si="87"/>
        <v>95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162" t="str">
        <f t="shared" si="88"/>
        <v> </v>
      </c>
      <c r="X89" s="162" t="str">
        <f t="shared" si="89"/>
        <v> </v>
      </c>
      <c r="Y89" s="162" t="str">
        <f t="shared" si="90"/>
        <v> </v>
      </c>
      <c r="Z89" s="162" t="str">
        <f t="shared" si="91"/>
        <v> </v>
      </c>
      <c r="AA89" s="162">
        <f t="shared" si="92"/>
        <v>1</v>
      </c>
    </row>
    <row r="90" ht="12.75" customHeight="1">
      <c r="A90" s="157"/>
      <c r="B90" s="163" t="s">
        <v>6</v>
      </c>
      <c r="C90" s="159">
        <v>1.0</v>
      </c>
      <c r="D90" s="160">
        <v>1.0</v>
      </c>
      <c r="E90" s="197" t="s">
        <v>112</v>
      </c>
      <c r="F90" s="161">
        <f>'1RM'!$C$6*C90</f>
        <v>100</v>
      </c>
      <c r="G90" s="186"/>
      <c r="H90" s="186"/>
      <c r="I90" s="186"/>
      <c r="J90" s="186"/>
      <c r="K90" s="186">
        <f>2</f>
        <v>2</v>
      </c>
      <c r="L90" s="186">
        <f>2*0.95*'1RM'!C6</f>
        <v>190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162" t="str">
        <f t="shared" si="88"/>
        <v> </v>
      </c>
      <c r="X90" s="162" t="str">
        <f t="shared" si="89"/>
        <v> </v>
      </c>
      <c r="Y90" s="162" t="str">
        <f t="shared" si="90"/>
        <v> </v>
      </c>
      <c r="Z90" s="162" t="str">
        <f t="shared" si="91"/>
        <v> </v>
      </c>
      <c r="AA90" s="162">
        <v>2.0</v>
      </c>
    </row>
    <row r="91" ht="12.75" customHeight="1">
      <c r="A91" s="152">
        <v>3.0</v>
      </c>
      <c r="B91" s="153" t="s">
        <v>83</v>
      </c>
      <c r="C91" s="154"/>
      <c r="D91" s="155">
        <v>6.0</v>
      </c>
      <c r="E91" s="155">
        <v>4.0</v>
      </c>
      <c r="F91" s="156"/>
      <c r="G91" s="186"/>
      <c r="H91" s="186"/>
      <c r="I91" s="186"/>
      <c r="J91" s="186"/>
      <c r="K91" s="186"/>
      <c r="L91" s="18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2.75" customHeight="1">
      <c r="A92" s="164">
        <v>4.0</v>
      </c>
      <c r="B92" s="165" t="s">
        <v>56</v>
      </c>
      <c r="C92" s="166"/>
      <c r="D92" s="167">
        <v>8.0</v>
      </c>
      <c r="E92" s="167">
        <v>3.0</v>
      </c>
      <c r="F92" s="168"/>
      <c r="G92" s="186"/>
      <c r="H92" s="192"/>
      <c r="I92" s="186"/>
      <c r="J92" s="186"/>
      <c r="K92" s="186"/>
      <c r="L92" s="18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2.75" customHeight="1">
      <c r="A93" s="33"/>
      <c r="B93" s="134"/>
      <c r="C93" s="133"/>
      <c r="D93" s="192"/>
      <c r="E93" s="186"/>
      <c r="F93" s="42"/>
      <c r="G93" s="186"/>
      <c r="H93" s="186"/>
      <c r="I93" s="186"/>
      <c r="J93" s="186"/>
      <c r="K93" s="186"/>
      <c r="L93" s="18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2.75" customHeight="1">
      <c r="A94" s="33" t="s">
        <v>62</v>
      </c>
      <c r="B94" s="134"/>
      <c r="C94" s="135" t="s">
        <v>20</v>
      </c>
      <c r="D94" s="193" t="s">
        <v>51</v>
      </c>
      <c r="E94" s="36" t="s">
        <v>52</v>
      </c>
      <c r="F94" s="45" t="s">
        <v>53</v>
      </c>
      <c r="G94" s="186"/>
      <c r="H94" s="186"/>
      <c r="I94" s="186"/>
      <c r="J94" s="186"/>
      <c r="K94" s="186"/>
      <c r="L94" s="18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2.75" customHeight="1">
      <c r="A95" s="145">
        <v>1.0</v>
      </c>
      <c r="B95" s="146" t="s">
        <v>4</v>
      </c>
      <c r="C95" s="147">
        <v>0.5</v>
      </c>
      <c r="D95" s="148">
        <v>3.0</v>
      </c>
      <c r="E95" s="148">
        <v>1.0</v>
      </c>
      <c r="F95" s="149">
        <f>'1RM'!$C$4*C95</f>
        <v>50</v>
      </c>
      <c r="G95" s="186">
        <f t="shared" ref="G95:G100" si="93">D95*E95</f>
        <v>3</v>
      </c>
      <c r="H95" s="192">
        <f t="shared" ref="H95:H100" si="94">G95*F95</f>
        <v>150</v>
      </c>
      <c r="I95" s="186"/>
      <c r="J95" s="186"/>
      <c r="K95" s="186"/>
      <c r="L95" s="186"/>
      <c r="M95" s="150">
        <f t="shared" ref="M95:M101" si="95">IF(ISNUMBER(SEARCH("Sentadilla",$B95)),IF($C95&gt;=0.5,IF($C95&lt;0.6,$D95*$E95," ")," ")," ")</f>
        <v>3</v>
      </c>
      <c r="N95" s="150" t="str">
        <f t="shared" ref="N95:N101" si="96">IF(ISNUMBER(SEARCH("Sentadilla",$B95)),IF($C95&gt;=0.6,IF($C95&lt;0.7,$D95*$E95," ")," ")," ")</f>
        <v> </v>
      </c>
      <c r="O95" s="150" t="str">
        <f t="shared" ref="O95:O101" si="97">IF(ISNUMBER(SEARCH("Sentadilla",$B95)),IF($C95&gt;=0.7,IF($C95&lt;0.8,$D95*$E95," ")," ")," ")</f>
        <v> </v>
      </c>
      <c r="P95" s="150" t="str">
        <f t="shared" ref="P95:P101" si="98">IF(ISNUMBER(SEARCH("Sentadilla",$B95)),IF($C95&gt;=0.8,IF($C95&lt;0.9,$D95*$E95," ")," ")," ")</f>
        <v> </v>
      </c>
      <c r="Q95" s="150" t="str">
        <f t="shared" ref="Q95:Q100" si="99">IF(ISNUMBER(SEARCH("Sentadilla",$B95)),IF($C95&gt;=0.9,$D95*$E95," ")," ")</f>
        <v> </v>
      </c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2.75" customHeight="1">
      <c r="A96" s="145"/>
      <c r="B96" s="151" t="s">
        <v>4</v>
      </c>
      <c r="C96" s="147">
        <v>0.6</v>
      </c>
      <c r="D96" s="148">
        <v>3.0</v>
      </c>
      <c r="E96" s="148">
        <v>1.0</v>
      </c>
      <c r="F96" s="149">
        <f>'1RM'!$C$4*C96</f>
        <v>60</v>
      </c>
      <c r="G96" s="186">
        <f t="shared" si="93"/>
        <v>3</v>
      </c>
      <c r="H96" s="192">
        <f t="shared" si="94"/>
        <v>180</v>
      </c>
      <c r="I96" s="186"/>
      <c r="J96" s="186"/>
      <c r="K96" s="186"/>
      <c r="L96" s="186"/>
      <c r="M96" s="150" t="str">
        <f t="shared" si="95"/>
        <v> </v>
      </c>
      <c r="N96" s="150">
        <f t="shared" si="96"/>
        <v>3</v>
      </c>
      <c r="O96" s="150" t="str">
        <f t="shared" si="97"/>
        <v> </v>
      </c>
      <c r="P96" s="150" t="str">
        <f t="shared" si="98"/>
        <v> </v>
      </c>
      <c r="Q96" s="150" t="str">
        <f t="shared" si="99"/>
        <v> </v>
      </c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145"/>
      <c r="B97" s="151" t="s">
        <v>4</v>
      </c>
      <c r="C97" s="147">
        <v>0.7</v>
      </c>
      <c r="D97" s="148">
        <v>3.0</v>
      </c>
      <c r="E97" s="148">
        <v>1.0</v>
      </c>
      <c r="F97" s="149">
        <f>'1RM'!$C$4*C97</f>
        <v>70</v>
      </c>
      <c r="G97" s="186">
        <f t="shared" si="93"/>
        <v>3</v>
      </c>
      <c r="H97" s="192">
        <f t="shared" si="94"/>
        <v>210</v>
      </c>
      <c r="I97" s="186"/>
      <c r="J97" s="186"/>
      <c r="K97" s="186"/>
      <c r="L97" s="186"/>
      <c r="M97" s="150" t="str">
        <f t="shared" si="95"/>
        <v> </v>
      </c>
      <c r="N97" s="150" t="str">
        <f t="shared" si="96"/>
        <v> </v>
      </c>
      <c r="O97" s="150">
        <f t="shared" si="97"/>
        <v>3</v>
      </c>
      <c r="P97" s="150" t="str">
        <f t="shared" si="98"/>
        <v> </v>
      </c>
      <c r="Q97" s="150" t="str">
        <f t="shared" si="99"/>
        <v> </v>
      </c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145"/>
      <c r="B98" s="151" t="s">
        <v>4</v>
      </c>
      <c r="C98" s="147">
        <v>0.8</v>
      </c>
      <c r="D98" s="148">
        <v>2.0</v>
      </c>
      <c r="E98" s="148">
        <v>1.0</v>
      </c>
      <c r="F98" s="149">
        <f>'1RM'!$C$4*C98</f>
        <v>80</v>
      </c>
      <c r="G98" s="186">
        <f t="shared" si="93"/>
        <v>2</v>
      </c>
      <c r="H98" s="192">
        <f t="shared" si="94"/>
        <v>160</v>
      </c>
      <c r="I98" s="186"/>
      <c r="J98" s="186"/>
      <c r="K98" s="186"/>
      <c r="L98" s="186"/>
      <c r="M98" s="150" t="str">
        <f t="shared" si="95"/>
        <v> </v>
      </c>
      <c r="N98" s="150" t="str">
        <f t="shared" si="96"/>
        <v> </v>
      </c>
      <c r="O98" s="150" t="str">
        <f t="shared" si="97"/>
        <v> </v>
      </c>
      <c r="P98" s="150">
        <f t="shared" si="98"/>
        <v>2</v>
      </c>
      <c r="Q98" s="150" t="str">
        <f t="shared" si="99"/>
        <v> </v>
      </c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145"/>
      <c r="B99" s="151" t="s">
        <v>4</v>
      </c>
      <c r="C99" s="147">
        <v>0.9</v>
      </c>
      <c r="D99" s="148">
        <v>1.0</v>
      </c>
      <c r="E99" s="148">
        <v>1.0</v>
      </c>
      <c r="F99" s="149">
        <f>'1RM'!$C$4*C99</f>
        <v>90</v>
      </c>
      <c r="G99" s="186">
        <f t="shared" si="93"/>
        <v>1</v>
      </c>
      <c r="H99" s="192">
        <f t="shared" si="94"/>
        <v>90</v>
      </c>
      <c r="I99" s="186"/>
      <c r="J99" s="186"/>
      <c r="K99" s="186"/>
      <c r="L99" s="186"/>
      <c r="M99" s="150" t="str">
        <f t="shared" si="95"/>
        <v> </v>
      </c>
      <c r="N99" s="150" t="str">
        <f t="shared" si="96"/>
        <v> </v>
      </c>
      <c r="O99" s="150" t="str">
        <f t="shared" si="97"/>
        <v> </v>
      </c>
      <c r="P99" s="150" t="str">
        <f t="shared" si="98"/>
        <v> </v>
      </c>
      <c r="Q99" s="150">
        <f t="shared" si="99"/>
        <v>1</v>
      </c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145"/>
      <c r="B100" s="151" t="s">
        <v>4</v>
      </c>
      <c r="C100" s="147">
        <v>0.95</v>
      </c>
      <c r="D100" s="148">
        <v>1.0</v>
      </c>
      <c r="E100" s="148">
        <v>1.0</v>
      </c>
      <c r="F100" s="149">
        <f>'1RM'!$C$4*C100</f>
        <v>95</v>
      </c>
      <c r="G100" s="186">
        <f t="shared" si="93"/>
        <v>1</v>
      </c>
      <c r="H100" s="192">
        <f t="shared" si="94"/>
        <v>95</v>
      </c>
      <c r="I100" s="186"/>
      <c r="J100" s="186"/>
      <c r="K100" s="186"/>
      <c r="L100" s="186"/>
      <c r="M100" s="150" t="str">
        <f t="shared" si="95"/>
        <v> </v>
      </c>
      <c r="N100" s="150" t="str">
        <f t="shared" si="96"/>
        <v> </v>
      </c>
      <c r="O100" s="150" t="str">
        <f t="shared" si="97"/>
        <v> </v>
      </c>
      <c r="P100" s="150" t="str">
        <f t="shared" si="98"/>
        <v> </v>
      </c>
      <c r="Q100" s="150">
        <f t="shared" si="99"/>
        <v>1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145"/>
      <c r="B101" s="151" t="s">
        <v>4</v>
      </c>
      <c r="C101" s="147">
        <v>1.0</v>
      </c>
      <c r="D101" s="148">
        <v>1.0</v>
      </c>
      <c r="E101" s="198" t="s">
        <v>112</v>
      </c>
      <c r="F101" s="149">
        <f>'1RM'!$C$4*C101</f>
        <v>100</v>
      </c>
      <c r="G101" s="186">
        <f>2</f>
        <v>2</v>
      </c>
      <c r="H101" s="186">
        <f>'1RM'!C4*2*0.95</f>
        <v>190</v>
      </c>
      <c r="I101" s="186"/>
      <c r="J101" s="186"/>
      <c r="K101" s="186"/>
      <c r="L101" s="186"/>
      <c r="M101" s="150" t="str">
        <f t="shared" si="95"/>
        <v> </v>
      </c>
      <c r="N101" s="150" t="str">
        <f t="shared" si="96"/>
        <v> </v>
      </c>
      <c r="O101" s="150" t="str">
        <f t="shared" si="97"/>
        <v> </v>
      </c>
      <c r="P101" s="150" t="str">
        <f t="shared" si="98"/>
        <v> </v>
      </c>
      <c r="Q101" s="150">
        <v>2.0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136">
        <v>2.0</v>
      </c>
      <c r="B102" s="137" t="s">
        <v>5</v>
      </c>
      <c r="C102" s="138">
        <v>0.5</v>
      </c>
      <c r="D102" s="139">
        <v>3.0</v>
      </c>
      <c r="E102" s="139">
        <v>1.0</v>
      </c>
      <c r="F102" s="140">
        <f>'1RM'!$C$5*C102</f>
        <v>50</v>
      </c>
      <c r="G102" s="186"/>
      <c r="H102" s="186"/>
      <c r="I102" s="186">
        <f t="shared" ref="I102:I105" si="100">D102*E102</f>
        <v>3</v>
      </c>
      <c r="J102" s="192">
        <f t="shared" ref="J102:J105" si="101">I102*F102</f>
        <v>150</v>
      </c>
      <c r="K102" s="186"/>
      <c r="L102" s="186"/>
      <c r="M102" s="5"/>
      <c r="N102" s="5"/>
      <c r="O102" s="5"/>
      <c r="P102" s="5"/>
      <c r="Q102" s="5"/>
      <c r="R102" s="143">
        <f t="shared" ref="R102:R105" si="102">IF(ISNUMBER(SEARCH("Press de banca",$B102)),IF($C102&gt;=0.5,IF($C102&lt;0.6,$D102*$E102," ")," ")," ")</f>
        <v>3</v>
      </c>
      <c r="S102" s="143" t="str">
        <f t="shared" ref="S102:S105" si="103">IF(ISNUMBER(SEARCH("Press de banca",$B102)),IF($C102&gt;=0.6,IF($C102&lt;0.7,$D102*$E102," ")," ")," ")</f>
        <v> </v>
      </c>
      <c r="T102" s="143" t="str">
        <f t="shared" ref="T102:T105" si="104">IF(ISNUMBER(SEARCH("Press de banca",$B102)),IF($C102&gt;=0.7,IF($C102&lt;0.8,$D102*$E102," ")," ")," ")</f>
        <v> </v>
      </c>
      <c r="U102" s="143" t="str">
        <f t="shared" ref="U102:U105" si="105">IF(ISNUMBER(SEARCH("Press de banca",$B102)),IF($C102&gt;=0.8,IF($C102&lt;0.9,$D102*$E102," ")," ")," ")</f>
        <v> </v>
      </c>
      <c r="V102" s="143" t="str">
        <f t="shared" ref="V102:V105" si="106">IF(ISNUMBER(SEARCH("Press de banca",$B102)),IF($C102&gt;=0.9,$D102*$E102," ")," ")</f>
        <v> </v>
      </c>
      <c r="W102" s="5"/>
      <c r="X102" s="5"/>
      <c r="Y102" s="5"/>
      <c r="Z102" s="5"/>
      <c r="AA102" s="5"/>
    </row>
    <row r="103" ht="12.75" customHeight="1">
      <c r="A103" s="136"/>
      <c r="B103" s="144" t="s">
        <v>5</v>
      </c>
      <c r="C103" s="138">
        <v>0.6</v>
      </c>
      <c r="D103" s="139">
        <v>3.0</v>
      </c>
      <c r="E103" s="139">
        <v>1.0</v>
      </c>
      <c r="F103" s="140">
        <f>'1RM'!$C$5*C103</f>
        <v>60</v>
      </c>
      <c r="G103" s="186"/>
      <c r="H103" s="186"/>
      <c r="I103" s="186">
        <f t="shared" si="100"/>
        <v>3</v>
      </c>
      <c r="J103" s="192">
        <f t="shared" si="101"/>
        <v>180</v>
      </c>
      <c r="K103" s="186"/>
      <c r="L103" s="186"/>
      <c r="M103" s="5"/>
      <c r="N103" s="5"/>
      <c r="O103" s="5"/>
      <c r="P103" s="5"/>
      <c r="Q103" s="5"/>
      <c r="R103" s="143" t="str">
        <f t="shared" si="102"/>
        <v> </v>
      </c>
      <c r="S103" s="143">
        <f t="shared" si="103"/>
        <v>3</v>
      </c>
      <c r="T103" s="143" t="str">
        <f t="shared" si="104"/>
        <v> </v>
      </c>
      <c r="U103" s="143" t="str">
        <f t="shared" si="105"/>
        <v> </v>
      </c>
      <c r="V103" s="143" t="str">
        <f t="shared" si="106"/>
        <v> </v>
      </c>
      <c r="W103" s="5"/>
      <c r="X103" s="5"/>
      <c r="Y103" s="5"/>
      <c r="Z103" s="5"/>
      <c r="AA103" s="5"/>
    </row>
    <row r="104" ht="12.75" customHeight="1">
      <c r="A104" s="136"/>
      <c r="B104" s="144" t="s">
        <v>5</v>
      </c>
      <c r="C104" s="138">
        <v>0.7</v>
      </c>
      <c r="D104" s="139">
        <v>3.0</v>
      </c>
      <c r="E104" s="139">
        <v>1.0</v>
      </c>
      <c r="F104" s="140">
        <f>'1RM'!$C$5*C104</f>
        <v>70</v>
      </c>
      <c r="G104" s="186"/>
      <c r="H104" s="186"/>
      <c r="I104" s="186">
        <f t="shared" si="100"/>
        <v>3</v>
      </c>
      <c r="J104" s="192">
        <f t="shared" si="101"/>
        <v>210</v>
      </c>
      <c r="K104" s="186"/>
      <c r="L104" s="186"/>
      <c r="M104" s="5"/>
      <c r="N104" s="5"/>
      <c r="O104" s="5"/>
      <c r="P104" s="5"/>
      <c r="Q104" s="5"/>
      <c r="R104" s="143" t="str">
        <f t="shared" si="102"/>
        <v> </v>
      </c>
      <c r="S104" s="143" t="str">
        <f t="shared" si="103"/>
        <v> </v>
      </c>
      <c r="T104" s="143">
        <f t="shared" si="104"/>
        <v>3</v>
      </c>
      <c r="U104" s="143" t="str">
        <f t="shared" si="105"/>
        <v> </v>
      </c>
      <c r="V104" s="143" t="str">
        <f t="shared" si="106"/>
        <v> </v>
      </c>
      <c r="W104" s="5"/>
      <c r="X104" s="5"/>
      <c r="Y104" s="5"/>
      <c r="Z104" s="5"/>
      <c r="AA104" s="5"/>
    </row>
    <row r="105" ht="12.75" customHeight="1">
      <c r="A105" s="136"/>
      <c r="B105" s="144" t="s">
        <v>5</v>
      </c>
      <c r="C105" s="138">
        <v>0.75</v>
      </c>
      <c r="D105" s="139">
        <v>2.0</v>
      </c>
      <c r="E105" s="139">
        <v>4.0</v>
      </c>
      <c r="F105" s="140">
        <f>'1RM'!$C$5*C105</f>
        <v>75</v>
      </c>
      <c r="G105" s="186"/>
      <c r="H105" s="186"/>
      <c r="I105" s="186">
        <f t="shared" si="100"/>
        <v>8</v>
      </c>
      <c r="J105" s="192">
        <f t="shared" si="101"/>
        <v>600</v>
      </c>
      <c r="K105" s="186"/>
      <c r="L105" s="186"/>
      <c r="M105" s="5"/>
      <c r="N105" s="5"/>
      <c r="O105" s="5"/>
      <c r="P105" s="5"/>
      <c r="Q105" s="5"/>
      <c r="R105" s="143" t="str">
        <f t="shared" si="102"/>
        <v> </v>
      </c>
      <c r="S105" s="143" t="str">
        <f t="shared" si="103"/>
        <v> </v>
      </c>
      <c r="T105" s="143">
        <f t="shared" si="104"/>
        <v>8</v>
      </c>
      <c r="U105" s="143" t="str">
        <f t="shared" si="105"/>
        <v> </v>
      </c>
      <c r="V105" s="143" t="str">
        <f t="shared" si="106"/>
        <v> </v>
      </c>
      <c r="W105" s="5"/>
      <c r="X105" s="5"/>
      <c r="Y105" s="5"/>
      <c r="Z105" s="5"/>
      <c r="AA105" s="5"/>
    </row>
    <row r="106" ht="12.75" customHeight="1">
      <c r="A106" s="152">
        <v>3.0</v>
      </c>
      <c r="B106" s="153" t="s">
        <v>55</v>
      </c>
      <c r="C106" s="154"/>
      <c r="D106" s="194" t="s">
        <v>111</v>
      </c>
      <c r="E106" s="155">
        <v>4.0</v>
      </c>
      <c r="F106" s="156"/>
      <c r="G106" s="186"/>
      <c r="H106" s="186"/>
      <c r="I106" s="186"/>
      <c r="J106" s="186"/>
      <c r="K106" s="186"/>
      <c r="L106" s="18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164">
        <v>4.0</v>
      </c>
      <c r="B107" s="165" t="s">
        <v>61</v>
      </c>
      <c r="C107" s="166"/>
      <c r="D107" s="167">
        <v>4.0</v>
      </c>
      <c r="E107" s="167">
        <v>4.0</v>
      </c>
      <c r="F107" s="168"/>
      <c r="G107" s="186"/>
      <c r="H107" s="186"/>
      <c r="I107" s="186"/>
      <c r="J107" s="186"/>
      <c r="K107" s="186"/>
      <c r="L107" s="18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33"/>
      <c r="B108" s="134"/>
      <c r="C108" s="135"/>
      <c r="D108" s="193"/>
      <c r="E108" s="36"/>
      <c r="F108" s="45"/>
      <c r="G108" s="186"/>
      <c r="H108" s="186"/>
      <c r="I108" s="186"/>
      <c r="J108" s="186"/>
      <c r="K108" s="186"/>
      <c r="L108" s="18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33" t="s">
        <v>66</v>
      </c>
      <c r="B109" s="134"/>
      <c r="C109" s="135" t="s">
        <v>20</v>
      </c>
      <c r="D109" s="193" t="s">
        <v>51</v>
      </c>
      <c r="E109" s="36" t="s">
        <v>52</v>
      </c>
      <c r="F109" s="45" t="s">
        <v>53</v>
      </c>
      <c r="G109" s="186"/>
      <c r="H109" s="186"/>
      <c r="I109" s="186"/>
      <c r="J109" s="186"/>
      <c r="K109" s="186"/>
      <c r="L109" s="18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152">
        <v>1.0</v>
      </c>
      <c r="B110" s="153" t="s">
        <v>99</v>
      </c>
      <c r="C110" s="154"/>
      <c r="D110" s="155">
        <v>5.0</v>
      </c>
      <c r="E110" s="155">
        <v>5.0</v>
      </c>
      <c r="F110" s="156"/>
      <c r="G110" s="186"/>
      <c r="H110" s="186"/>
      <c r="I110" s="186"/>
      <c r="J110" s="186"/>
      <c r="K110" s="186"/>
      <c r="L110" s="18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157">
        <v>2.0</v>
      </c>
      <c r="B111" s="158" t="s">
        <v>96</v>
      </c>
      <c r="C111" s="159">
        <v>0.5</v>
      </c>
      <c r="D111" s="160">
        <v>3.0</v>
      </c>
      <c r="E111" s="160">
        <v>1.0</v>
      </c>
      <c r="F111" s="161">
        <f>'1RM'!$C$6*C111</f>
        <v>50</v>
      </c>
      <c r="G111" s="186"/>
      <c r="H111" s="186"/>
      <c r="I111" s="186"/>
      <c r="J111" s="186"/>
      <c r="K111" s="186">
        <f t="shared" ref="K111:K114" si="107">D111*E111</f>
        <v>3</v>
      </c>
      <c r="L111" s="186">
        <f t="shared" ref="L111:L114" si="108">K111*F111</f>
        <v>150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162">
        <f t="shared" ref="W111:W114" si="109">IF(ISNUMBER(SEARCH("Peso muerto",$B111)),IF($C111&gt;=0.5,IF($C111&lt;0.6,$D111*$E111," ")," ")," ")</f>
        <v>3</v>
      </c>
      <c r="X111" s="162" t="str">
        <f t="shared" ref="X111:X114" si="110">IF(ISNUMBER(SEARCH("Peso muerto",$B111)),IF($C111&gt;=0.6,IF($C111&lt;0.7,$D111*$E111," ")," ")," ")</f>
        <v> </v>
      </c>
      <c r="Y111" s="162" t="str">
        <f t="shared" ref="Y111:Y114" si="111">IF(ISNUMBER(SEARCH("Peso muerto",$B111)),IF($C111&gt;=0.7,IF($C111&lt;0.8,$D111*$E111," ")," ")," ")</f>
        <v> </v>
      </c>
      <c r="Z111" s="162" t="str">
        <f t="shared" ref="Z111:Z114" si="112">IF(ISNUMBER(SEARCH("Peso muerto",$B111)),IF($C111&gt;=0.8,IF($C111&lt;0.9,$D111*$E111," ")," ")," ")</f>
        <v> </v>
      </c>
      <c r="AA111" s="162" t="str">
        <f t="shared" ref="AA111:AA114" si="113">IF(ISNUMBER(SEARCH("Peso muerto",$B111)),IF($C111&gt;=0.9,$D111*$E111," ")," ")</f>
        <v> </v>
      </c>
    </row>
    <row r="112" ht="12.75" customHeight="1">
      <c r="A112" s="157"/>
      <c r="B112" s="163" t="s">
        <v>96</v>
      </c>
      <c r="C112" s="159">
        <v>0.6</v>
      </c>
      <c r="D112" s="160">
        <v>3.0</v>
      </c>
      <c r="E112" s="160">
        <v>1.0</v>
      </c>
      <c r="F112" s="161">
        <f>'1RM'!$C$6*C112</f>
        <v>60</v>
      </c>
      <c r="G112" s="186"/>
      <c r="H112" s="186"/>
      <c r="I112" s="186"/>
      <c r="J112" s="186"/>
      <c r="K112" s="186">
        <f t="shared" si="107"/>
        <v>3</v>
      </c>
      <c r="L112" s="186">
        <f t="shared" si="108"/>
        <v>180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162" t="str">
        <f t="shared" si="109"/>
        <v> </v>
      </c>
      <c r="X112" s="162">
        <f t="shared" si="110"/>
        <v>3</v>
      </c>
      <c r="Y112" s="162" t="str">
        <f t="shared" si="111"/>
        <v> </v>
      </c>
      <c r="Z112" s="162" t="str">
        <f t="shared" si="112"/>
        <v> </v>
      </c>
      <c r="AA112" s="162" t="str">
        <f t="shared" si="113"/>
        <v> </v>
      </c>
    </row>
    <row r="113" ht="12.75" customHeight="1">
      <c r="A113" s="157"/>
      <c r="B113" s="163" t="s">
        <v>96</v>
      </c>
      <c r="C113" s="159">
        <v>0.7</v>
      </c>
      <c r="D113" s="160">
        <v>3.0</v>
      </c>
      <c r="E113" s="160">
        <v>1.0</v>
      </c>
      <c r="F113" s="161">
        <f>'1RM'!$C$6*C113</f>
        <v>70</v>
      </c>
      <c r="G113" s="186"/>
      <c r="H113" s="186"/>
      <c r="I113" s="186"/>
      <c r="J113" s="186"/>
      <c r="K113" s="186">
        <f t="shared" si="107"/>
        <v>3</v>
      </c>
      <c r="L113" s="186">
        <f t="shared" si="108"/>
        <v>210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162" t="str">
        <f t="shared" si="109"/>
        <v> </v>
      </c>
      <c r="X113" s="162" t="str">
        <f t="shared" si="110"/>
        <v> </v>
      </c>
      <c r="Y113" s="162">
        <f t="shared" si="111"/>
        <v>3</v>
      </c>
      <c r="Z113" s="162" t="str">
        <f t="shared" si="112"/>
        <v> </v>
      </c>
      <c r="AA113" s="162" t="str">
        <f t="shared" si="113"/>
        <v> </v>
      </c>
    </row>
    <row r="114" ht="12.75" customHeight="1">
      <c r="A114" s="157"/>
      <c r="B114" s="163" t="s">
        <v>96</v>
      </c>
      <c r="C114" s="159">
        <v>0.75</v>
      </c>
      <c r="D114" s="160">
        <v>2.0</v>
      </c>
      <c r="E114" s="160">
        <v>3.0</v>
      </c>
      <c r="F114" s="161">
        <f>'1RM'!$C$6*C114</f>
        <v>75</v>
      </c>
      <c r="G114" s="186"/>
      <c r="H114" s="186"/>
      <c r="I114" s="186"/>
      <c r="J114" s="186"/>
      <c r="K114" s="186">
        <f t="shared" si="107"/>
        <v>6</v>
      </c>
      <c r="L114" s="186">
        <f t="shared" si="108"/>
        <v>450</v>
      </c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162" t="str">
        <f t="shared" si="109"/>
        <v> </v>
      </c>
      <c r="X114" s="162" t="str">
        <f t="shared" si="110"/>
        <v> </v>
      </c>
      <c r="Y114" s="162">
        <f t="shared" si="111"/>
        <v>6</v>
      </c>
      <c r="Z114" s="162" t="str">
        <f t="shared" si="112"/>
        <v> </v>
      </c>
      <c r="AA114" s="162" t="str">
        <f t="shared" si="113"/>
        <v> </v>
      </c>
    </row>
    <row r="115" ht="12.75" customHeight="1">
      <c r="A115" s="152">
        <v>3.0</v>
      </c>
      <c r="B115" s="153" t="s">
        <v>60</v>
      </c>
      <c r="C115" s="154"/>
      <c r="D115" s="155">
        <v>6.0</v>
      </c>
      <c r="E115" s="155">
        <v>4.0</v>
      </c>
      <c r="F115" s="156"/>
      <c r="G115" s="186"/>
      <c r="H115" s="186"/>
      <c r="I115" s="186"/>
      <c r="J115" s="186"/>
      <c r="K115" s="186"/>
      <c r="L115" s="18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152">
        <v>4.0</v>
      </c>
      <c r="B116" s="153" t="s">
        <v>69</v>
      </c>
      <c r="C116" s="154"/>
      <c r="D116" s="155">
        <v>4.0</v>
      </c>
      <c r="E116" s="155">
        <v>4.0</v>
      </c>
      <c r="F116" s="156"/>
      <c r="G116" s="186"/>
      <c r="H116" s="186"/>
      <c r="I116" s="186"/>
      <c r="J116" s="186"/>
      <c r="K116" s="186"/>
      <c r="L116" s="18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169"/>
      <c r="B117" s="170"/>
      <c r="C117" s="171"/>
      <c r="D117" s="195"/>
      <c r="E117" s="180"/>
      <c r="F117" s="172"/>
      <c r="G117" s="180">
        <f t="shared" ref="G117:AA117" si="114">SUM(G65:G116)</f>
        <v>30</v>
      </c>
      <c r="H117" s="195">
        <f t="shared" si="114"/>
        <v>2065</v>
      </c>
      <c r="I117" s="180">
        <f t="shared" si="114"/>
        <v>47</v>
      </c>
      <c r="J117" s="195">
        <f t="shared" si="114"/>
        <v>3205</v>
      </c>
      <c r="K117" s="180">
        <f t="shared" si="114"/>
        <v>29</v>
      </c>
      <c r="L117" s="180">
        <f t="shared" si="114"/>
        <v>1995</v>
      </c>
      <c r="M117" s="175">
        <f t="shared" si="114"/>
        <v>6</v>
      </c>
      <c r="N117" s="175">
        <f t="shared" si="114"/>
        <v>6</v>
      </c>
      <c r="O117" s="175">
        <f t="shared" si="114"/>
        <v>12</v>
      </c>
      <c r="P117" s="175">
        <f t="shared" si="114"/>
        <v>2</v>
      </c>
      <c r="Q117" s="175">
        <f t="shared" si="114"/>
        <v>4</v>
      </c>
      <c r="R117" s="169">
        <f t="shared" si="114"/>
        <v>9</v>
      </c>
      <c r="S117" s="169">
        <f t="shared" si="114"/>
        <v>9</v>
      </c>
      <c r="T117" s="169">
        <f t="shared" si="114"/>
        <v>23</v>
      </c>
      <c r="U117" s="169">
        <f t="shared" si="114"/>
        <v>2</v>
      </c>
      <c r="V117" s="169">
        <f t="shared" si="114"/>
        <v>4</v>
      </c>
      <c r="W117" s="169">
        <f t="shared" si="114"/>
        <v>6</v>
      </c>
      <c r="X117" s="169">
        <f t="shared" si="114"/>
        <v>6</v>
      </c>
      <c r="Y117" s="169">
        <f t="shared" si="114"/>
        <v>11</v>
      </c>
      <c r="Z117" s="169">
        <f t="shared" si="114"/>
        <v>2</v>
      </c>
      <c r="AA117" s="169">
        <f t="shared" si="114"/>
        <v>4</v>
      </c>
    </row>
    <row r="118" ht="12.75" customHeight="1">
      <c r="A118" s="33" t="s">
        <v>23</v>
      </c>
      <c r="B118" s="33"/>
      <c r="C118" s="133"/>
      <c r="D118" s="192"/>
      <c r="E118" s="186"/>
      <c r="F118" s="42"/>
      <c r="G118" s="186"/>
      <c r="H118" s="186"/>
      <c r="I118" s="186"/>
      <c r="J118" s="186"/>
      <c r="K118" s="186"/>
      <c r="L118" s="18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33" t="s">
        <v>50</v>
      </c>
      <c r="B119" s="134"/>
      <c r="C119" s="135" t="s">
        <v>20</v>
      </c>
      <c r="D119" s="193" t="s">
        <v>51</v>
      </c>
      <c r="E119" s="36" t="s">
        <v>52</v>
      </c>
      <c r="F119" s="45" t="s">
        <v>53</v>
      </c>
      <c r="G119" s="186"/>
      <c r="H119" s="186"/>
      <c r="I119" s="186"/>
      <c r="J119" s="186"/>
      <c r="K119" s="186"/>
      <c r="L119" s="18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145">
        <v>1.0</v>
      </c>
      <c r="B120" s="146" t="s">
        <v>4</v>
      </c>
      <c r="C120" s="147">
        <v>0.55</v>
      </c>
      <c r="D120" s="148">
        <v>3.0</v>
      </c>
      <c r="E120" s="148">
        <v>1.0</v>
      </c>
      <c r="F120" s="149">
        <f>'1RM'!$C$4*C120</f>
        <v>55</v>
      </c>
      <c r="G120" s="186">
        <f t="shared" ref="G120:G123" si="115">D120*E120</f>
        <v>3</v>
      </c>
      <c r="H120" s="192">
        <f t="shared" ref="H120:H123" si="116">G120*F120</f>
        <v>165</v>
      </c>
      <c r="I120" s="186"/>
      <c r="J120" s="186"/>
      <c r="K120" s="186"/>
      <c r="L120" s="186"/>
      <c r="M120" s="150">
        <f t="shared" ref="M120:M123" si="117">IF(ISNUMBER(SEARCH("Sentadilla",$B120)),IF($C120&gt;=0.5,IF($C120&lt;0.6,$D120*$E120," ")," ")," ")</f>
        <v>3</v>
      </c>
      <c r="N120" s="150" t="str">
        <f t="shared" ref="N120:N123" si="118">IF(ISNUMBER(SEARCH("Sentadilla",$B120)),IF($C120&gt;=0.6,IF($C120&lt;0.7,$D120*$E120," ")," ")," ")</f>
        <v> </v>
      </c>
      <c r="O120" s="150" t="str">
        <f t="shared" ref="O120:O123" si="119">IF(ISNUMBER(SEARCH("Sentadilla",$B120)),IF($C120&gt;=0.7,IF($C120&lt;0.8,$D120*$E120," ")," ")," ")</f>
        <v> </v>
      </c>
      <c r="P120" s="150" t="str">
        <f t="shared" ref="P120:P123" si="120">IF(ISNUMBER(SEARCH("Sentadilla",$B120)),IF($C120&gt;=0.8,IF($C120&lt;0.9,$D120*$E120," ")," ")," ")</f>
        <v> </v>
      </c>
      <c r="Q120" s="150" t="str">
        <f t="shared" ref="Q120:Q123" si="121">IF(ISNUMBER(SEARCH("Sentadilla",$B120)),IF($C120&gt;=0.9,$D120*$E120," ")," ")</f>
        <v> </v>
      </c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145"/>
      <c r="B121" s="151" t="s">
        <v>4</v>
      </c>
      <c r="C121" s="147">
        <v>0.65</v>
      </c>
      <c r="D121" s="148">
        <v>3.0</v>
      </c>
      <c r="E121" s="148">
        <v>1.0</v>
      </c>
      <c r="F121" s="149">
        <f>'1RM'!$C$4*C121</f>
        <v>65</v>
      </c>
      <c r="G121" s="186">
        <f t="shared" si="115"/>
        <v>3</v>
      </c>
      <c r="H121" s="192">
        <f t="shared" si="116"/>
        <v>195</v>
      </c>
      <c r="I121" s="186"/>
      <c r="J121" s="186"/>
      <c r="K121" s="186"/>
      <c r="L121" s="186"/>
      <c r="M121" s="150" t="str">
        <f t="shared" si="117"/>
        <v> </v>
      </c>
      <c r="N121" s="150">
        <f t="shared" si="118"/>
        <v>3</v>
      </c>
      <c r="O121" s="150" t="str">
        <f t="shared" si="119"/>
        <v> </v>
      </c>
      <c r="P121" s="150" t="str">
        <f t="shared" si="120"/>
        <v> </v>
      </c>
      <c r="Q121" s="150" t="str">
        <f t="shared" si="121"/>
        <v> </v>
      </c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145"/>
      <c r="B122" s="151" t="s">
        <v>4</v>
      </c>
      <c r="C122" s="147">
        <v>0.75</v>
      </c>
      <c r="D122" s="148">
        <v>2.0</v>
      </c>
      <c r="E122" s="148">
        <v>2.0</v>
      </c>
      <c r="F122" s="149">
        <f>'1RM'!$C$4*C122</f>
        <v>75</v>
      </c>
      <c r="G122" s="186">
        <f t="shared" si="115"/>
        <v>4</v>
      </c>
      <c r="H122" s="192">
        <f t="shared" si="116"/>
        <v>300</v>
      </c>
      <c r="I122" s="186"/>
      <c r="J122" s="186"/>
      <c r="K122" s="186"/>
      <c r="L122" s="186"/>
      <c r="M122" s="150" t="str">
        <f t="shared" si="117"/>
        <v> </v>
      </c>
      <c r="N122" s="150" t="str">
        <f t="shared" si="118"/>
        <v> </v>
      </c>
      <c r="O122" s="150">
        <f t="shared" si="119"/>
        <v>4</v>
      </c>
      <c r="P122" s="150" t="str">
        <f t="shared" si="120"/>
        <v> </v>
      </c>
      <c r="Q122" s="150" t="str">
        <f t="shared" si="121"/>
        <v> </v>
      </c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145"/>
      <c r="B123" s="151" t="s">
        <v>4</v>
      </c>
      <c r="C123" s="147">
        <v>0.85</v>
      </c>
      <c r="D123" s="148">
        <v>1.0</v>
      </c>
      <c r="E123" s="148">
        <v>4.0</v>
      </c>
      <c r="F123" s="149">
        <f>'1RM'!$C$4*C123</f>
        <v>85</v>
      </c>
      <c r="G123" s="186">
        <f t="shared" si="115"/>
        <v>4</v>
      </c>
      <c r="H123" s="192">
        <f t="shared" si="116"/>
        <v>340</v>
      </c>
      <c r="I123" s="186"/>
      <c r="J123" s="186"/>
      <c r="K123" s="186"/>
      <c r="L123" s="186"/>
      <c r="M123" s="150" t="str">
        <f t="shared" si="117"/>
        <v> </v>
      </c>
      <c r="N123" s="150" t="str">
        <f t="shared" si="118"/>
        <v> </v>
      </c>
      <c r="O123" s="150" t="str">
        <f t="shared" si="119"/>
        <v> </v>
      </c>
      <c r="P123" s="150">
        <f t="shared" si="120"/>
        <v>4</v>
      </c>
      <c r="Q123" s="150" t="str">
        <f t="shared" si="121"/>
        <v> </v>
      </c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136">
        <v>2.0</v>
      </c>
      <c r="B124" s="137" t="s">
        <v>5</v>
      </c>
      <c r="C124" s="138">
        <v>0.5</v>
      </c>
      <c r="D124" s="139">
        <v>3.0</v>
      </c>
      <c r="E124" s="139">
        <v>1.0</v>
      </c>
      <c r="F124" s="140">
        <f>'1RM'!$C$5*C124</f>
        <v>50</v>
      </c>
      <c r="G124" s="186"/>
      <c r="H124" s="186"/>
      <c r="I124" s="186">
        <f t="shared" ref="I124:I127" si="122">D124*E124</f>
        <v>3</v>
      </c>
      <c r="J124" s="192">
        <f t="shared" ref="J124:J127" si="123">I124*F124</f>
        <v>150</v>
      </c>
      <c r="K124" s="186"/>
      <c r="L124" s="186"/>
      <c r="M124" s="5"/>
      <c r="N124" s="5"/>
      <c r="O124" s="5"/>
      <c r="P124" s="5"/>
      <c r="Q124" s="5"/>
      <c r="R124" s="143">
        <f t="shared" ref="R124:R127" si="124">IF(ISNUMBER(SEARCH("Press de banca",$B124)),IF($C124&gt;=0.5,IF($C124&lt;0.6,$D124*$E124," ")," ")," ")</f>
        <v>3</v>
      </c>
      <c r="S124" s="143" t="str">
        <f t="shared" ref="S124:S127" si="125">IF(ISNUMBER(SEARCH("Press de banca",$B124)),IF($C124&gt;=0.6,IF($C124&lt;0.7,$D124*$E124," ")," ")," ")</f>
        <v> </v>
      </c>
      <c r="T124" s="143" t="str">
        <f t="shared" ref="T124:T127" si="126">IF(ISNUMBER(SEARCH("Press de banca",$B124)),IF($C124&gt;=0.7,IF($C124&lt;0.8,$D124*$E124," ")," ")," ")</f>
        <v> </v>
      </c>
      <c r="U124" s="143" t="str">
        <f t="shared" ref="U124:U127" si="127">IF(ISNUMBER(SEARCH("Press de banca",$B124)),IF($C124&gt;=0.8,IF($C124&lt;0.9,$D124*$E124," ")," ")," ")</f>
        <v> </v>
      </c>
      <c r="V124" s="143" t="str">
        <f t="shared" ref="V124:V127" si="128">IF(ISNUMBER(SEARCH("Press de banca",$B124)),IF($C124&gt;=0.9,$D124*$E124," ")," ")</f>
        <v> </v>
      </c>
      <c r="W124" s="5"/>
      <c r="X124" s="5"/>
      <c r="Y124" s="5"/>
      <c r="Z124" s="5"/>
      <c r="AA124" s="5"/>
    </row>
    <row r="125" ht="12.75" customHeight="1">
      <c r="A125" s="136"/>
      <c r="B125" s="144" t="s">
        <v>5</v>
      </c>
      <c r="C125" s="138">
        <v>0.6</v>
      </c>
      <c r="D125" s="139">
        <v>3.0</v>
      </c>
      <c r="E125" s="139">
        <v>1.0</v>
      </c>
      <c r="F125" s="140">
        <f>'1RM'!$C$5*C125</f>
        <v>60</v>
      </c>
      <c r="G125" s="186"/>
      <c r="H125" s="186"/>
      <c r="I125" s="186">
        <f t="shared" si="122"/>
        <v>3</v>
      </c>
      <c r="J125" s="192">
        <f t="shared" si="123"/>
        <v>180</v>
      </c>
      <c r="K125" s="186"/>
      <c r="L125" s="186"/>
      <c r="M125" s="5"/>
      <c r="N125" s="5"/>
      <c r="O125" s="5"/>
      <c r="P125" s="5"/>
      <c r="Q125" s="5"/>
      <c r="R125" s="143" t="str">
        <f t="shared" si="124"/>
        <v> </v>
      </c>
      <c r="S125" s="143">
        <f t="shared" si="125"/>
        <v>3</v>
      </c>
      <c r="T125" s="143" t="str">
        <f t="shared" si="126"/>
        <v> </v>
      </c>
      <c r="U125" s="143" t="str">
        <f t="shared" si="127"/>
        <v> </v>
      </c>
      <c r="V125" s="143" t="str">
        <f t="shared" si="128"/>
        <v> </v>
      </c>
      <c r="W125" s="5"/>
      <c r="X125" s="5"/>
      <c r="Y125" s="5"/>
      <c r="Z125" s="5"/>
      <c r="AA125" s="5"/>
    </row>
    <row r="126" ht="12.75" customHeight="1">
      <c r="A126" s="136"/>
      <c r="B126" s="144" t="s">
        <v>5</v>
      </c>
      <c r="C126" s="138">
        <v>0.7</v>
      </c>
      <c r="D126" s="139">
        <v>3.0</v>
      </c>
      <c r="E126" s="139">
        <v>1.0</v>
      </c>
      <c r="F126" s="140">
        <f>'1RM'!$C$5*C126</f>
        <v>70</v>
      </c>
      <c r="G126" s="186"/>
      <c r="H126" s="186"/>
      <c r="I126" s="186">
        <f t="shared" si="122"/>
        <v>3</v>
      </c>
      <c r="J126" s="192">
        <f t="shared" si="123"/>
        <v>210</v>
      </c>
      <c r="K126" s="186"/>
      <c r="L126" s="186"/>
      <c r="M126" s="5"/>
      <c r="N126" s="5"/>
      <c r="O126" s="5"/>
      <c r="P126" s="5"/>
      <c r="Q126" s="5"/>
      <c r="R126" s="143" t="str">
        <f t="shared" si="124"/>
        <v> </v>
      </c>
      <c r="S126" s="143" t="str">
        <f t="shared" si="125"/>
        <v> </v>
      </c>
      <c r="T126" s="143">
        <f t="shared" si="126"/>
        <v>3</v>
      </c>
      <c r="U126" s="143" t="str">
        <f t="shared" si="127"/>
        <v> </v>
      </c>
      <c r="V126" s="143" t="str">
        <f t="shared" si="128"/>
        <v> </v>
      </c>
      <c r="W126" s="5"/>
      <c r="X126" s="5"/>
      <c r="Y126" s="5"/>
      <c r="Z126" s="5"/>
      <c r="AA126" s="5"/>
    </row>
    <row r="127" ht="12.75" customHeight="1">
      <c r="A127" s="136"/>
      <c r="B127" s="144" t="s">
        <v>5</v>
      </c>
      <c r="C127" s="138">
        <v>0.8</v>
      </c>
      <c r="D127" s="139">
        <v>3.0</v>
      </c>
      <c r="E127" s="139">
        <v>4.0</v>
      </c>
      <c r="F127" s="140">
        <f>'1RM'!$C$5*C127</f>
        <v>80</v>
      </c>
      <c r="G127" s="186"/>
      <c r="H127" s="186"/>
      <c r="I127" s="186">
        <f t="shared" si="122"/>
        <v>12</v>
      </c>
      <c r="J127" s="192">
        <f t="shared" si="123"/>
        <v>960</v>
      </c>
      <c r="K127" s="186"/>
      <c r="L127" s="186"/>
      <c r="M127" s="5"/>
      <c r="N127" s="5"/>
      <c r="O127" s="5"/>
      <c r="P127" s="5"/>
      <c r="Q127" s="5"/>
      <c r="R127" s="143" t="str">
        <f t="shared" si="124"/>
        <v> </v>
      </c>
      <c r="S127" s="143" t="str">
        <f t="shared" si="125"/>
        <v> </v>
      </c>
      <c r="T127" s="143" t="str">
        <f t="shared" si="126"/>
        <v> </v>
      </c>
      <c r="U127" s="143">
        <f t="shared" si="127"/>
        <v>12</v>
      </c>
      <c r="V127" s="143" t="str">
        <f t="shared" si="128"/>
        <v> </v>
      </c>
      <c r="W127" s="5"/>
      <c r="X127" s="5"/>
      <c r="Y127" s="5"/>
      <c r="Z127" s="5"/>
      <c r="AA127" s="5"/>
    </row>
    <row r="128" ht="12.75" customHeight="1">
      <c r="A128" s="152">
        <v>3.0</v>
      </c>
      <c r="B128" s="153" t="s">
        <v>55</v>
      </c>
      <c r="C128" s="154"/>
      <c r="D128" s="155">
        <v>6.0</v>
      </c>
      <c r="E128" s="155">
        <v>4.0</v>
      </c>
      <c r="F128" s="156"/>
      <c r="G128" s="186"/>
      <c r="H128" s="186"/>
      <c r="I128" s="186"/>
      <c r="J128" s="186"/>
      <c r="K128" s="186"/>
      <c r="L128" s="18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164">
        <v>4.0</v>
      </c>
      <c r="B129" s="153" t="s">
        <v>65</v>
      </c>
      <c r="C129" s="166"/>
      <c r="D129" s="167">
        <v>8.0</v>
      </c>
      <c r="E129" s="167">
        <v>4.0</v>
      </c>
      <c r="F129" s="168"/>
      <c r="G129" s="186"/>
      <c r="H129" s="186"/>
      <c r="I129" s="186"/>
      <c r="J129" s="186"/>
      <c r="K129" s="186"/>
      <c r="L129" s="18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33"/>
      <c r="B130" s="134"/>
      <c r="C130" s="133"/>
      <c r="D130" s="192"/>
      <c r="E130" s="186"/>
      <c r="F130" s="42"/>
      <c r="G130" s="186"/>
      <c r="H130" s="186"/>
      <c r="I130" s="186"/>
      <c r="J130" s="186"/>
      <c r="K130" s="186"/>
      <c r="L130" s="18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33" t="s">
        <v>57</v>
      </c>
      <c r="B131" s="134"/>
      <c r="C131" s="135" t="s">
        <v>20</v>
      </c>
      <c r="D131" s="193" t="s">
        <v>51</v>
      </c>
      <c r="E131" s="36" t="s">
        <v>52</v>
      </c>
      <c r="F131" s="45" t="s">
        <v>53</v>
      </c>
      <c r="G131" s="186"/>
      <c r="H131" s="186"/>
      <c r="I131" s="186"/>
      <c r="J131" s="186"/>
      <c r="K131" s="186"/>
      <c r="L131" s="18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157">
        <v>1.0</v>
      </c>
      <c r="B132" s="158" t="s">
        <v>96</v>
      </c>
      <c r="C132" s="159">
        <v>0.5</v>
      </c>
      <c r="D132" s="160">
        <v>3.0</v>
      </c>
      <c r="E132" s="160">
        <v>1.0</v>
      </c>
      <c r="F132" s="161">
        <f>'1RM'!$C$6*C132</f>
        <v>50</v>
      </c>
      <c r="G132" s="186"/>
      <c r="H132" s="186"/>
      <c r="I132" s="186"/>
      <c r="J132" s="186"/>
      <c r="K132" s="186">
        <f t="shared" ref="K132:K135" si="129">D132*E132</f>
        <v>3</v>
      </c>
      <c r="L132" s="186">
        <f t="shared" ref="L132:L135" si="130">K132*F132</f>
        <v>150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162">
        <f t="shared" ref="W132:W135" si="131">IF(ISNUMBER(SEARCH("Peso muerto",$B132)),IF($C132&gt;=0.5,IF($C132&lt;0.6,$D132*$E132," ")," ")," ")</f>
        <v>3</v>
      </c>
      <c r="X132" s="162" t="str">
        <f t="shared" ref="X132:X135" si="132">IF(ISNUMBER(SEARCH("Peso muerto",$B132)),IF($C132&gt;=0.6,IF($C132&lt;0.7,$D132*$E132," ")," ")," ")</f>
        <v> </v>
      </c>
      <c r="Y132" s="162" t="str">
        <f t="shared" ref="Y132:Y135" si="133">IF(ISNUMBER(SEARCH("Peso muerto",$B132)),IF($C132&gt;=0.7,IF($C132&lt;0.8,$D132*$E132," ")," ")," ")</f>
        <v> </v>
      </c>
      <c r="Z132" s="162" t="str">
        <f t="shared" ref="Z132:Z135" si="134">IF(ISNUMBER(SEARCH("Peso muerto",$B132)),IF($C132&gt;=0.8,IF($C132&lt;0.9,$D132*$E132," ")," ")," ")</f>
        <v> </v>
      </c>
      <c r="AA132" s="162" t="str">
        <f t="shared" ref="AA132:AA135" si="135">IF(ISNUMBER(SEARCH("Peso muerto",$B132)),IF($C132&gt;=0.9,$D132*$E132," ")," ")</f>
        <v> </v>
      </c>
    </row>
    <row r="133" ht="12.75" customHeight="1">
      <c r="A133" s="157"/>
      <c r="B133" s="163" t="s">
        <v>96</v>
      </c>
      <c r="C133" s="159">
        <v>0.6</v>
      </c>
      <c r="D133" s="160">
        <v>3.0</v>
      </c>
      <c r="E133" s="160">
        <v>1.0</v>
      </c>
      <c r="F133" s="161">
        <f>'1RM'!$C$6*C133</f>
        <v>60</v>
      </c>
      <c r="G133" s="186"/>
      <c r="H133" s="186"/>
      <c r="I133" s="186"/>
      <c r="J133" s="186"/>
      <c r="K133" s="186">
        <f t="shared" si="129"/>
        <v>3</v>
      </c>
      <c r="L133" s="186">
        <f t="shared" si="130"/>
        <v>180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162" t="str">
        <f t="shared" si="131"/>
        <v> </v>
      </c>
      <c r="X133" s="162">
        <f t="shared" si="132"/>
        <v>3</v>
      </c>
      <c r="Y133" s="162" t="str">
        <f t="shared" si="133"/>
        <v> </v>
      </c>
      <c r="Z133" s="162" t="str">
        <f t="shared" si="134"/>
        <v> </v>
      </c>
      <c r="AA133" s="162" t="str">
        <f t="shared" si="135"/>
        <v> </v>
      </c>
    </row>
    <row r="134" ht="12.75" customHeight="1">
      <c r="A134" s="157"/>
      <c r="B134" s="163" t="s">
        <v>96</v>
      </c>
      <c r="C134" s="159">
        <v>0.7</v>
      </c>
      <c r="D134" s="160">
        <v>3.0</v>
      </c>
      <c r="E134" s="160">
        <v>1.0</v>
      </c>
      <c r="F134" s="161">
        <f>'1RM'!$C$6*C134</f>
        <v>70</v>
      </c>
      <c r="G134" s="186"/>
      <c r="H134" s="186"/>
      <c r="I134" s="186"/>
      <c r="J134" s="186"/>
      <c r="K134" s="186">
        <f t="shared" si="129"/>
        <v>3</v>
      </c>
      <c r="L134" s="186">
        <f t="shared" si="130"/>
        <v>210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162" t="str">
        <f t="shared" si="131"/>
        <v> </v>
      </c>
      <c r="X134" s="162" t="str">
        <f t="shared" si="132"/>
        <v> </v>
      </c>
      <c r="Y134" s="162">
        <f t="shared" si="133"/>
        <v>3</v>
      </c>
      <c r="Z134" s="162" t="str">
        <f t="shared" si="134"/>
        <v> </v>
      </c>
      <c r="AA134" s="162" t="str">
        <f t="shared" si="135"/>
        <v> </v>
      </c>
    </row>
    <row r="135" ht="12.75" customHeight="1">
      <c r="A135" s="157"/>
      <c r="B135" s="163" t="s">
        <v>96</v>
      </c>
      <c r="C135" s="159">
        <v>0.75</v>
      </c>
      <c r="D135" s="160">
        <v>2.0</v>
      </c>
      <c r="E135" s="160">
        <v>3.0</v>
      </c>
      <c r="F135" s="161">
        <f>'1RM'!$C$6*C135</f>
        <v>75</v>
      </c>
      <c r="G135" s="186"/>
      <c r="H135" s="186"/>
      <c r="I135" s="186"/>
      <c r="J135" s="186"/>
      <c r="K135" s="186">
        <f t="shared" si="129"/>
        <v>6</v>
      </c>
      <c r="L135" s="186">
        <f t="shared" si="130"/>
        <v>450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162" t="str">
        <f t="shared" si="131"/>
        <v> </v>
      </c>
      <c r="X135" s="162" t="str">
        <f t="shared" si="132"/>
        <v> </v>
      </c>
      <c r="Y135" s="162">
        <f t="shared" si="133"/>
        <v>6</v>
      </c>
      <c r="Z135" s="162" t="str">
        <f t="shared" si="134"/>
        <v> </v>
      </c>
      <c r="AA135" s="162" t="str">
        <f t="shared" si="135"/>
        <v> </v>
      </c>
    </row>
    <row r="136" ht="12.75" customHeight="1">
      <c r="A136" s="136">
        <v>2.0</v>
      </c>
      <c r="B136" s="137" t="s">
        <v>5</v>
      </c>
      <c r="C136" s="138">
        <v>0.5</v>
      </c>
      <c r="D136" s="139">
        <v>3.0</v>
      </c>
      <c r="E136" s="139">
        <v>1.0</v>
      </c>
      <c r="F136" s="140">
        <f>'1RM'!$C$5*C136</f>
        <v>50</v>
      </c>
      <c r="G136" s="186"/>
      <c r="H136" s="186"/>
      <c r="I136" s="186">
        <f t="shared" ref="I136:I140" si="136">D136*E136</f>
        <v>3</v>
      </c>
      <c r="J136" s="192">
        <f t="shared" ref="J136:J140" si="137">I136*F136</f>
        <v>150</v>
      </c>
      <c r="K136" s="186"/>
      <c r="L136" s="186"/>
      <c r="M136" s="5"/>
      <c r="N136" s="5"/>
      <c r="O136" s="5"/>
      <c r="P136" s="5"/>
      <c r="Q136" s="5"/>
      <c r="R136" s="143">
        <f t="shared" ref="R136:R140" si="138">IF(ISNUMBER(SEARCH("Press de banca",$B136)),IF($C136&gt;=0.5,IF($C136&lt;0.6,$D136*$E136," ")," ")," ")</f>
        <v>3</v>
      </c>
      <c r="S136" s="143" t="str">
        <f t="shared" ref="S136:S140" si="139">IF(ISNUMBER(SEARCH("Press de banca",$B136)),IF($C136&gt;=0.6,IF($C136&lt;0.7,$D136*$E136," ")," ")," ")</f>
        <v> </v>
      </c>
      <c r="T136" s="143" t="str">
        <f t="shared" ref="T136:T140" si="140">IF(ISNUMBER(SEARCH("Press de banca",$B136)),IF($C136&gt;=0.7,IF($C136&lt;0.8,$D136*$E136," ")," ")," ")</f>
        <v> </v>
      </c>
      <c r="U136" s="143" t="str">
        <f t="shared" ref="U136:U140" si="141">IF(ISNUMBER(SEARCH("Press de banca",$B136)),IF($C136&gt;=0.8,IF($C136&lt;0.9,$D136*$E136," ")," ")," ")</f>
        <v> </v>
      </c>
      <c r="V136" s="143" t="str">
        <f t="shared" ref="V136:V140" si="142">IF(ISNUMBER(SEARCH("Press de banca",$B136)),IF($C136&gt;=0.9,$D136*$E136," ")," ")</f>
        <v> </v>
      </c>
      <c r="W136" s="5"/>
      <c r="X136" s="5"/>
      <c r="Y136" s="5"/>
      <c r="Z136" s="5"/>
      <c r="AA136" s="5"/>
    </row>
    <row r="137" ht="12.75" customHeight="1">
      <c r="A137" s="136"/>
      <c r="B137" s="144" t="s">
        <v>5</v>
      </c>
      <c r="C137" s="138">
        <v>0.6</v>
      </c>
      <c r="D137" s="139">
        <v>3.0</v>
      </c>
      <c r="E137" s="139">
        <v>1.0</v>
      </c>
      <c r="F137" s="140">
        <f>'1RM'!$C$5*C137</f>
        <v>60</v>
      </c>
      <c r="G137" s="186"/>
      <c r="H137" s="186"/>
      <c r="I137" s="186">
        <f t="shared" si="136"/>
        <v>3</v>
      </c>
      <c r="J137" s="192">
        <f t="shared" si="137"/>
        <v>180</v>
      </c>
      <c r="K137" s="186"/>
      <c r="L137" s="186"/>
      <c r="M137" s="5"/>
      <c r="N137" s="5"/>
      <c r="O137" s="5"/>
      <c r="P137" s="5"/>
      <c r="Q137" s="5"/>
      <c r="R137" s="143" t="str">
        <f t="shared" si="138"/>
        <v> </v>
      </c>
      <c r="S137" s="143">
        <f t="shared" si="139"/>
        <v>3</v>
      </c>
      <c r="T137" s="143" t="str">
        <f t="shared" si="140"/>
        <v> </v>
      </c>
      <c r="U137" s="143" t="str">
        <f t="shared" si="141"/>
        <v> </v>
      </c>
      <c r="V137" s="143" t="str">
        <f t="shared" si="142"/>
        <v> </v>
      </c>
      <c r="W137" s="5"/>
      <c r="X137" s="5"/>
      <c r="Y137" s="5"/>
      <c r="Z137" s="5"/>
      <c r="AA137" s="5"/>
    </row>
    <row r="138" ht="12.75" customHeight="1">
      <c r="A138" s="136"/>
      <c r="B138" s="144" t="s">
        <v>5</v>
      </c>
      <c r="C138" s="138">
        <v>0.7</v>
      </c>
      <c r="D138" s="139">
        <v>3.0</v>
      </c>
      <c r="E138" s="139">
        <v>1.0</v>
      </c>
      <c r="F138" s="140">
        <f>'1RM'!$C$5*C138</f>
        <v>70</v>
      </c>
      <c r="G138" s="186"/>
      <c r="H138" s="186"/>
      <c r="I138" s="186">
        <f t="shared" si="136"/>
        <v>3</v>
      </c>
      <c r="J138" s="192">
        <f t="shared" si="137"/>
        <v>210</v>
      </c>
      <c r="K138" s="186"/>
      <c r="L138" s="186"/>
      <c r="M138" s="5"/>
      <c r="N138" s="5"/>
      <c r="O138" s="5"/>
      <c r="P138" s="5"/>
      <c r="Q138" s="5"/>
      <c r="R138" s="143" t="str">
        <f t="shared" si="138"/>
        <v> </v>
      </c>
      <c r="S138" s="143" t="str">
        <f t="shared" si="139"/>
        <v> </v>
      </c>
      <c r="T138" s="143">
        <f t="shared" si="140"/>
        <v>3</v>
      </c>
      <c r="U138" s="143" t="str">
        <f t="shared" si="141"/>
        <v> </v>
      </c>
      <c r="V138" s="143" t="str">
        <f t="shared" si="142"/>
        <v> </v>
      </c>
      <c r="W138" s="5"/>
      <c r="X138" s="5"/>
      <c r="Y138" s="5"/>
      <c r="Z138" s="5"/>
      <c r="AA138" s="5"/>
    </row>
    <row r="139" ht="12.75" customHeight="1">
      <c r="A139" s="136"/>
      <c r="B139" s="144" t="s">
        <v>5</v>
      </c>
      <c r="C139" s="138">
        <v>0.8</v>
      </c>
      <c r="D139" s="139">
        <v>2.0</v>
      </c>
      <c r="E139" s="139">
        <v>2.0</v>
      </c>
      <c r="F139" s="140">
        <f>'1RM'!$C$5*C139</f>
        <v>80</v>
      </c>
      <c r="G139" s="186"/>
      <c r="H139" s="186"/>
      <c r="I139" s="186">
        <f t="shared" si="136"/>
        <v>4</v>
      </c>
      <c r="J139" s="192">
        <f t="shared" si="137"/>
        <v>320</v>
      </c>
      <c r="K139" s="186"/>
      <c r="L139" s="186"/>
      <c r="M139" s="5"/>
      <c r="N139" s="5"/>
      <c r="O139" s="5"/>
      <c r="P139" s="5"/>
      <c r="Q139" s="5"/>
      <c r="R139" s="143" t="str">
        <f t="shared" si="138"/>
        <v> </v>
      </c>
      <c r="S139" s="143" t="str">
        <f t="shared" si="139"/>
        <v> </v>
      </c>
      <c r="T139" s="143" t="str">
        <f t="shared" si="140"/>
        <v> </v>
      </c>
      <c r="U139" s="143">
        <f t="shared" si="141"/>
        <v>4</v>
      </c>
      <c r="V139" s="143" t="str">
        <f t="shared" si="142"/>
        <v> </v>
      </c>
      <c r="W139" s="5"/>
      <c r="X139" s="5"/>
      <c r="Y139" s="5"/>
      <c r="Z139" s="5"/>
      <c r="AA139" s="5"/>
    </row>
    <row r="140" ht="12.75" customHeight="1">
      <c r="A140" s="136"/>
      <c r="B140" s="144" t="s">
        <v>5</v>
      </c>
      <c r="C140" s="138">
        <v>0.85</v>
      </c>
      <c r="D140" s="139">
        <v>1.0</v>
      </c>
      <c r="E140" s="139">
        <v>3.0</v>
      </c>
      <c r="F140" s="140">
        <f>'1RM'!$C$5*C140</f>
        <v>85</v>
      </c>
      <c r="G140" s="186"/>
      <c r="H140" s="186"/>
      <c r="I140" s="186">
        <f t="shared" si="136"/>
        <v>3</v>
      </c>
      <c r="J140" s="192">
        <f t="shared" si="137"/>
        <v>255</v>
      </c>
      <c r="K140" s="186"/>
      <c r="L140" s="186"/>
      <c r="M140" s="5"/>
      <c r="N140" s="5"/>
      <c r="O140" s="5"/>
      <c r="P140" s="5"/>
      <c r="Q140" s="5"/>
      <c r="R140" s="143" t="str">
        <f t="shared" si="138"/>
        <v> </v>
      </c>
      <c r="S140" s="143" t="str">
        <f t="shared" si="139"/>
        <v> </v>
      </c>
      <c r="T140" s="143" t="str">
        <f t="shared" si="140"/>
        <v> </v>
      </c>
      <c r="U140" s="143">
        <f t="shared" si="141"/>
        <v>3</v>
      </c>
      <c r="V140" s="143" t="str">
        <f t="shared" si="142"/>
        <v> </v>
      </c>
      <c r="W140" s="5"/>
      <c r="X140" s="5"/>
      <c r="Y140" s="5"/>
      <c r="Z140" s="5"/>
      <c r="AA140" s="5"/>
    </row>
    <row r="141" ht="12.75" customHeight="1">
      <c r="A141" s="157">
        <v>3.0</v>
      </c>
      <c r="B141" s="158" t="s">
        <v>6</v>
      </c>
      <c r="C141" s="159">
        <v>0.5</v>
      </c>
      <c r="D141" s="160">
        <v>3.0</v>
      </c>
      <c r="E141" s="160">
        <v>1.0</v>
      </c>
      <c r="F141" s="161">
        <f>'1RM'!$C$6*C141</f>
        <v>50</v>
      </c>
      <c r="G141" s="186"/>
      <c r="H141" s="186"/>
      <c r="I141" s="186"/>
      <c r="J141" s="186"/>
      <c r="K141" s="186">
        <f t="shared" ref="K141:K144" si="143">D141*E141</f>
        <v>3</v>
      </c>
      <c r="L141" s="186">
        <f t="shared" ref="L141:L144" si="144">K141*F141</f>
        <v>150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162">
        <f t="shared" ref="W141:W144" si="145">IF(ISNUMBER(SEARCH("Peso muerto",$B141)),IF($C141&gt;=0.5,IF($C141&lt;0.6,$D141*$E141," ")," ")," ")</f>
        <v>3</v>
      </c>
      <c r="X141" s="162" t="str">
        <f t="shared" ref="X141:X144" si="146">IF(ISNUMBER(SEARCH("Peso muerto",$B141)),IF($C141&gt;=0.6,IF($C141&lt;0.7,$D141*$E141," ")," ")," ")</f>
        <v> </v>
      </c>
      <c r="Y141" s="162" t="str">
        <f t="shared" ref="Y141:Y144" si="147">IF(ISNUMBER(SEARCH("Peso muerto",$B141)),IF($C141&gt;=0.7,IF($C141&lt;0.8,$D141*$E141," ")," ")," ")</f>
        <v> </v>
      </c>
      <c r="Z141" s="162" t="str">
        <f t="shared" ref="Z141:Z144" si="148">IF(ISNUMBER(SEARCH("Peso muerto",$B141)),IF($C141&gt;=0.8,IF($C141&lt;0.9,$D141*$E141," ")," ")," ")</f>
        <v> </v>
      </c>
      <c r="AA141" s="162" t="str">
        <f t="shared" ref="AA141:AA144" si="149">IF(ISNUMBER(SEARCH("Peso muerto",$B141)),IF($C141&gt;=0.9,$D141*$E141," ")," ")</f>
        <v> </v>
      </c>
    </row>
    <row r="142" ht="12.75" customHeight="1">
      <c r="A142" s="157"/>
      <c r="B142" s="163" t="s">
        <v>6</v>
      </c>
      <c r="C142" s="159">
        <v>0.6</v>
      </c>
      <c r="D142" s="160">
        <v>3.0</v>
      </c>
      <c r="E142" s="160">
        <v>1.0</v>
      </c>
      <c r="F142" s="161">
        <f>'1RM'!$C$6*C142</f>
        <v>60</v>
      </c>
      <c r="G142" s="186"/>
      <c r="H142" s="186"/>
      <c r="I142" s="186"/>
      <c r="J142" s="186"/>
      <c r="K142" s="186">
        <f t="shared" si="143"/>
        <v>3</v>
      </c>
      <c r="L142" s="186">
        <f t="shared" si="144"/>
        <v>180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162" t="str">
        <f t="shared" si="145"/>
        <v> </v>
      </c>
      <c r="X142" s="162">
        <f t="shared" si="146"/>
        <v>3</v>
      </c>
      <c r="Y142" s="162" t="str">
        <f t="shared" si="147"/>
        <v> </v>
      </c>
      <c r="Z142" s="162" t="str">
        <f t="shared" si="148"/>
        <v> </v>
      </c>
      <c r="AA142" s="162" t="str">
        <f t="shared" si="149"/>
        <v> </v>
      </c>
    </row>
    <row r="143" ht="12.75" customHeight="1">
      <c r="A143" s="157"/>
      <c r="B143" s="163" t="s">
        <v>6</v>
      </c>
      <c r="C143" s="159">
        <v>0.7</v>
      </c>
      <c r="D143" s="160">
        <v>3.0</v>
      </c>
      <c r="E143" s="160">
        <v>1.0</v>
      </c>
      <c r="F143" s="161">
        <f>'1RM'!$C$6*C143</f>
        <v>70</v>
      </c>
      <c r="G143" s="186"/>
      <c r="H143" s="186"/>
      <c r="I143" s="186"/>
      <c r="J143" s="186"/>
      <c r="K143" s="186">
        <f t="shared" si="143"/>
        <v>3</v>
      </c>
      <c r="L143" s="186">
        <f t="shared" si="144"/>
        <v>210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162" t="str">
        <f t="shared" si="145"/>
        <v> </v>
      </c>
      <c r="X143" s="162" t="str">
        <f t="shared" si="146"/>
        <v> </v>
      </c>
      <c r="Y143" s="162">
        <f t="shared" si="147"/>
        <v>3</v>
      </c>
      <c r="Z143" s="162" t="str">
        <f t="shared" si="148"/>
        <v> </v>
      </c>
      <c r="AA143" s="162" t="str">
        <f t="shared" si="149"/>
        <v> </v>
      </c>
    </row>
    <row r="144" ht="12.75" customHeight="1">
      <c r="A144" s="157"/>
      <c r="B144" s="163" t="s">
        <v>6</v>
      </c>
      <c r="C144" s="159">
        <v>0.8</v>
      </c>
      <c r="D144" s="160">
        <v>2.0</v>
      </c>
      <c r="E144" s="160">
        <v>4.0</v>
      </c>
      <c r="F144" s="161">
        <f>'1RM'!$C$6*C144</f>
        <v>80</v>
      </c>
      <c r="G144" s="186"/>
      <c r="H144" s="186"/>
      <c r="I144" s="186"/>
      <c r="J144" s="186"/>
      <c r="K144" s="186">
        <f t="shared" si="143"/>
        <v>8</v>
      </c>
      <c r="L144" s="186">
        <f t="shared" si="144"/>
        <v>640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162" t="str">
        <f t="shared" si="145"/>
        <v> </v>
      </c>
      <c r="X144" s="162" t="str">
        <f t="shared" si="146"/>
        <v> </v>
      </c>
      <c r="Y144" s="162" t="str">
        <f t="shared" si="147"/>
        <v> </v>
      </c>
      <c r="Z144" s="162">
        <f t="shared" si="148"/>
        <v>8</v>
      </c>
      <c r="AA144" s="162" t="str">
        <f t="shared" si="149"/>
        <v> </v>
      </c>
    </row>
    <row r="145" ht="12.75" customHeight="1">
      <c r="A145" s="152">
        <v>4.0</v>
      </c>
      <c r="B145" s="153" t="s">
        <v>60</v>
      </c>
      <c r="C145" s="154"/>
      <c r="D145" s="155">
        <v>6.0</v>
      </c>
      <c r="E145" s="155">
        <v>4.0</v>
      </c>
      <c r="F145" s="156"/>
      <c r="G145" s="186"/>
      <c r="H145" s="186"/>
      <c r="I145" s="186"/>
      <c r="J145" s="186"/>
      <c r="K145" s="186"/>
      <c r="L145" s="18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152">
        <v>5.0</v>
      </c>
      <c r="B146" s="153" t="s">
        <v>56</v>
      </c>
      <c r="C146" s="154"/>
      <c r="D146" s="155">
        <v>8.0</v>
      </c>
      <c r="E146" s="155">
        <v>3.0</v>
      </c>
      <c r="F146" s="156"/>
      <c r="G146" s="186"/>
      <c r="H146" s="186"/>
      <c r="I146" s="186"/>
      <c r="J146" s="186"/>
      <c r="K146" s="186"/>
      <c r="L146" s="18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33"/>
      <c r="B147" s="134"/>
      <c r="C147" s="133"/>
      <c r="D147" s="192"/>
      <c r="E147" s="186"/>
      <c r="F147" s="42"/>
      <c r="G147" s="186"/>
      <c r="H147" s="186"/>
      <c r="I147" s="186"/>
      <c r="J147" s="186"/>
      <c r="K147" s="186"/>
      <c r="L147" s="18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33" t="s">
        <v>62</v>
      </c>
      <c r="B148" s="134"/>
      <c r="C148" s="135" t="s">
        <v>20</v>
      </c>
      <c r="D148" s="193" t="s">
        <v>51</v>
      </c>
      <c r="E148" s="36" t="s">
        <v>52</v>
      </c>
      <c r="F148" s="45" t="s">
        <v>53</v>
      </c>
      <c r="G148" s="186"/>
      <c r="H148" s="186"/>
      <c r="I148" s="186"/>
      <c r="J148" s="186"/>
      <c r="K148" s="186"/>
      <c r="L148" s="18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145">
        <v>1.0</v>
      </c>
      <c r="B149" s="146" t="s">
        <v>4</v>
      </c>
      <c r="C149" s="147">
        <v>0.5</v>
      </c>
      <c r="D149" s="148">
        <v>3.0</v>
      </c>
      <c r="E149" s="148">
        <v>1.0</v>
      </c>
      <c r="F149" s="149">
        <f>'1RM'!$C$4*C149</f>
        <v>50</v>
      </c>
      <c r="G149" s="186">
        <f t="shared" ref="G149:G152" si="150">D149*E149</f>
        <v>3</v>
      </c>
      <c r="H149" s="192">
        <f t="shared" ref="H149:H152" si="151">G149*F149</f>
        <v>150</v>
      </c>
      <c r="I149" s="186"/>
      <c r="J149" s="186"/>
      <c r="K149" s="186"/>
      <c r="L149" s="186"/>
      <c r="M149" s="150">
        <f t="shared" ref="M149:M152" si="152">IF(ISNUMBER(SEARCH("Sentadilla",$B149)),IF($C149&gt;=0.5,IF($C149&lt;0.6,$D149*$E149," ")," ")," ")</f>
        <v>3</v>
      </c>
      <c r="N149" s="150" t="str">
        <f t="shared" ref="N149:N152" si="153">IF(ISNUMBER(SEARCH("Sentadilla",$B149)),IF($C149&gt;=0.6,IF($C149&lt;0.7,$D149*$E149," ")," ")," ")</f>
        <v> </v>
      </c>
      <c r="O149" s="150" t="str">
        <f t="shared" ref="O149:O152" si="154">IF(ISNUMBER(SEARCH("Sentadilla",$B149)),IF($C149&gt;=0.7,IF($C149&lt;0.8,$D149*$E149," ")," ")," ")</f>
        <v> </v>
      </c>
      <c r="P149" s="150" t="str">
        <f t="shared" ref="P149:P152" si="155">IF(ISNUMBER(SEARCH("Sentadilla",$B149)),IF($C149&gt;=0.8,IF($C149&lt;0.9,$D149*$E149," ")," ")," ")</f>
        <v> </v>
      </c>
      <c r="Q149" s="150" t="str">
        <f t="shared" ref="Q149:Q152" si="156">IF(ISNUMBER(SEARCH("Sentadilla",$B149)),IF($C149&gt;=0.9,$D149*$E149," ")," ")</f>
        <v> </v>
      </c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145"/>
      <c r="B150" s="151" t="s">
        <v>4</v>
      </c>
      <c r="C150" s="147">
        <v>0.6</v>
      </c>
      <c r="D150" s="148">
        <v>3.0</v>
      </c>
      <c r="E150" s="148">
        <v>1.0</v>
      </c>
      <c r="F150" s="149">
        <f>'1RM'!$C$4*C150</f>
        <v>60</v>
      </c>
      <c r="G150" s="186">
        <f t="shared" si="150"/>
        <v>3</v>
      </c>
      <c r="H150" s="192">
        <f t="shared" si="151"/>
        <v>180</v>
      </c>
      <c r="I150" s="186"/>
      <c r="J150" s="186"/>
      <c r="K150" s="186"/>
      <c r="L150" s="186"/>
      <c r="M150" s="150" t="str">
        <f t="shared" si="152"/>
        <v> </v>
      </c>
      <c r="N150" s="150">
        <f t="shared" si="153"/>
        <v>3</v>
      </c>
      <c r="O150" s="150" t="str">
        <f t="shared" si="154"/>
        <v> </v>
      </c>
      <c r="P150" s="150" t="str">
        <f t="shared" si="155"/>
        <v> </v>
      </c>
      <c r="Q150" s="150" t="str">
        <f t="shared" si="156"/>
        <v> </v>
      </c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145"/>
      <c r="B151" s="151" t="s">
        <v>4</v>
      </c>
      <c r="C151" s="147">
        <v>0.7</v>
      </c>
      <c r="D151" s="148">
        <v>3.0</v>
      </c>
      <c r="E151" s="148">
        <v>1.0</v>
      </c>
      <c r="F151" s="149">
        <f>'1RM'!$C$4*C151</f>
        <v>70</v>
      </c>
      <c r="G151" s="186">
        <f t="shared" si="150"/>
        <v>3</v>
      </c>
      <c r="H151" s="192">
        <f t="shared" si="151"/>
        <v>210</v>
      </c>
      <c r="I151" s="186"/>
      <c r="J151" s="186"/>
      <c r="K151" s="186"/>
      <c r="L151" s="186"/>
      <c r="M151" s="150" t="str">
        <f t="shared" si="152"/>
        <v> </v>
      </c>
      <c r="N151" s="150" t="str">
        <f t="shared" si="153"/>
        <v> </v>
      </c>
      <c r="O151" s="150">
        <f t="shared" si="154"/>
        <v>3</v>
      </c>
      <c r="P151" s="150" t="str">
        <f t="shared" si="155"/>
        <v> </v>
      </c>
      <c r="Q151" s="150" t="str">
        <f t="shared" si="156"/>
        <v> </v>
      </c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145"/>
      <c r="B152" s="151" t="s">
        <v>4</v>
      </c>
      <c r="C152" s="147">
        <v>0.8</v>
      </c>
      <c r="D152" s="148">
        <v>2.0</v>
      </c>
      <c r="E152" s="148">
        <v>4.0</v>
      </c>
      <c r="F152" s="149">
        <f>'1RM'!$C$4*C152</f>
        <v>80</v>
      </c>
      <c r="G152" s="186">
        <f t="shared" si="150"/>
        <v>8</v>
      </c>
      <c r="H152" s="192">
        <f t="shared" si="151"/>
        <v>640</v>
      </c>
      <c r="I152" s="186"/>
      <c r="J152" s="186"/>
      <c r="K152" s="186"/>
      <c r="L152" s="186"/>
      <c r="M152" s="150" t="str">
        <f t="shared" si="152"/>
        <v> </v>
      </c>
      <c r="N152" s="150" t="str">
        <f t="shared" si="153"/>
        <v> </v>
      </c>
      <c r="O152" s="150" t="str">
        <f t="shared" si="154"/>
        <v> </v>
      </c>
      <c r="P152" s="150">
        <f t="shared" si="155"/>
        <v>8</v>
      </c>
      <c r="Q152" s="150" t="str">
        <f t="shared" si="156"/>
        <v> </v>
      </c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136">
        <v>2.0</v>
      </c>
      <c r="B153" s="137" t="s">
        <v>5</v>
      </c>
      <c r="C153" s="138">
        <v>0.5</v>
      </c>
      <c r="D153" s="139">
        <v>3.0</v>
      </c>
      <c r="E153" s="139">
        <v>1.0</v>
      </c>
      <c r="F153" s="140">
        <f>'1RM'!$C$5*C153</f>
        <v>50</v>
      </c>
      <c r="G153" s="186"/>
      <c r="H153" s="186"/>
      <c r="I153" s="186">
        <f t="shared" ref="I153:I156" si="157">D153*E153</f>
        <v>3</v>
      </c>
      <c r="J153" s="192">
        <f t="shared" ref="J153:J156" si="158">I153*F153</f>
        <v>150</v>
      </c>
      <c r="K153" s="186"/>
      <c r="L153" s="186"/>
      <c r="M153" s="5"/>
      <c r="N153" s="5"/>
      <c r="O153" s="5"/>
      <c r="P153" s="5"/>
      <c r="Q153" s="5"/>
      <c r="R153" s="143">
        <f t="shared" ref="R153:R156" si="159">IF(ISNUMBER(SEARCH("Press de banca",$B153)),IF($C153&gt;=0.5,IF($C153&lt;0.6,$D153*$E153," ")," ")," ")</f>
        <v>3</v>
      </c>
      <c r="S153" s="143" t="str">
        <f t="shared" ref="S153:S156" si="160">IF(ISNUMBER(SEARCH("Press de banca",$B153)),IF($C153&gt;=0.6,IF($C153&lt;0.7,$D153*$E153," ")," ")," ")</f>
        <v> </v>
      </c>
      <c r="T153" s="143" t="str">
        <f t="shared" ref="T153:T156" si="161">IF(ISNUMBER(SEARCH("Press de banca",$B153)),IF($C153&gt;=0.7,IF($C153&lt;0.8,$D153*$E153," ")," ")," ")</f>
        <v> </v>
      </c>
      <c r="U153" s="143" t="str">
        <f t="shared" ref="U153:U156" si="162">IF(ISNUMBER(SEARCH("Press de banca",$B153)),IF($C153&gt;=0.8,IF($C153&lt;0.9,$D153*$E153," ")," ")," ")</f>
        <v> </v>
      </c>
      <c r="V153" s="143" t="str">
        <f t="shared" ref="V153:V156" si="163">IF(ISNUMBER(SEARCH("Press de banca",$B153)),IF($C153&gt;=0.9,$D153*$E153," ")," ")</f>
        <v> </v>
      </c>
      <c r="W153" s="5"/>
      <c r="X153" s="5"/>
      <c r="Y153" s="5"/>
      <c r="Z153" s="5"/>
      <c r="AA153" s="5"/>
    </row>
    <row r="154" ht="12.75" customHeight="1">
      <c r="A154" s="136"/>
      <c r="B154" s="144" t="s">
        <v>5</v>
      </c>
      <c r="C154" s="138">
        <v>0.6</v>
      </c>
      <c r="D154" s="139">
        <v>3.0</v>
      </c>
      <c r="E154" s="139">
        <v>1.0</v>
      </c>
      <c r="F154" s="140">
        <f>'1RM'!$C$5*C154</f>
        <v>60</v>
      </c>
      <c r="G154" s="186"/>
      <c r="H154" s="186"/>
      <c r="I154" s="186">
        <f t="shared" si="157"/>
        <v>3</v>
      </c>
      <c r="J154" s="192">
        <f t="shared" si="158"/>
        <v>180</v>
      </c>
      <c r="K154" s="186"/>
      <c r="L154" s="186"/>
      <c r="M154" s="5"/>
      <c r="N154" s="5"/>
      <c r="O154" s="5"/>
      <c r="P154" s="5"/>
      <c r="Q154" s="5"/>
      <c r="R154" s="143" t="str">
        <f t="shared" si="159"/>
        <v> </v>
      </c>
      <c r="S154" s="143">
        <f t="shared" si="160"/>
        <v>3</v>
      </c>
      <c r="T154" s="143" t="str">
        <f t="shared" si="161"/>
        <v> </v>
      </c>
      <c r="U154" s="143" t="str">
        <f t="shared" si="162"/>
        <v> </v>
      </c>
      <c r="V154" s="143" t="str">
        <f t="shared" si="163"/>
        <v> </v>
      </c>
      <c r="W154" s="5"/>
      <c r="X154" s="5"/>
      <c r="Y154" s="5"/>
      <c r="Z154" s="5"/>
      <c r="AA154" s="5"/>
    </row>
    <row r="155" ht="12.75" customHeight="1">
      <c r="A155" s="136"/>
      <c r="B155" s="144" t="s">
        <v>5</v>
      </c>
      <c r="C155" s="138">
        <v>0.7</v>
      </c>
      <c r="D155" s="139">
        <v>3.0</v>
      </c>
      <c r="E155" s="139">
        <v>1.0</v>
      </c>
      <c r="F155" s="140">
        <f>'1RM'!$C$5*C155</f>
        <v>70</v>
      </c>
      <c r="G155" s="186"/>
      <c r="H155" s="186"/>
      <c r="I155" s="186">
        <f t="shared" si="157"/>
        <v>3</v>
      </c>
      <c r="J155" s="192">
        <f t="shared" si="158"/>
        <v>210</v>
      </c>
      <c r="K155" s="186"/>
      <c r="L155" s="186"/>
      <c r="M155" s="5"/>
      <c r="N155" s="5"/>
      <c r="O155" s="5"/>
      <c r="P155" s="5"/>
      <c r="Q155" s="5"/>
      <c r="R155" s="143" t="str">
        <f t="shared" si="159"/>
        <v> </v>
      </c>
      <c r="S155" s="143" t="str">
        <f t="shared" si="160"/>
        <v> </v>
      </c>
      <c r="T155" s="143">
        <f t="shared" si="161"/>
        <v>3</v>
      </c>
      <c r="U155" s="143" t="str">
        <f t="shared" si="162"/>
        <v> </v>
      </c>
      <c r="V155" s="143" t="str">
        <f t="shared" si="163"/>
        <v> </v>
      </c>
      <c r="W155" s="5"/>
      <c r="X155" s="5"/>
      <c r="Y155" s="5"/>
      <c r="Z155" s="5"/>
      <c r="AA155" s="5"/>
    </row>
    <row r="156" ht="12.75" customHeight="1">
      <c r="A156" s="136"/>
      <c r="B156" s="144" t="s">
        <v>5</v>
      </c>
      <c r="C156" s="138">
        <v>0.8</v>
      </c>
      <c r="D156" s="139">
        <v>2.0</v>
      </c>
      <c r="E156" s="139">
        <v>5.0</v>
      </c>
      <c r="F156" s="140">
        <f>'1RM'!$C$5*C156</f>
        <v>80</v>
      </c>
      <c r="G156" s="186"/>
      <c r="H156" s="186"/>
      <c r="I156" s="186">
        <f t="shared" si="157"/>
        <v>10</v>
      </c>
      <c r="J156" s="192">
        <f t="shared" si="158"/>
        <v>800</v>
      </c>
      <c r="K156" s="186"/>
      <c r="L156" s="186"/>
      <c r="M156" s="5"/>
      <c r="N156" s="5"/>
      <c r="O156" s="5"/>
      <c r="P156" s="5"/>
      <c r="Q156" s="5"/>
      <c r="R156" s="143" t="str">
        <f t="shared" si="159"/>
        <v> </v>
      </c>
      <c r="S156" s="143" t="str">
        <f t="shared" si="160"/>
        <v> </v>
      </c>
      <c r="T156" s="143" t="str">
        <f t="shared" si="161"/>
        <v> </v>
      </c>
      <c r="U156" s="143">
        <f t="shared" si="162"/>
        <v>10</v>
      </c>
      <c r="V156" s="143" t="str">
        <f t="shared" si="163"/>
        <v> </v>
      </c>
      <c r="W156" s="5"/>
      <c r="X156" s="5"/>
      <c r="Y156" s="5"/>
      <c r="Z156" s="5"/>
      <c r="AA156" s="5"/>
    </row>
    <row r="157" ht="12.75" customHeight="1">
      <c r="A157" s="152">
        <v>3.0</v>
      </c>
      <c r="B157" s="153" t="s">
        <v>74</v>
      </c>
      <c r="C157" s="154"/>
      <c r="D157" s="155">
        <v>6.0</v>
      </c>
      <c r="E157" s="155">
        <v>4.0</v>
      </c>
      <c r="F157" s="156"/>
      <c r="G157" s="186"/>
      <c r="H157" s="186"/>
      <c r="I157" s="186"/>
      <c r="J157" s="186"/>
      <c r="K157" s="186"/>
      <c r="L157" s="18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152">
        <v>4.0</v>
      </c>
      <c r="B158" s="153" t="s">
        <v>83</v>
      </c>
      <c r="C158" s="154"/>
      <c r="D158" s="155">
        <v>6.0</v>
      </c>
      <c r="E158" s="155">
        <v>4.0</v>
      </c>
      <c r="F158" s="156"/>
      <c r="G158" s="186"/>
      <c r="H158" s="186"/>
      <c r="I158" s="186"/>
      <c r="J158" s="186"/>
      <c r="K158" s="186"/>
      <c r="L158" s="18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152">
        <v>5.0</v>
      </c>
      <c r="B159" s="153" t="s">
        <v>61</v>
      </c>
      <c r="C159" s="154"/>
      <c r="D159" s="155">
        <v>4.0</v>
      </c>
      <c r="E159" s="155">
        <v>4.0</v>
      </c>
      <c r="F159" s="156"/>
      <c r="G159" s="186"/>
      <c r="H159" s="186"/>
      <c r="I159" s="186"/>
      <c r="J159" s="186"/>
      <c r="K159" s="186"/>
      <c r="L159" s="18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33"/>
      <c r="B160" s="134"/>
      <c r="C160" s="135"/>
      <c r="D160" s="193"/>
      <c r="E160" s="36"/>
      <c r="F160" s="45"/>
      <c r="G160" s="186"/>
      <c r="H160" s="186"/>
      <c r="I160" s="186"/>
      <c r="J160" s="186"/>
      <c r="K160" s="186"/>
      <c r="L160" s="18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33" t="s">
        <v>66</v>
      </c>
      <c r="B161" s="134"/>
      <c r="C161" s="135" t="s">
        <v>20</v>
      </c>
      <c r="D161" s="193" t="s">
        <v>51</v>
      </c>
      <c r="E161" s="36" t="s">
        <v>52</v>
      </c>
      <c r="F161" s="45" t="s">
        <v>53</v>
      </c>
      <c r="G161" s="186"/>
      <c r="H161" s="186"/>
      <c r="I161" s="186"/>
      <c r="J161" s="186"/>
      <c r="K161" s="186"/>
      <c r="L161" s="18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152">
        <v>1.0</v>
      </c>
      <c r="B162" s="153" t="s">
        <v>88</v>
      </c>
      <c r="C162" s="154"/>
      <c r="D162" s="155">
        <v>3.0</v>
      </c>
      <c r="E162" s="155">
        <v>5.0</v>
      </c>
      <c r="F162" s="156"/>
      <c r="G162" s="186"/>
      <c r="H162" s="186"/>
      <c r="I162" s="186"/>
      <c r="J162" s="186"/>
      <c r="K162" s="186"/>
      <c r="L162" s="18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157">
        <v>2.0</v>
      </c>
      <c r="B163" s="158" t="s">
        <v>68</v>
      </c>
      <c r="C163" s="159">
        <v>0.55</v>
      </c>
      <c r="D163" s="160">
        <v>3.0</v>
      </c>
      <c r="E163" s="160">
        <v>1.0</v>
      </c>
      <c r="F163" s="161">
        <f>'1RM'!$C$6*C163</f>
        <v>55</v>
      </c>
      <c r="G163" s="186"/>
      <c r="H163" s="186"/>
      <c r="I163" s="186"/>
      <c r="J163" s="186"/>
      <c r="K163" s="186">
        <f t="shared" ref="K163:K166" si="164">D163*E163</f>
        <v>3</v>
      </c>
      <c r="L163" s="186">
        <f t="shared" ref="L163:L166" si="165">K163*F163</f>
        <v>165</v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162">
        <f t="shared" ref="W163:W166" si="166">IF(ISNUMBER(SEARCH("Peso muerto",$B163)),IF($C163&gt;=0.5,IF($C163&lt;0.6,$D163*$E163," ")," ")," ")</f>
        <v>3</v>
      </c>
      <c r="X163" s="162" t="str">
        <f t="shared" ref="X163:X166" si="167">IF(ISNUMBER(SEARCH("Peso muerto",$B163)),IF($C163&gt;=0.6,IF($C163&lt;0.7,$D163*$E163," ")," ")," ")</f>
        <v> </v>
      </c>
      <c r="Y163" s="162" t="str">
        <f t="shared" ref="Y163:Y166" si="168">IF(ISNUMBER(SEARCH("Peso muerto",$B163)),IF($C163&gt;=0.7,IF($C163&lt;0.8,$D163*$E163," ")," ")," ")</f>
        <v> </v>
      </c>
      <c r="Z163" s="162" t="str">
        <f t="shared" ref="Z163:Z166" si="169">IF(ISNUMBER(SEARCH("Peso muerto",$B163)),IF($C163&gt;=0.8,IF($C163&lt;0.9,$D163*$E163," ")," ")," ")</f>
        <v> </v>
      </c>
      <c r="AA163" s="162" t="str">
        <f t="shared" ref="AA163:AA166" si="170">IF(ISNUMBER(SEARCH("Peso muerto",$B163)),IF($C163&gt;=0.9,$D163*$E163," ")," ")</f>
        <v> </v>
      </c>
    </row>
    <row r="164" ht="12.75" customHeight="1">
      <c r="A164" s="157"/>
      <c r="B164" s="163" t="s">
        <v>68</v>
      </c>
      <c r="C164" s="159">
        <v>0.65</v>
      </c>
      <c r="D164" s="160">
        <v>3.0</v>
      </c>
      <c r="E164" s="160">
        <v>1.0</v>
      </c>
      <c r="F164" s="161">
        <f>'1RM'!$C$6*C164</f>
        <v>65</v>
      </c>
      <c r="G164" s="186"/>
      <c r="H164" s="186"/>
      <c r="I164" s="186"/>
      <c r="J164" s="186"/>
      <c r="K164" s="186">
        <f t="shared" si="164"/>
        <v>3</v>
      </c>
      <c r="L164" s="186">
        <f t="shared" si="165"/>
        <v>195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162" t="str">
        <f t="shared" si="166"/>
        <v> </v>
      </c>
      <c r="X164" s="162">
        <f t="shared" si="167"/>
        <v>3</v>
      </c>
      <c r="Y164" s="162" t="str">
        <f t="shared" si="168"/>
        <v> </v>
      </c>
      <c r="Z164" s="162" t="str">
        <f t="shared" si="169"/>
        <v> </v>
      </c>
      <c r="AA164" s="162" t="str">
        <f t="shared" si="170"/>
        <v> </v>
      </c>
    </row>
    <row r="165" ht="12.75" customHeight="1">
      <c r="A165" s="157"/>
      <c r="B165" s="163" t="s">
        <v>68</v>
      </c>
      <c r="C165" s="159">
        <v>0.75</v>
      </c>
      <c r="D165" s="160">
        <v>3.0</v>
      </c>
      <c r="E165" s="160">
        <v>1.0</v>
      </c>
      <c r="F165" s="161">
        <f>'1RM'!$C$6*C165</f>
        <v>75</v>
      </c>
      <c r="G165" s="186"/>
      <c r="H165" s="186"/>
      <c r="I165" s="186"/>
      <c r="J165" s="186"/>
      <c r="K165" s="186">
        <f t="shared" si="164"/>
        <v>3</v>
      </c>
      <c r="L165" s="186">
        <f t="shared" si="165"/>
        <v>225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162" t="str">
        <f t="shared" si="166"/>
        <v> </v>
      </c>
      <c r="X165" s="162" t="str">
        <f t="shared" si="167"/>
        <v> </v>
      </c>
      <c r="Y165" s="162">
        <f t="shared" si="168"/>
        <v>3</v>
      </c>
      <c r="Z165" s="162" t="str">
        <f t="shared" si="169"/>
        <v> </v>
      </c>
      <c r="AA165" s="162" t="str">
        <f t="shared" si="170"/>
        <v> </v>
      </c>
    </row>
    <row r="166" ht="12.75" customHeight="1">
      <c r="A166" s="157"/>
      <c r="B166" s="163" t="s">
        <v>68</v>
      </c>
      <c r="C166" s="159">
        <v>0.85</v>
      </c>
      <c r="D166" s="160">
        <v>2.0</v>
      </c>
      <c r="E166" s="160">
        <v>3.0</v>
      </c>
      <c r="F166" s="161">
        <f>'1RM'!$C$6*C166</f>
        <v>85</v>
      </c>
      <c r="G166" s="186"/>
      <c r="H166" s="186"/>
      <c r="I166" s="186"/>
      <c r="J166" s="186"/>
      <c r="K166" s="186">
        <f t="shared" si="164"/>
        <v>6</v>
      </c>
      <c r="L166" s="186">
        <f t="shared" si="165"/>
        <v>510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162" t="str">
        <f t="shared" si="166"/>
        <v> </v>
      </c>
      <c r="X166" s="162" t="str">
        <f t="shared" si="167"/>
        <v> </v>
      </c>
      <c r="Y166" s="162" t="str">
        <f t="shared" si="168"/>
        <v> </v>
      </c>
      <c r="Z166" s="162">
        <f t="shared" si="169"/>
        <v>6</v>
      </c>
      <c r="AA166" s="162" t="str">
        <f t="shared" si="170"/>
        <v> </v>
      </c>
    </row>
    <row r="167" ht="12.75" customHeight="1">
      <c r="A167" s="152">
        <v>3.0</v>
      </c>
      <c r="B167" s="153" t="s">
        <v>60</v>
      </c>
      <c r="C167" s="154"/>
      <c r="D167" s="155">
        <v>6.0</v>
      </c>
      <c r="E167" s="155">
        <v>4.0</v>
      </c>
      <c r="F167" s="156"/>
      <c r="G167" s="186"/>
      <c r="H167" s="186"/>
      <c r="I167" s="186"/>
      <c r="J167" s="186"/>
      <c r="K167" s="186"/>
      <c r="L167" s="18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152">
        <v>4.0</v>
      </c>
      <c r="B168" s="153" t="s">
        <v>71</v>
      </c>
      <c r="C168" s="154"/>
      <c r="D168" s="155">
        <v>8.0</v>
      </c>
      <c r="E168" s="155">
        <v>4.0</v>
      </c>
      <c r="F168" s="156"/>
      <c r="G168" s="186"/>
      <c r="H168" s="186"/>
      <c r="I168" s="186"/>
      <c r="J168" s="186"/>
      <c r="K168" s="186"/>
      <c r="L168" s="18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2.75" customHeight="1">
      <c r="A169" s="169"/>
      <c r="B169" s="170"/>
      <c r="C169" s="171"/>
      <c r="D169" s="195"/>
      <c r="E169" s="180"/>
      <c r="F169" s="172"/>
      <c r="G169" s="180">
        <f t="shared" ref="G169:AA169" si="171">SUM(G120:G168)</f>
        <v>31</v>
      </c>
      <c r="H169" s="195">
        <f t="shared" si="171"/>
        <v>2180</v>
      </c>
      <c r="I169" s="180">
        <f t="shared" si="171"/>
        <v>56</v>
      </c>
      <c r="J169" s="180">
        <f t="shared" si="171"/>
        <v>3955</v>
      </c>
      <c r="K169" s="180">
        <f t="shared" si="171"/>
        <v>47</v>
      </c>
      <c r="L169" s="180">
        <f t="shared" si="171"/>
        <v>3265</v>
      </c>
      <c r="M169" s="172">
        <f t="shared" si="171"/>
        <v>6</v>
      </c>
      <c r="N169" s="172">
        <f t="shared" si="171"/>
        <v>6</v>
      </c>
      <c r="O169" s="172">
        <f t="shared" si="171"/>
        <v>7</v>
      </c>
      <c r="P169" s="172">
        <f t="shared" si="171"/>
        <v>12</v>
      </c>
      <c r="Q169" s="172">
        <f t="shared" si="171"/>
        <v>0</v>
      </c>
      <c r="R169" s="169">
        <f t="shared" si="171"/>
        <v>9</v>
      </c>
      <c r="S169" s="169">
        <f t="shared" si="171"/>
        <v>9</v>
      </c>
      <c r="T169" s="169">
        <f t="shared" si="171"/>
        <v>9</v>
      </c>
      <c r="U169" s="169">
        <f t="shared" si="171"/>
        <v>29</v>
      </c>
      <c r="V169" s="169">
        <f t="shared" si="171"/>
        <v>0</v>
      </c>
      <c r="W169" s="169">
        <f t="shared" si="171"/>
        <v>9</v>
      </c>
      <c r="X169" s="169">
        <f t="shared" si="171"/>
        <v>9</v>
      </c>
      <c r="Y169" s="169">
        <f t="shared" si="171"/>
        <v>15</v>
      </c>
      <c r="Z169" s="169">
        <f t="shared" si="171"/>
        <v>14</v>
      </c>
      <c r="AA169" s="169">
        <f t="shared" si="171"/>
        <v>0</v>
      </c>
    </row>
    <row r="170" ht="12.75" customHeight="1">
      <c r="A170" s="33" t="s">
        <v>24</v>
      </c>
      <c r="B170" s="33"/>
      <c r="C170" s="133"/>
      <c r="D170" s="192"/>
      <c r="E170" s="186"/>
      <c r="F170" s="42"/>
      <c r="G170" s="186"/>
      <c r="H170" s="186"/>
      <c r="I170" s="186"/>
      <c r="J170" s="186"/>
      <c r="K170" s="186"/>
      <c r="L170" s="18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2.75" customHeight="1">
      <c r="A171" s="33" t="s">
        <v>50</v>
      </c>
      <c r="B171" s="134"/>
      <c r="C171" s="135" t="s">
        <v>20</v>
      </c>
      <c r="D171" s="193" t="s">
        <v>51</v>
      </c>
      <c r="E171" s="36" t="s">
        <v>52</v>
      </c>
      <c r="F171" s="45" t="s">
        <v>53</v>
      </c>
      <c r="G171" s="186"/>
      <c r="H171" s="186"/>
      <c r="I171" s="186"/>
      <c r="J171" s="186"/>
      <c r="K171" s="186"/>
      <c r="L171" s="18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2.75" customHeight="1">
      <c r="A172" s="145">
        <v>1.0</v>
      </c>
      <c r="B172" s="146" t="s">
        <v>4</v>
      </c>
      <c r="C172" s="147">
        <v>0.5</v>
      </c>
      <c r="D172" s="148">
        <v>3.0</v>
      </c>
      <c r="E172" s="148">
        <v>1.0</v>
      </c>
      <c r="F172" s="149">
        <f>'1RM'!$C$4*C172</f>
        <v>50</v>
      </c>
      <c r="G172" s="186">
        <f t="shared" ref="G172:G175" si="172">D172*E172</f>
        <v>3</v>
      </c>
      <c r="H172" s="192">
        <f t="shared" ref="H172:H175" si="173">G172*F172</f>
        <v>150</v>
      </c>
      <c r="I172" s="186"/>
      <c r="J172" s="186"/>
      <c r="K172" s="186"/>
      <c r="L172" s="186"/>
      <c r="M172" s="150">
        <f t="shared" ref="M172:M175" si="174">IF(ISNUMBER(SEARCH("Sentadilla",$B172)),IF($C172&gt;=0.5,IF($C172&lt;0.6,$D172*$E172," ")," ")," ")</f>
        <v>3</v>
      </c>
      <c r="N172" s="150" t="str">
        <f t="shared" ref="N172:N175" si="175">IF(ISNUMBER(SEARCH("Sentadilla",$B172)),IF($C172&gt;=0.6,IF($C172&lt;0.7,$D172*$E172," ")," ")," ")</f>
        <v> </v>
      </c>
      <c r="O172" s="150" t="str">
        <f t="shared" ref="O172:O175" si="176">IF(ISNUMBER(SEARCH("Sentadilla",$B172)),IF($C172&gt;=0.7,IF($C172&lt;0.8,$D172*$E172," ")," ")," ")</f>
        <v> </v>
      </c>
      <c r="P172" s="150" t="str">
        <f t="shared" ref="P172:P175" si="177">IF(ISNUMBER(SEARCH("Sentadilla",$B172)),IF($C172&gt;=0.8,IF($C172&lt;0.9,$D172*$E172," ")," ")," ")</f>
        <v> </v>
      </c>
      <c r="Q172" s="150" t="str">
        <f t="shared" ref="Q172:Q175" si="178">IF(ISNUMBER(SEARCH("Sentadilla",$B172)),IF($C172&gt;=0.9,$D172*$E172," ")," ")</f>
        <v> </v>
      </c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2.75" customHeight="1">
      <c r="A173" s="145"/>
      <c r="B173" s="151" t="s">
        <v>4</v>
      </c>
      <c r="C173" s="147">
        <v>0.6</v>
      </c>
      <c r="D173" s="148">
        <v>3.0</v>
      </c>
      <c r="E173" s="148">
        <v>1.0</v>
      </c>
      <c r="F173" s="149">
        <f>'1RM'!$C$4*C173</f>
        <v>60</v>
      </c>
      <c r="G173" s="186">
        <f t="shared" si="172"/>
        <v>3</v>
      </c>
      <c r="H173" s="192">
        <f t="shared" si="173"/>
        <v>180</v>
      </c>
      <c r="I173" s="186"/>
      <c r="J173" s="186"/>
      <c r="K173" s="186"/>
      <c r="L173" s="186"/>
      <c r="M173" s="150" t="str">
        <f t="shared" si="174"/>
        <v> </v>
      </c>
      <c r="N173" s="150">
        <f t="shared" si="175"/>
        <v>3</v>
      </c>
      <c r="O173" s="150" t="str">
        <f t="shared" si="176"/>
        <v> </v>
      </c>
      <c r="P173" s="150" t="str">
        <f t="shared" si="177"/>
        <v> </v>
      </c>
      <c r="Q173" s="150" t="str">
        <f t="shared" si="178"/>
        <v> </v>
      </c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2.75" customHeight="1">
      <c r="A174" s="145"/>
      <c r="B174" s="151" t="s">
        <v>4</v>
      </c>
      <c r="C174" s="147">
        <v>0.7</v>
      </c>
      <c r="D174" s="148">
        <v>3.0</v>
      </c>
      <c r="E174" s="148">
        <v>1.0</v>
      </c>
      <c r="F174" s="149">
        <f>'1RM'!$C$4*C174</f>
        <v>70</v>
      </c>
      <c r="G174" s="186">
        <f t="shared" si="172"/>
        <v>3</v>
      </c>
      <c r="H174" s="192">
        <f t="shared" si="173"/>
        <v>210</v>
      </c>
      <c r="I174" s="186"/>
      <c r="J174" s="186"/>
      <c r="K174" s="186"/>
      <c r="L174" s="186"/>
      <c r="M174" s="150" t="str">
        <f t="shared" si="174"/>
        <v> </v>
      </c>
      <c r="N174" s="150" t="str">
        <f t="shared" si="175"/>
        <v> </v>
      </c>
      <c r="O174" s="150">
        <f t="shared" si="176"/>
        <v>3</v>
      </c>
      <c r="P174" s="150" t="str">
        <f t="shared" si="177"/>
        <v> </v>
      </c>
      <c r="Q174" s="150" t="str">
        <f t="shared" si="178"/>
        <v> </v>
      </c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2.75" customHeight="1">
      <c r="A175" s="145"/>
      <c r="B175" s="151" t="s">
        <v>4</v>
      </c>
      <c r="C175" s="147">
        <v>0.8</v>
      </c>
      <c r="D175" s="148">
        <v>2.0</v>
      </c>
      <c r="E175" s="148">
        <v>4.0</v>
      </c>
      <c r="F175" s="149">
        <f>'1RM'!$C$4*C175</f>
        <v>80</v>
      </c>
      <c r="G175" s="186">
        <f t="shared" si="172"/>
        <v>8</v>
      </c>
      <c r="H175" s="192">
        <f t="shared" si="173"/>
        <v>640</v>
      </c>
      <c r="I175" s="186"/>
      <c r="J175" s="186"/>
      <c r="K175" s="186"/>
      <c r="L175" s="186"/>
      <c r="M175" s="150" t="str">
        <f t="shared" si="174"/>
        <v> </v>
      </c>
      <c r="N175" s="150" t="str">
        <f t="shared" si="175"/>
        <v> </v>
      </c>
      <c r="O175" s="150" t="str">
        <f t="shared" si="176"/>
        <v> </v>
      </c>
      <c r="P175" s="150">
        <f t="shared" si="177"/>
        <v>8</v>
      </c>
      <c r="Q175" s="150" t="str">
        <f t="shared" si="178"/>
        <v> </v>
      </c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2.75" customHeight="1">
      <c r="A176" s="136">
        <v>2.0</v>
      </c>
      <c r="B176" s="137" t="s">
        <v>5</v>
      </c>
      <c r="C176" s="138">
        <v>0.5</v>
      </c>
      <c r="D176" s="139">
        <v>3.0</v>
      </c>
      <c r="E176" s="139">
        <v>1.0</v>
      </c>
      <c r="F176" s="140">
        <f>'1RM'!$C$5*C176</f>
        <v>50</v>
      </c>
      <c r="G176" s="186"/>
      <c r="H176" s="186"/>
      <c r="I176" s="186">
        <f t="shared" ref="I176:I180" si="179">D176*E176</f>
        <v>3</v>
      </c>
      <c r="J176" s="192">
        <f t="shared" ref="J176:J180" si="180">I176*F176</f>
        <v>150</v>
      </c>
      <c r="K176" s="186"/>
      <c r="L176" s="186"/>
      <c r="M176" s="5"/>
      <c r="N176" s="5"/>
      <c r="O176" s="5"/>
      <c r="P176" s="5"/>
      <c r="Q176" s="5"/>
      <c r="R176" s="143">
        <f t="shared" ref="R176:R180" si="181">IF(ISNUMBER(SEARCH("Press de banca",$B176)),IF($C176&gt;=0.5,IF($C176&lt;0.6,$D176*$E176," ")," ")," ")</f>
        <v>3</v>
      </c>
      <c r="S176" s="143" t="str">
        <f t="shared" ref="S176:S180" si="182">IF(ISNUMBER(SEARCH("Press de banca",$B176)),IF($C176&gt;=0.6,IF($C176&lt;0.7,$D176*$E176," ")," ")," ")</f>
        <v> </v>
      </c>
      <c r="T176" s="143" t="str">
        <f t="shared" ref="T176:T180" si="183">IF(ISNUMBER(SEARCH("Press de banca",$B176)),IF($C176&gt;=0.7,IF($C176&lt;0.8,$D176*$E176," ")," ")," ")</f>
        <v> </v>
      </c>
      <c r="U176" s="143" t="str">
        <f t="shared" ref="U176:U180" si="184">IF(ISNUMBER(SEARCH("Press de banca",$B176)),IF($C176&gt;=0.8,IF($C176&lt;0.9,$D176*$E176," ")," ")," ")</f>
        <v> </v>
      </c>
      <c r="V176" s="143" t="str">
        <f t="shared" ref="V176:V180" si="185">IF(ISNUMBER(SEARCH("Press de banca",$B176)),IF($C176&gt;=0.9,$D176*$E176," ")," ")</f>
        <v> </v>
      </c>
      <c r="W176" s="5"/>
      <c r="X176" s="5"/>
      <c r="Y176" s="5"/>
      <c r="Z176" s="5"/>
      <c r="AA176" s="5"/>
    </row>
    <row r="177" ht="12.75" customHeight="1">
      <c r="A177" s="136"/>
      <c r="B177" s="144" t="s">
        <v>5</v>
      </c>
      <c r="C177" s="138">
        <v>0.6</v>
      </c>
      <c r="D177" s="139">
        <v>3.0</v>
      </c>
      <c r="E177" s="139">
        <v>1.0</v>
      </c>
      <c r="F177" s="140">
        <f>'1RM'!$C$5*C177</f>
        <v>60</v>
      </c>
      <c r="G177" s="186"/>
      <c r="H177" s="186"/>
      <c r="I177" s="186">
        <f t="shared" si="179"/>
        <v>3</v>
      </c>
      <c r="J177" s="192">
        <f t="shared" si="180"/>
        <v>180</v>
      </c>
      <c r="K177" s="186"/>
      <c r="L177" s="186"/>
      <c r="M177" s="5"/>
      <c r="N177" s="5"/>
      <c r="O177" s="5"/>
      <c r="P177" s="5"/>
      <c r="Q177" s="5"/>
      <c r="R177" s="143" t="str">
        <f t="shared" si="181"/>
        <v> </v>
      </c>
      <c r="S177" s="143">
        <f t="shared" si="182"/>
        <v>3</v>
      </c>
      <c r="T177" s="143" t="str">
        <f t="shared" si="183"/>
        <v> </v>
      </c>
      <c r="U177" s="143" t="str">
        <f t="shared" si="184"/>
        <v> </v>
      </c>
      <c r="V177" s="143" t="str">
        <f t="shared" si="185"/>
        <v> </v>
      </c>
      <c r="W177" s="5"/>
      <c r="X177" s="5"/>
      <c r="Y177" s="5"/>
      <c r="Z177" s="5"/>
      <c r="AA177" s="5"/>
    </row>
    <row r="178" ht="12.75" customHeight="1">
      <c r="A178" s="136"/>
      <c r="B178" s="144" t="s">
        <v>5</v>
      </c>
      <c r="C178" s="138">
        <v>0.7</v>
      </c>
      <c r="D178" s="139">
        <v>3.0</v>
      </c>
      <c r="E178" s="139">
        <v>1.0</v>
      </c>
      <c r="F178" s="140">
        <f>'1RM'!$C$5*C178</f>
        <v>70</v>
      </c>
      <c r="G178" s="186"/>
      <c r="H178" s="186"/>
      <c r="I178" s="186">
        <f t="shared" si="179"/>
        <v>3</v>
      </c>
      <c r="J178" s="192">
        <f t="shared" si="180"/>
        <v>210</v>
      </c>
      <c r="K178" s="186"/>
      <c r="L178" s="186"/>
      <c r="M178" s="5"/>
      <c r="N178" s="5"/>
      <c r="O178" s="5"/>
      <c r="P178" s="5"/>
      <c r="Q178" s="5"/>
      <c r="R178" s="143" t="str">
        <f t="shared" si="181"/>
        <v> </v>
      </c>
      <c r="S178" s="143" t="str">
        <f t="shared" si="182"/>
        <v> </v>
      </c>
      <c r="T178" s="143">
        <f t="shared" si="183"/>
        <v>3</v>
      </c>
      <c r="U178" s="143" t="str">
        <f t="shared" si="184"/>
        <v> </v>
      </c>
      <c r="V178" s="143" t="str">
        <f t="shared" si="185"/>
        <v> </v>
      </c>
      <c r="W178" s="5"/>
      <c r="X178" s="5"/>
      <c r="Y178" s="5"/>
      <c r="Z178" s="5"/>
      <c r="AA178" s="5"/>
    </row>
    <row r="179" ht="12.75" customHeight="1">
      <c r="A179" s="136"/>
      <c r="B179" s="144" t="s">
        <v>5</v>
      </c>
      <c r="C179" s="138">
        <v>0.8</v>
      </c>
      <c r="D179" s="139">
        <v>2.0</v>
      </c>
      <c r="E179" s="139">
        <v>2.0</v>
      </c>
      <c r="F179" s="140">
        <f>'1RM'!$C$5*C179</f>
        <v>80</v>
      </c>
      <c r="G179" s="186"/>
      <c r="H179" s="186"/>
      <c r="I179" s="186">
        <f t="shared" si="179"/>
        <v>4</v>
      </c>
      <c r="J179" s="192">
        <f t="shared" si="180"/>
        <v>320</v>
      </c>
      <c r="K179" s="186"/>
      <c r="L179" s="186"/>
      <c r="M179" s="5"/>
      <c r="N179" s="5"/>
      <c r="O179" s="5"/>
      <c r="P179" s="5"/>
      <c r="Q179" s="5"/>
      <c r="R179" s="143" t="str">
        <f t="shared" si="181"/>
        <v> </v>
      </c>
      <c r="S179" s="143" t="str">
        <f t="shared" si="182"/>
        <v> </v>
      </c>
      <c r="T179" s="143" t="str">
        <f t="shared" si="183"/>
        <v> </v>
      </c>
      <c r="U179" s="143">
        <f t="shared" si="184"/>
        <v>4</v>
      </c>
      <c r="V179" s="143" t="str">
        <f t="shared" si="185"/>
        <v> </v>
      </c>
      <c r="W179" s="5"/>
      <c r="X179" s="5"/>
      <c r="Y179" s="5"/>
      <c r="Z179" s="5"/>
      <c r="AA179" s="5"/>
    </row>
    <row r="180" ht="12.75" customHeight="1">
      <c r="A180" s="136"/>
      <c r="B180" s="144" t="s">
        <v>5</v>
      </c>
      <c r="C180" s="138">
        <v>0.85</v>
      </c>
      <c r="D180" s="139">
        <v>1.0</v>
      </c>
      <c r="E180" s="139">
        <v>3.0</v>
      </c>
      <c r="F180" s="140">
        <f>'1RM'!$C$5*C180</f>
        <v>85</v>
      </c>
      <c r="G180" s="186"/>
      <c r="H180" s="186"/>
      <c r="I180" s="186">
        <f t="shared" si="179"/>
        <v>3</v>
      </c>
      <c r="J180" s="192">
        <f t="shared" si="180"/>
        <v>255</v>
      </c>
      <c r="K180" s="186"/>
      <c r="L180" s="186"/>
      <c r="M180" s="5"/>
      <c r="N180" s="5"/>
      <c r="O180" s="5"/>
      <c r="P180" s="5"/>
      <c r="Q180" s="5"/>
      <c r="R180" s="143" t="str">
        <f t="shared" si="181"/>
        <v> </v>
      </c>
      <c r="S180" s="143" t="str">
        <f t="shared" si="182"/>
        <v> </v>
      </c>
      <c r="T180" s="143" t="str">
        <f t="shared" si="183"/>
        <v> </v>
      </c>
      <c r="U180" s="143">
        <f t="shared" si="184"/>
        <v>3</v>
      </c>
      <c r="V180" s="143" t="str">
        <f t="shared" si="185"/>
        <v> </v>
      </c>
      <c r="W180" s="5"/>
      <c r="X180" s="5"/>
      <c r="Y180" s="5"/>
      <c r="Z180" s="5"/>
      <c r="AA180" s="5"/>
    </row>
    <row r="181" ht="12.75" customHeight="1">
      <c r="A181" s="152">
        <v>3.0</v>
      </c>
      <c r="B181" s="153" t="s">
        <v>55</v>
      </c>
      <c r="C181" s="154"/>
      <c r="D181" s="155">
        <v>6.0</v>
      </c>
      <c r="E181" s="155">
        <v>4.0</v>
      </c>
      <c r="F181" s="156"/>
      <c r="G181" s="186"/>
      <c r="H181" s="186"/>
      <c r="I181" s="186"/>
      <c r="J181" s="186"/>
      <c r="K181" s="186"/>
      <c r="L181" s="18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2.75" customHeight="1">
      <c r="A182" s="164">
        <v>4.0</v>
      </c>
      <c r="B182" s="153" t="s">
        <v>61</v>
      </c>
      <c r="C182" s="166"/>
      <c r="D182" s="167">
        <v>4.0</v>
      </c>
      <c r="E182" s="167">
        <v>4.0</v>
      </c>
      <c r="F182" s="168"/>
      <c r="G182" s="186"/>
      <c r="H182" s="186"/>
      <c r="I182" s="186"/>
      <c r="J182" s="186"/>
      <c r="K182" s="186"/>
      <c r="L182" s="18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2.75" customHeight="1">
      <c r="A183" s="33"/>
      <c r="B183" s="134"/>
      <c r="C183" s="133"/>
      <c r="D183" s="192"/>
      <c r="E183" s="186"/>
      <c r="F183" s="42"/>
      <c r="G183" s="186"/>
      <c r="H183" s="186"/>
      <c r="I183" s="186"/>
      <c r="J183" s="186"/>
      <c r="K183" s="186"/>
      <c r="L183" s="18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2.75" customHeight="1">
      <c r="A184" s="33" t="s">
        <v>57</v>
      </c>
      <c r="B184" s="134"/>
      <c r="C184" s="135" t="s">
        <v>20</v>
      </c>
      <c r="D184" s="193" t="s">
        <v>51</v>
      </c>
      <c r="E184" s="36" t="s">
        <v>52</v>
      </c>
      <c r="F184" s="45" t="s">
        <v>53</v>
      </c>
      <c r="G184" s="186"/>
      <c r="H184" s="186"/>
      <c r="I184" s="186"/>
      <c r="J184" s="186"/>
      <c r="K184" s="186"/>
      <c r="L184" s="18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2.75" customHeight="1">
      <c r="A185" s="136">
        <v>1.0</v>
      </c>
      <c r="B185" s="137" t="s">
        <v>5</v>
      </c>
      <c r="C185" s="138">
        <v>0.5</v>
      </c>
      <c r="D185" s="139">
        <v>3.0</v>
      </c>
      <c r="E185" s="139">
        <v>1.0</v>
      </c>
      <c r="F185" s="140">
        <f>'1RM'!$C$5*C185</f>
        <v>50</v>
      </c>
      <c r="G185" s="186"/>
      <c r="H185" s="186"/>
      <c r="I185" s="186">
        <f t="shared" ref="I185:I188" si="186">D185*E185</f>
        <v>3</v>
      </c>
      <c r="J185" s="192">
        <f t="shared" ref="J185:J188" si="187">I185*F185</f>
        <v>150</v>
      </c>
      <c r="K185" s="186"/>
      <c r="L185" s="186"/>
      <c r="M185" s="5"/>
      <c r="N185" s="5"/>
      <c r="O185" s="5"/>
      <c r="P185" s="5"/>
      <c r="Q185" s="5"/>
      <c r="R185" s="143">
        <f t="shared" ref="R185:R188" si="188">IF(ISNUMBER(SEARCH("Press de banca",$B185)),IF($C185&gt;=0.5,IF($C185&lt;0.6,$D185*$E185," ")," ")," ")</f>
        <v>3</v>
      </c>
      <c r="S185" s="143" t="str">
        <f t="shared" ref="S185:S188" si="189">IF(ISNUMBER(SEARCH("Press de banca",$B185)),IF($C185&gt;=0.6,IF($C185&lt;0.7,$D185*$E185," ")," ")," ")</f>
        <v> </v>
      </c>
      <c r="T185" s="143" t="str">
        <f t="shared" ref="T185:T188" si="190">IF(ISNUMBER(SEARCH("Press de banca",$B185)),IF($C185&gt;=0.7,IF($C185&lt;0.8,$D185*$E185," ")," ")," ")</f>
        <v> </v>
      </c>
      <c r="U185" s="143" t="str">
        <f t="shared" ref="U185:U188" si="191">IF(ISNUMBER(SEARCH("Press de banca",$B185)),IF($C185&gt;=0.8,IF($C185&lt;0.9,$D185*$E185," ")," ")," ")</f>
        <v> </v>
      </c>
      <c r="V185" s="143" t="str">
        <f t="shared" ref="V185:V188" si="192">IF(ISNUMBER(SEARCH("Press de banca",$B185)),IF($C185&gt;=0.9,$D185*$E185," ")," ")</f>
        <v> </v>
      </c>
      <c r="W185" s="5"/>
      <c r="X185" s="5"/>
      <c r="Y185" s="5"/>
      <c r="Z185" s="5"/>
      <c r="AA185" s="5"/>
    </row>
    <row r="186" ht="12.75" customHeight="1">
      <c r="A186" s="136"/>
      <c r="B186" s="144" t="s">
        <v>5</v>
      </c>
      <c r="C186" s="138">
        <v>0.6</v>
      </c>
      <c r="D186" s="139">
        <v>3.0</v>
      </c>
      <c r="E186" s="139">
        <v>1.0</v>
      </c>
      <c r="F186" s="140">
        <f>'1RM'!$C$5*C186</f>
        <v>60</v>
      </c>
      <c r="G186" s="186"/>
      <c r="H186" s="186"/>
      <c r="I186" s="186">
        <f t="shared" si="186"/>
        <v>3</v>
      </c>
      <c r="J186" s="192">
        <f t="shared" si="187"/>
        <v>180</v>
      </c>
      <c r="K186" s="186"/>
      <c r="L186" s="186"/>
      <c r="M186" s="5"/>
      <c r="N186" s="5"/>
      <c r="O186" s="5"/>
      <c r="P186" s="5"/>
      <c r="Q186" s="5"/>
      <c r="R186" s="143" t="str">
        <f t="shared" si="188"/>
        <v> </v>
      </c>
      <c r="S186" s="143">
        <f t="shared" si="189"/>
        <v>3</v>
      </c>
      <c r="T186" s="143" t="str">
        <f t="shared" si="190"/>
        <v> </v>
      </c>
      <c r="U186" s="143" t="str">
        <f t="shared" si="191"/>
        <v> </v>
      </c>
      <c r="V186" s="143" t="str">
        <f t="shared" si="192"/>
        <v> </v>
      </c>
      <c r="W186" s="5"/>
      <c r="X186" s="5"/>
      <c r="Y186" s="5"/>
      <c r="Z186" s="5"/>
      <c r="AA186" s="5"/>
    </row>
    <row r="187" ht="12.75" customHeight="1">
      <c r="A187" s="136"/>
      <c r="B187" s="144" t="s">
        <v>5</v>
      </c>
      <c r="C187" s="138">
        <v>0.7</v>
      </c>
      <c r="D187" s="139">
        <v>3.0</v>
      </c>
      <c r="E187" s="139">
        <v>1.0</v>
      </c>
      <c r="F187" s="140">
        <f>'1RM'!$C$5*C187</f>
        <v>70</v>
      </c>
      <c r="G187" s="186"/>
      <c r="H187" s="186"/>
      <c r="I187" s="186">
        <f t="shared" si="186"/>
        <v>3</v>
      </c>
      <c r="J187" s="192">
        <f t="shared" si="187"/>
        <v>210</v>
      </c>
      <c r="K187" s="186"/>
      <c r="L187" s="186"/>
      <c r="M187" s="5"/>
      <c r="N187" s="5"/>
      <c r="O187" s="5"/>
      <c r="P187" s="5"/>
      <c r="Q187" s="5"/>
      <c r="R187" s="143" t="str">
        <f t="shared" si="188"/>
        <v> </v>
      </c>
      <c r="S187" s="143" t="str">
        <f t="shared" si="189"/>
        <v> </v>
      </c>
      <c r="T187" s="143">
        <f t="shared" si="190"/>
        <v>3</v>
      </c>
      <c r="U187" s="143" t="str">
        <f t="shared" si="191"/>
        <v> </v>
      </c>
      <c r="V187" s="143" t="str">
        <f t="shared" si="192"/>
        <v> </v>
      </c>
      <c r="W187" s="5"/>
      <c r="X187" s="5"/>
      <c r="Y187" s="5"/>
      <c r="Z187" s="5"/>
      <c r="AA187" s="5"/>
    </row>
    <row r="188" ht="12.75" customHeight="1">
      <c r="A188" s="136"/>
      <c r="B188" s="144" t="s">
        <v>5</v>
      </c>
      <c r="C188" s="138">
        <v>0.8</v>
      </c>
      <c r="D188" s="139">
        <v>2.0</v>
      </c>
      <c r="E188" s="139">
        <v>2.0</v>
      </c>
      <c r="F188" s="140">
        <f>'1RM'!$C$5*C188</f>
        <v>80</v>
      </c>
      <c r="G188" s="186"/>
      <c r="H188" s="186"/>
      <c r="I188" s="186">
        <f t="shared" si="186"/>
        <v>4</v>
      </c>
      <c r="J188" s="192">
        <f t="shared" si="187"/>
        <v>320</v>
      </c>
      <c r="K188" s="186"/>
      <c r="L188" s="186"/>
      <c r="M188" s="5"/>
      <c r="N188" s="5"/>
      <c r="O188" s="5"/>
      <c r="P188" s="5"/>
      <c r="Q188" s="5"/>
      <c r="R188" s="143" t="str">
        <f t="shared" si="188"/>
        <v> </v>
      </c>
      <c r="S188" s="143" t="str">
        <f t="shared" si="189"/>
        <v> </v>
      </c>
      <c r="T188" s="143" t="str">
        <f t="shared" si="190"/>
        <v> </v>
      </c>
      <c r="U188" s="143">
        <f t="shared" si="191"/>
        <v>4</v>
      </c>
      <c r="V188" s="143" t="str">
        <f t="shared" si="192"/>
        <v> </v>
      </c>
      <c r="W188" s="5"/>
      <c r="X188" s="5"/>
      <c r="Y188" s="5"/>
      <c r="Z188" s="5"/>
      <c r="AA188" s="5"/>
    </row>
    <row r="189" ht="12.75" customHeight="1">
      <c r="A189" s="157">
        <v>2.0</v>
      </c>
      <c r="B189" s="158" t="s">
        <v>6</v>
      </c>
      <c r="C189" s="159">
        <v>0.5</v>
      </c>
      <c r="D189" s="160">
        <v>2.0</v>
      </c>
      <c r="E189" s="160">
        <v>1.0</v>
      </c>
      <c r="F189" s="161">
        <f>'1RM'!$C$6*C189</f>
        <v>50</v>
      </c>
      <c r="G189" s="186"/>
      <c r="H189" s="186"/>
      <c r="I189" s="186"/>
      <c r="J189" s="186"/>
      <c r="K189" s="186">
        <f t="shared" ref="K189:K191" si="193">D189*E189</f>
        <v>2</v>
      </c>
      <c r="L189" s="186">
        <f t="shared" ref="L189:L191" si="194">K189*F189</f>
        <v>100</v>
      </c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162">
        <f t="shared" ref="W189:W191" si="195">IF(ISNUMBER(SEARCH("Peso muerto",$B189)),IF($C189&gt;=0.5,IF($C189&lt;0.6,$D189*$E189," ")," ")," ")</f>
        <v>2</v>
      </c>
      <c r="X189" s="162" t="str">
        <f t="shared" ref="X189:X191" si="196">IF(ISNUMBER(SEARCH("Peso muerto",$B189)),IF($C189&gt;=0.6,IF($C189&lt;0.7,$D189*$E189," ")," ")," ")</f>
        <v> </v>
      </c>
      <c r="Y189" s="162" t="str">
        <f t="shared" ref="Y189:Y191" si="197">IF(ISNUMBER(SEARCH("Peso muerto",$B189)),IF($C189&gt;=0.7,IF($C189&lt;0.8,$D189*$E189," ")," ")," ")</f>
        <v> </v>
      </c>
      <c r="Z189" s="162" t="str">
        <f t="shared" ref="Z189:Z191" si="198">IF(ISNUMBER(SEARCH("Peso muerto",$B189)),IF($C189&gt;=0.8,IF($C189&lt;0.9,$D189*$E189," ")," ")," ")</f>
        <v> </v>
      </c>
      <c r="AA189" s="162" t="str">
        <f t="shared" ref="AA189:AA191" si="199">IF(ISNUMBER(SEARCH("Peso muerto",$B189)),IF($C189&gt;=0.9,$D189*$E189," ")," ")</f>
        <v> </v>
      </c>
    </row>
    <row r="190" ht="12.75" customHeight="1">
      <c r="A190" s="157"/>
      <c r="B190" s="163" t="s">
        <v>6</v>
      </c>
      <c r="C190" s="159">
        <v>0.6</v>
      </c>
      <c r="D190" s="160">
        <v>2.0</v>
      </c>
      <c r="E190" s="160">
        <v>1.0</v>
      </c>
      <c r="F190" s="161">
        <f>'1RM'!$C$6*C190</f>
        <v>60</v>
      </c>
      <c r="G190" s="186"/>
      <c r="H190" s="186"/>
      <c r="I190" s="186"/>
      <c r="J190" s="186"/>
      <c r="K190" s="186">
        <f t="shared" si="193"/>
        <v>2</v>
      </c>
      <c r="L190" s="186">
        <f t="shared" si="194"/>
        <v>120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162" t="str">
        <f t="shared" si="195"/>
        <v> </v>
      </c>
      <c r="X190" s="162">
        <f t="shared" si="196"/>
        <v>2</v>
      </c>
      <c r="Y190" s="162" t="str">
        <f t="shared" si="197"/>
        <v> </v>
      </c>
      <c r="Z190" s="162" t="str">
        <f t="shared" si="198"/>
        <v> </v>
      </c>
      <c r="AA190" s="162" t="str">
        <f t="shared" si="199"/>
        <v> </v>
      </c>
    </row>
    <row r="191" ht="12.75" customHeight="1">
      <c r="A191" s="157"/>
      <c r="B191" s="163" t="s">
        <v>6</v>
      </c>
      <c r="C191" s="159">
        <v>0.7</v>
      </c>
      <c r="D191" s="160">
        <v>2.0</v>
      </c>
      <c r="E191" s="160">
        <v>3.0</v>
      </c>
      <c r="F191" s="161">
        <f>'1RM'!$C$6*C191</f>
        <v>70</v>
      </c>
      <c r="G191" s="186"/>
      <c r="H191" s="186"/>
      <c r="I191" s="186"/>
      <c r="J191" s="186"/>
      <c r="K191" s="186">
        <f t="shared" si="193"/>
        <v>6</v>
      </c>
      <c r="L191" s="186">
        <f t="shared" si="194"/>
        <v>420</v>
      </c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162" t="str">
        <f t="shared" si="195"/>
        <v> </v>
      </c>
      <c r="X191" s="162" t="str">
        <f t="shared" si="196"/>
        <v> </v>
      </c>
      <c r="Y191" s="162">
        <f t="shared" si="197"/>
        <v>6</v>
      </c>
      <c r="Z191" s="162" t="str">
        <f t="shared" si="198"/>
        <v> </v>
      </c>
      <c r="AA191" s="162" t="str">
        <f t="shared" si="199"/>
        <v> </v>
      </c>
    </row>
    <row r="192" ht="12.75" customHeight="1">
      <c r="A192" s="152">
        <v>3.0</v>
      </c>
      <c r="B192" s="153" t="s">
        <v>60</v>
      </c>
      <c r="C192" s="154"/>
      <c r="D192" s="155">
        <v>6.0</v>
      </c>
      <c r="E192" s="155">
        <v>3.0</v>
      </c>
      <c r="F192" s="156"/>
      <c r="G192" s="186"/>
      <c r="H192" s="186"/>
      <c r="I192" s="186"/>
      <c r="J192" s="186"/>
      <c r="K192" s="186"/>
      <c r="L192" s="18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2.75" customHeight="1">
      <c r="A193" s="152">
        <v>4.0</v>
      </c>
      <c r="B193" s="153" t="s">
        <v>56</v>
      </c>
      <c r="C193" s="154"/>
      <c r="D193" s="155">
        <v>8.0</v>
      </c>
      <c r="E193" s="155">
        <v>3.0</v>
      </c>
      <c r="F193" s="156"/>
      <c r="G193" s="186"/>
      <c r="H193" s="186"/>
      <c r="I193" s="186"/>
      <c r="J193" s="186"/>
      <c r="K193" s="186"/>
      <c r="L193" s="18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2.75" customHeight="1">
      <c r="A194" s="33"/>
      <c r="B194" s="134"/>
      <c r="C194" s="133"/>
      <c r="D194" s="192"/>
      <c r="E194" s="186"/>
      <c r="F194" s="42"/>
      <c r="G194" s="186"/>
      <c r="H194" s="186"/>
      <c r="I194" s="186"/>
      <c r="J194" s="186"/>
      <c r="K194" s="186"/>
      <c r="L194" s="18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2.75" customHeight="1">
      <c r="A195" s="33" t="s">
        <v>62</v>
      </c>
      <c r="B195" s="134"/>
      <c r="C195" s="135" t="s">
        <v>20</v>
      </c>
      <c r="D195" s="193" t="s">
        <v>51</v>
      </c>
      <c r="E195" s="36" t="s">
        <v>52</v>
      </c>
      <c r="F195" s="45" t="s">
        <v>53</v>
      </c>
      <c r="G195" s="186"/>
      <c r="H195" s="186"/>
      <c r="I195" s="186"/>
      <c r="J195" s="186"/>
      <c r="K195" s="186"/>
      <c r="L195" s="18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2.75" customHeight="1">
      <c r="A196" s="145">
        <v>1.0</v>
      </c>
      <c r="B196" s="146" t="s">
        <v>4</v>
      </c>
      <c r="C196" s="147">
        <v>0.5</v>
      </c>
      <c r="D196" s="148">
        <v>3.0</v>
      </c>
      <c r="E196" s="148">
        <v>1.0</v>
      </c>
      <c r="F196" s="149">
        <f>'1RM'!$C$4*C196</f>
        <v>50</v>
      </c>
      <c r="G196" s="186">
        <f t="shared" ref="G196:G199" si="200">D196*E196</f>
        <v>3</v>
      </c>
      <c r="H196" s="192">
        <f t="shared" ref="H196:H199" si="201">G196*F196</f>
        <v>150</v>
      </c>
      <c r="I196" s="186"/>
      <c r="J196" s="186"/>
      <c r="K196" s="186"/>
      <c r="L196" s="186"/>
      <c r="M196" s="150">
        <f t="shared" ref="M196:M199" si="202">IF(ISNUMBER(SEARCH("Sentadilla",$B196)),IF($C196&gt;=0.5,IF($C196&lt;0.6,$D196*$E196," ")," ")," ")</f>
        <v>3</v>
      </c>
      <c r="N196" s="150" t="str">
        <f t="shared" ref="N196:N199" si="203">IF(ISNUMBER(SEARCH("Sentadilla",$B196)),IF($C196&gt;=0.6,IF($C196&lt;0.7,$D196*$E196," ")," ")," ")</f>
        <v> </v>
      </c>
      <c r="O196" s="150" t="str">
        <f t="shared" ref="O196:O199" si="204">IF(ISNUMBER(SEARCH("Sentadilla",$B196)),IF($C196&gt;=0.7,IF($C196&lt;0.8,$D196*$E196," ")," ")," ")</f>
        <v> </v>
      </c>
      <c r="P196" s="150" t="str">
        <f t="shared" ref="P196:P199" si="205">IF(ISNUMBER(SEARCH("Sentadilla",$B196)),IF($C196&gt;=0.8,IF($C196&lt;0.9,$D196*$E196," ")," ")," ")</f>
        <v> </v>
      </c>
      <c r="Q196" s="150" t="str">
        <f t="shared" ref="Q196:Q199" si="206">IF(ISNUMBER(SEARCH("Sentadilla",$B196)),IF($C196&gt;=0.9,$D196*$E196," ")," ")</f>
        <v> </v>
      </c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2.75" customHeight="1">
      <c r="A197" s="145"/>
      <c r="B197" s="151" t="s">
        <v>4</v>
      </c>
      <c r="C197" s="147">
        <v>0.6</v>
      </c>
      <c r="D197" s="148">
        <v>3.0</v>
      </c>
      <c r="E197" s="148">
        <v>1.0</v>
      </c>
      <c r="F197" s="149">
        <f>'1RM'!$C$4*C197</f>
        <v>60</v>
      </c>
      <c r="G197" s="186">
        <f t="shared" si="200"/>
        <v>3</v>
      </c>
      <c r="H197" s="192">
        <f t="shared" si="201"/>
        <v>180</v>
      </c>
      <c r="I197" s="186"/>
      <c r="J197" s="186"/>
      <c r="K197" s="186"/>
      <c r="L197" s="186"/>
      <c r="M197" s="150" t="str">
        <f t="shared" si="202"/>
        <v> </v>
      </c>
      <c r="N197" s="150">
        <f t="shared" si="203"/>
        <v>3</v>
      </c>
      <c r="O197" s="150" t="str">
        <f t="shared" si="204"/>
        <v> </v>
      </c>
      <c r="P197" s="150" t="str">
        <f t="shared" si="205"/>
        <v> </v>
      </c>
      <c r="Q197" s="150" t="str">
        <f t="shared" si="206"/>
        <v> </v>
      </c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2.75" customHeight="1">
      <c r="A198" s="145"/>
      <c r="B198" s="151" t="s">
        <v>4</v>
      </c>
      <c r="C198" s="147">
        <v>0.7</v>
      </c>
      <c r="D198" s="148">
        <v>2.0</v>
      </c>
      <c r="E198" s="148">
        <v>2.0</v>
      </c>
      <c r="F198" s="149">
        <f>'1RM'!$C$4*C198</f>
        <v>70</v>
      </c>
      <c r="G198" s="186">
        <f t="shared" si="200"/>
        <v>4</v>
      </c>
      <c r="H198" s="192">
        <f t="shared" si="201"/>
        <v>280</v>
      </c>
      <c r="I198" s="186"/>
      <c r="J198" s="186"/>
      <c r="K198" s="186"/>
      <c r="L198" s="186"/>
      <c r="M198" s="150" t="str">
        <f t="shared" si="202"/>
        <v> </v>
      </c>
      <c r="N198" s="150" t="str">
        <f t="shared" si="203"/>
        <v> </v>
      </c>
      <c r="O198" s="150">
        <f t="shared" si="204"/>
        <v>4</v>
      </c>
      <c r="P198" s="150" t="str">
        <f t="shared" si="205"/>
        <v> </v>
      </c>
      <c r="Q198" s="150" t="str">
        <f t="shared" si="206"/>
        <v> </v>
      </c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2.75" customHeight="1">
      <c r="A199" s="145"/>
      <c r="B199" s="151" t="s">
        <v>4</v>
      </c>
      <c r="C199" s="147">
        <v>0.75</v>
      </c>
      <c r="D199" s="148">
        <v>1.0</v>
      </c>
      <c r="E199" s="148">
        <v>3.0</v>
      </c>
      <c r="F199" s="149">
        <f>'1RM'!$C$4*C199</f>
        <v>75</v>
      </c>
      <c r="G199" s="186">
        <f t="shared" si="200"/>
        <v>3</v>
      </c>
      <c r="H199" s="192">
        <f t="shared" si="201"/>
        <v>225</v>
      </c>
      <c r="I199" s="186"/>
      <c r="J199" s="186"/>
      <c r="K199" s="186"/>
      <c r="L199" s="186"/>
      <c r="M199" s="150" t="str">
        <f t="shared" si="202"/>
        <v> </v>
      </c>
      <c r="N199" s="150" t="str">
        <f t="shared" si="203"/>
        <v> </v>
      </c>
      <c r="O199" s="150">
        <f t="shared" si="204"/>
        <v>3</v>
      </c>
      <c r="P199" s="150" t="str">
        <f t="shared" si="205"/>
        <v> </v>
      </c>
      <c r="Q199" s="150" t="str">
        <f t="shared" si="206"/>
        <v> </v>
      </c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2.75" customHeight="1">
      <c r="A200" s="136">
        <v>2.0</v>
      </c>
      <c r="B200" s="137" t="s">
        <v>5</v>
      </c>
      <c r="C200" s="138">
        <v>0.5</v>
      </c>
      <c r="D200" s="139">
        <v>3.0</v>
      </c>
      <c r="E200" s="139">
        <v>1.0</v>
      </c>
      <c r="F200" s="140">
        <f>'1RM'!$C$5*C200</f>
        <v>50</v>
      </c>
      <c r="G200" s="186"/>
      <c r="H200" s="186"/>
      <c r="I200" s="186">
        <f t="shared" ref="I200:I203" si="207">D200*E200</f>
        <v>3</v>
      </c>
      <c r="J200" s="192">
        <f t="shared" ref="J200:J203" si="208">I200*F200</f>
        <v>150</v>
      </c>
      <c r="K200" s="186"/>
      <c r="L200" s="186"/>
      <c r="M200" s="5"/>
      <c r="N200" s="5"/>
      <c r="O200" s="5"/>
      <c r="P200" s="5"/>
      <c r="Q200" s="5"/>
      <c r="R200" s="143">
        <f t="shared" ref="R200:R203" si="209">IF(ISNUMBER(SEARCH("Press de banca",$B200)),IF($C200&gt;=0.5,IF($C200&lt;0.6,$D200*$E200," ")," ")," ")</f>
        <v>3</v>
      </c>
      <c r="S200" s="143" t="str">
        <f t="shared" ref="S200:S203" si="210">IF(ISNUMBER(SEARCH("Press de banca",$B200)),IF($C200&gt;=0.6,IF($C200&lt;0.7,$D200*$E200," ")," ")," ")</f>
        <v> </v>
      </c>
      <c r="T200" s="143" t="str">
        <f t="shared" ref="T200:T203" si="211">IF(ISNUMBER(SEARCH("Press de banca",$B200)),IF($C200&gt;=0.7,IF($C200&lt;0.8,$D200*$E200," ")," ")," ")</f>
        <v> </v>
      </c>
      <c r="U200" s="143" t="str">
        <f t="shared" ref="U200:U203" si="212">IF(ISNUMBER(SEARCH("Press de banca",$B200)),IF($C200&gt;=0.8,IF($C200&lt;0.9,$D200*$E200," ")," ")," ")</f>
        <v> </v>
      </c>
      <c r="V200" s="143" t="str">
        <f t="shared" ref="V200:V203" si="213">IF(ISNUMBER(SEARCH("Press de banca",$B200)),IF($C200&gt;=0.9,$D200*$E200," ")," ")</f>
        <v> </v>
      </c>
      <c r="W200" s="5"/>
      <c r="X200" s="5"/>
      <c r="Y200" s="5"/>
      <c r="Z200" s="5"/>
      <c r="AA200" s="5"/>
    </row>
    <row r="201" ht="12.75" customHeight="1">
      <c r="A201" s="136"/>
      <c r="B201" s="144" t="s">
        <v>5</v>
      </c>
      <c r="C201" s="138">
        <v>0.6</v>
      </c>
      <c r="D201" s="139">
        <v>3.0</v>
      </c>
      <c r="E201" s="139">
        <v>1.0</v>
      </c>
      <c r="F201" s="140">
        <f>'1RM'!$C$5*C201</f>
        <v>60</v>
      </c>
      <c r="G201" s="186"/>
      <c r="H201" s="186"/>
      <c r="I201" s="186">
        <f t="shared" si="207"/>
        <v>3</v>
      </c>
      <c r="J201" s="192">
        <f t="shared" si="208"/>
        <v>180</v>
      </c>
      <c r="K201" s="186"/>
      <c r="L201" s="186"/>
      <c r="M201" s="5"/>
      <c r="N201" s="5"/>
      <c r="O201" s="5"/>
      <c r="P201" s="5"/>
      <c r="Q201" s="5"/>
      <c r="R201" s="143" t="str">
        <f t="shared" si="209"/>
        <v> </v>
      </c>
      <c r="S201" s="143">
        <f t="shared" si="210"/>
        <v>3</v>
      </c>
      <c r="T201" s="143" t="str">
        <f t="shared" si="211"/>
        <v> </v>
      </c>
      <c r="U201" s="143" t="str">
        <f t="shared" si="212"/>
        <v> </v>
      </c>
      <c r="V201" s="143" t="str">
        <f t="shared" si="213"/>
        <v> </v>
      </c>
      <c r="W201" s="5"/>
      <c r="X201" s="5"/>
      <c r="Y201" s="5"/>
      <c r="Z201" s="5"/>
      <c r="AA201" s="5"/>
    </row>
    <row r="202" ht="12.75" customHeight="1">
      <c r="A202" s="136"/>
      <c r="B202" s="144" t="s">
        <v>5</v>
      </c>
      <c r="C202" s="138">
        <v>0.7</v>
      </c>
      <c r="D202" s="139">
        <v>3.0</v>
      </c>
      <c r="E202" s="139">
        <v>1.0</v>
      </c>
      <c r="F202" s="140">
        <f>'1RM'!$C$5*C202</f>
        <v>70</v>
      </c>
      <c r="G202" s="186"/>
      <c r="H202" s="186"/>
      <c r="I202" s="186">
        <f t="shared" si="207"/>
        <v>3</v>
      </c>
      <c r="J202" s="192">
        <f t="shared" si="208"/>
        <v>210</v>
      </c>
      <c r="K202" s="186"/>
      <c r="L202" s="186"/>
      <c r="M202" s="5"/>
      <c r="N202" s="5"/>
      <c r="O202" s="5"/>
      <c r="P202" s="5"/>
      <c r="Q202" s="5"/>
      <c r="R202" s="143" t="str">
        <f t="shared" si="209"/>
        <v> </v>
      </c>
      <c r="S202" s="143" t="str">
        <f t="shared" si="210"/>
        <v> </v>
      </c>
      <c r="T202" s="143">
        <f t="shared" si="211"/>
        <v>3</v>
      </c>
      <c r="U202" s="143" t="str">
        <f t="shared" si="212"/>
        <v> </v>
      </c>
      <c r="V202" s="143" t="str">
        <f t="shared" si="213"/>
        <v> </v>
      </c>
      <c r="W202" s="5"/>
      <c r="X202" s="5"/>
      <c r="Y202" s="5"/>
      <c r="Z202" s="5"/>
      <c r="AA202" s="5"/>
    </row>
    <row r="203" ht="12.75" customHeight="1">
      <c r="A203" s="136"/>
      <c r="B203" s="144" t="s">
        <v>5</v>
      </c>
      <c r="C203" s="138">
        <v>0.75</v>
      </c>
      <c r="D203" s="139">
        <v>2.0</v>
      </c>
      <c r="E203" s="139">
        <v>3.0</v>
      </c>
      <c r="F203" s="140">
        <f>'1RM'!$C$5*C203</f>
        <v>75</v>
      </c>
      <c r="G203" s="186"/>
      <c r="H203" s="186"/>
      <c r="I203" s="186">
        <f t="shared" si="207"/>
        <v>6</v>
      </c>
      <c r="J203" s="192">
        <f t="shared" si="208"/>
        <v>450</v>
      </c>
      <c r="K203" s="186"/>
      <c r="L203" s="186"/>
      <c r="M203" s="5"/>
      <c r="N203" s="5"/>
      <c r="O203" s="5"/>
      <c r="P203" s="5"/>
      <c r="Q203" s="5"/>
      <c r="R203" s="143" t="str">
        <f t="shared" si="209"/>
        <v> </v>
      </c>
      <c r="S203" s="143" t="str">
        <f t="shared" si="210"/>
        <v> </v>
      </c>
      <c r="T203" s="143">
        <f t="shared" si="211"/>
        <v>6</v>
      </c>
      <c r="U203" s="143" t="str">
        <f t="shared" si="212"/>
        <v> </v>
      </c>
      <c r="V203" s="143" t="str">
        <f t="shared" si="213"/>
        <v> </v>
      </c>
      <c r="W203" s="5"/>
      <c r="X203" s="5"/>
      <c r="Y203" s="5"/>
      <c r="Z203" s="5"/>
      <c r="AA203" s="5"/>
    </row>
    <row r="204" ht="12.75" customHeight="1">
      <c r="A204" s="152">
        <v>3.0</v>
      </c>
      <c r="B204" s="153" t="s">
        <v>65</v>
      </c>
      <c r="C204" s="154"/>
      <c r="D204" s="155">
        <v>6.0</v>
      </c>
      <c r="E204" s="155">
        <v>3.0</v>
      </c>
      <c r="F204" s="156"/>
      <c r="G204" s="186"/>
      <c r="H204" s="186"/>
      <c r="I204" s="186"/>
      <c r="J204" s="186"/>
      <c r="K204" s="186"/>
      <c r="L204" s="18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2.75" customHeight="1">
      <c r="A205" s="33"/>
      <c r="B205" s="134"/>
      <c r="C205" s="135"/>
      <c r="D205" s="193"/>
      <c r="E205" s="36"/>
      <c r="F205" s="45"/>
      <c r="G205" s="186"/>
      <c r="H205" s="186"/>
      <c r="I205" s="186"/>
      <c r="J205" s="186"/>
      <c r="K205" s="186"/>
      <c r="L205" s="18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2.75" customHeight="1">
      <c r="A206" s="33" t="s">
        <v>66</v>
      </c>
      <c r="B206" s="134"/>
      <c r="C206" s="135"/>
      <c r="D206" s="193"/>
      <c r="E206" s="36"/>
      <c r="F206" s="45"/>
      <c r="G206" s="186"/>
      <c r="H206" s="186"/>
      <c r="I206" s="186"/>
      <c r="J206" s="186"/>
      <c r="K206" s="186"/>
      <c r="L206" s="18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2.75" customHeight="1">
      <c r="A207" s="33"/>
      <c r="B207" s="134" t="s">
        <v>113</v>
      </c>
      <c r="C207" s="133"/>
      <c r="D207" s="192"/>
      <c r="E207" s="186"/>
      <c r="F207" s="42"/>
      <c r="G207" s="186"/>
      <c r="H207" s="186"/>
      <c r="I207" s="186"/>
      <c r="J207" s="186"/>
      <c r="K207" s="186"/>
      <c r="L207" s="18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2.75" customHeight="1">
      <c r="A208" s="169"/>
      <c r="B208" s="170"/>
      <c r="C208" s="171"/>
      <c r="D208" s="195"/>
      <c r="E208" s="180"/>
      <c r="F208" s="172"/>
      <c r="G208" s="180">
        <f t="shared" ref="G208:AA208" si="214">SUM(G172:G207)</f>
        <v>30</v>
      </c>
      <c r="H208" s="195">
        <f t="shared" si="214"/>
        <v>2015</v>
      </c>
      <c r="I208" s="180">
        <f t="shared" si="214"/>
        <v>44</v>
      </c>
      <c r="J208" s="195">
        <f t="shared" si="214"/>
        <v>2965</v>
      </c>
      <c r="K208" s="180">
        <f t="shared" si="214"/>
        <v>10</v>
      </c>
      <c r="L208" s="180">
        <f t="shared" si="214"/>
        <v>640</v>
      </c>
      <c r="M208" s="175">
        <f t="shared" si="214"/>
        <v>6</v>
      </c>
      <c r="N208" s="175">
        <f t="shared" si="214"/>
        <v>6</v>
      </c>
      <c r="O208" s="175">
        <f t="shared" si="214"/>
        <v>10</v>
      </c>
      <c r="P208" s="175">
        <f t="shared" si="214"/>
        <v>8</v>
      </c>
      <c r="Q208" s="175">
        <f t="shared" si="214"/>
        <v>0</v>
      </c>
      <c r="R208" s="169">
        <f t="shared" si="214"/>
        <v>9</v>
      </c>
      <c r="S208" s="169">
        <f t="shared" si="214"/>
        <v>9</v>
      </c>
      <c r="T208" s="169">
        <f t="shared" si="214"/>
        <v>15</v>
      </c>
      <c r="U208" s="169">
        <f t="shared" si="214"/>
        <v>11</v>
      </c>
      <c r="V208" s="169">
        <f t="shared" si="214"/>
        <v>0</v>
      </c>
      <c r="W208" s="169">
        <f t="shared" si="214"/>
        <v>2</v>
      </c>
      <c r="X208" s="169">
        <f t="shared" si="214"/>
        <v>2</v>
      </c>
      <c r="Y208" s="169">
        <f t="shared" si="214"/>
        <v>6</v>
      </c>
      <c r="Z208" s="169">
        <f t="shared" si="214"/>
        <v>0</v>
      </c>
      <c r="AA208" s="169">
        <f t="shared" si="214"/>
        <v>0</v>
      </c>
    </row>
    <row r="209" ht="12.75" customHeight="1">
      <c r="A209" s="33" t="s">
        <v>39</v>
      </c>
      <c r="B209" s="33"/>
      <c r="C209" s="133"/>
      <c r="D209" s="192"/>
      <c r="E209" s="186"/>
      <c r="F209" s="42"/>
      <c r="G209" s="186"/>
      <c r="H209" s="186"/>
      <c r="I209" s="186"/>
      <c r="J209" s="186"/>
      <c r="K209" s="186"/>
      <c r="L209" s="18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2.75" customHeight="1">
      <c r="A210" s="33" t="s">
        <v>50</v>
      </c>
      <c r="B210" s="134"/>
      <c r="C210" s="135" t="s">
        <v>20</v>
      </c>
      <c r="D210" s="193" t="s">
        <v>51</v>
      </c>
      <c r="E210" s="36" t="s">
        <v>52</v>
      </c>
      <c r="F210" s="45" t="s">
        <v>53</v>
      </c>
      <c r="G210" s="186"/>
      <c r="H210" s="186"/>
      <c r="I210" s="186"/>
      <c r="J210" s="186"/>
      <c r="K210" s="186"/>
      <c r="L210" s="18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2.75" customHeight="1">
      <c r="A211" s="136">
        <v>1.0</v>
      </c>
      <c r="B211" s="137" t="s">
        <v>5</v>
      </c>
      <c r="C211" s="138">
        <v>0.5</v>
      </c>
      <c r="D211" s="139">
        <v>3.0</v>
      </c>
      <c r="E211" s="139">
        <v>1.0</v>
      </c>
      <c r="F211" s="140">
        <f>'1RM'!$C$5*C211</f>
        <v>50</v>
      </c>
      <c r="G211" s="186"/>
      <c r="H211" s="186"/>
      <c r="I211" s="186">
        <f t="shared" ref="I211:I214" si="215">D211*E211</f>
        <v>3</v>
      </c>
      <c r="J211" s="192">
        <f t="shared" ref="J211:J214" si="216">I211*F211</f>
        <v>150</v>
      </c>
      <c r="K211" s="186"/>
      <c r="L211" s="186"/>
      <c r="M211" s="5"/>
      <c r="N211" s="5"/>
      <c r="O211" s="5"/>
      <c r="P211" s="5"/>
      <c r="Q211" s="5"/>
      <c r="R211" s="143">
        <f t="shared" ref="R211:R214" si="217">IF(ISNUMBER(SEARCH("Press de banca",$B211)),IF($C211&gt;=0.5,IF($C211&lt;0.6,$D211*$E211," ")," ")," ")</f>
        <v>3</v>
      </c>
      <c r="S211" s="143" t="str">
        <f t="shared" ref="S211:S214" si="218">IF(ISNUMBER(SEARCH("Press de banca",$B211)),IF($C211&gt;=0.6,IF($C211&lt;0.7,$D211*$E211," ")," ")," ")</f>
        <v> </v>
      </c>
      <c r="T211" s="143" t="str">
        <f t="shared" ref="T211:T214" si="219">IF(ISNUMBER(SEARCH("Press de banca",$B211)),IF($C211&gt;=0.7,IF($C211&lt;0.8,$D211*$E211," ")," ")," ")</f>
        <v> </v>
      </c>
      <c r="U211" s="143" t="str">
        <f t="shared" ref="U211:U214" si="220">IF(ISNUMBER(SEARCH("Press de banca",$B211)),IF($C211&gt;=0.8,IF($C211&lt;0.9,$D211*$E211," ")," ")," ")</f>
        <v> </v>
      </c>
      <c r="V211" s="143" t="str">
        <f t="shared" ref="V211:V214" si="221">IF(ISNUMBER(SEARCH("Press de banca",$B211)),IF($C211&gt;=0.9,$D211*$E211," ")," ")</f>
        <v> </v>
      </c>
      <c r="W211" s="5"/>
      <c r="X211" s="5"/>
      <c r="Y211" s="5"/>
      <c r="Z211" s="5"/>
      <c r="AA211" s="5"/>
    </row>
    <row r="212" ht="12.75" customHeight="1">
      <c r="A212" s="136"/>
      <c r="B212" s="144" t="s">
        <v>5</v>
      </c>
      <c r="C212" s="138">
        <v>0.6</v>
      </c>
      <c r="D212" s="139">
        <v>3.0</v>
      </c>
      <c r="E212" s="139">
        <v>1.0</v>
      </c>
      <c r="F212" s="140">
        <f>'1RM'!$C$5*C212</f>
        <v>60</v>
      </c>
      <c r="G212" s="186"/>
      <c r="H212" s="186"/>
      <c r="I212" s="186">
        <f t="shared" si="215"/>
        <v>3</v>
      </c>
      <c r="J212" s="192">
        <f t="shared" si="216"/>
        <v>180</v>
      </c>
      <c r="K212" s="186"/>
      <c r="L212" s="186"/>
      <c r="M212" s="5"/>
      <c r="N212" s="5"/>
      <c r="O212" s="5"/>
      <c r="P212" s="5"/>
      <c r="Q212" s="5"/>
      <c r="R212" s="143" t="str">
        <f t="shared" si="217"/>
        <v> </v>
      </c>
      <c r="S212" s="143">
        <f t="shared" si="218"/>
        <v>3</v>
      </c>
      <c r="T212" s="143" t="str">
        <f t="shared" si="219"/>
        <v> </v>
      </c>
      <c r="U212" s="143" t="str">
        <f t="shared" si="220"/>
        <v> </v>
      </c>
      <c r="V212" s="143" t="str">
        <f t="shared" si="221"/>
        <v> </v>
      </c>
      <c r="W212" s="5"/>
      <c r="X212" s="5"/>
      <c r="Y212" s="5"/>
      <c r="Z212" s="5"/>
      <c r="AA212" s="5"/>
    </row>
    <row r="213" ht="12.75" customHeight="1">
      <c r="A213" s="136"/>
      <c r="B213" s="144" t="s">
        <v>5</v>
      </c>
      <c r="C213" s="138">
        <v>0.7</v>
      </c>
      <c r="D213" s="139">
        <v>2.0</v>
      </c>
      <c r="E213" s="139">
        <v>2.0</v>
      </c>
      <c r="F213" s="140">
        <f>'1RM'!$C$5*C213</f>
        <v>70</v>
      </c>
      <c r="G213" s="186"/>
      <c r="H213" s="186"/>
      <c r="I213" s="186">
        <f t="shared" si="215"/>
        <v>4</v>
      </c>
      <c r="J213" s="192">
        <f t="shared" si="216"/>
        <v>280</v>
      </c>
      <c r="K213" s="186"/>
      <c r="L213" s="186"/>
      <c r="M213" s="5"/>
      <c r="N213" s="5"/>
      <c r="O213" s="5"/>
      <c r="P213" s="5"/>
      <c r="Q213" s="5"/>
      <c r="R213" s="143" t="str">
        <f t="shared" si="217"/>
        <v> </v>
      </c>
      <c r="S213" s="143" t="str">
        <f t="shared" si="218"/>
        <v> </v>
      </c>
      <c r="T213" s="143">
        <f t="shared" si="219"/>
        <v>4</v>
      </c>
      <c r="U213" s="143" t="str">
        <f t="shared" si="220"/>
        <v> </v>
      </c>
      <c r="V213" s="143" t="str">
        <f t="shared" si="221"/>
        <v> </v>
      </c>
      <c r="W213" s="5"/>
      <c r="X213" s="5"/>
      <c r="Y213" s="5"/>
      <c r="Z213" s="5"/>
      <c r="AA213" s="5"/>
    </row>
    <row r="214" ht="12.75" customHeight="1">
      <c r="A214" s="136"/>
      <c r="B214" s="144" t="s">
        <v>5</v>
      </c>
      <c r="C214" s="138">
        <v>0.75</v>
      </c>
      <c r="D214" s="139">
        <v>1.0</v>
      </c>
      <c r="E214" s="139">
        <v>3.0</v>
      </c>
      <c r="F214" s="140">
        <f>'1RM'!$C$5*C214</f>
        <v>75</v>
      </c>
      <c r="G214" s="186"/>
      <c r="H214" s="186"/>
      <c r="I214" s="186">
        <f t="shared" si="215"/>
        <v>3</v>
      </c>
      <c r="J214" s="192">
        <f t="shared" si="216"/>
        <v>225</v>
      </c>
      <c r="K214" s="186"/>
      <c r="L214" s="186"/>
      <c r="M214" s="5"/>
      <c r="N214" s="5"/>
      <c r="O214" s="5"/>
      <c r="P214" s="5"/>
      <c r="Q214" s="5"/>
      <c r="R214" s="143" t="str">
        <f t="shared" si="217"/>
        <v> </v>
      </c>
      <c r="S214" s="143" t="str">
        <f t="shared" si="218"/>
        <v> </v>
      </c>
      <c r="T214" s="143">
        <f t="shared" si="219"/>
        <v>3</v>
      </c>
      <c r="U214" s="143" t="str">
        <f t="shared" si="220"/>
        <v> </v>
      </c>
      <c r="V214" s="143" t="str">
        <f t="shared" si="221"/>
        <v> </v>
      </c>
      <c r="W214" s="5"/>
      <c r="X214" s="5"/>
      <c r="Y214" s="5"/>
      <c r="Z214" s="5"/>
      <c r="AA214" s="5"/>
    </row>
    <row r="215" ht="12.75" customHeight="1">
      <c r="A215" s="157">
        <v>2.0</v>
      </c>
      <c r="B215" s="158" t="s">
        <v>6</v>
      </c>
      <c r="C215" s="159">
        <v>0.5</v>
      </c>
      <c r="D215" s="160">
        <v>3.0</v>
      </c>
      <c r="E215" s="160">
        <v>1.0</v>
      </c>
      <c r="F215" s="161">
        <f>'1RM'!$C$6*C215</f>
        <v>50</v>
      </c>
      <c r="G215" s="186"/>
      <c r="H215" s="186"/>
      <c r="I215" s="186"/>
      <c r="J215" s="186"/>
      <c r="K215" s="186">
        <f t="shared" ref="K215:K217" si="222">D215*E215</f>
        <v>3</v>
      </c>
      <c r="L215" s="186">
        <f t="shared" ref="L215:L217" si="223">K215*F215</f>
        <v>150</v>
      </c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162">
        <f t="shared" ref="W215:W217" si="224">IF(ISNUMBER(SEARCH("Peso muerto",$B215)),IF($C215&gt;=0.5,IF($C215&lt;0.6,$D215*$E215," ")," ")," ")</f>
        <v>3</v>
      </c>
      <c r="X215" s="162" t="str">
        <f t="shared" ref="X215:X217" si="225">IF(ISNUMBER(SEARCH("Peso muerto",$B215)),IF($C215&gt;=0.6,IF($C215&lt;0.7,$D215*$E215," ")," ")," ")</f>
        <v> </v>
      </c>
      <c r="Y215" s="162" t="str">
        <f t="shared" ref="Y215:Y217" si="226">IF(ISNUMBER(SEARCH("Peso muerto",$B215)),IF($C215&gt;=0.7,IF($C215&lt;0.8,$D215*$E215," ")," ")," ")</f>
        <v> </v>
      </c>
      <c r="Z215" s="162" t="str">
        <f t="shared" ref="Z215:Z217" si="227">IF(ISNUMBER(SEARCH("Peso muerto",$B215)),IF($C215&gt;=0.8,IF($C215&lt;0.9,$D215*$E215," ")," ")," ")</f>
        <v> </v>
      </c>
      <c r="AA215" s="162" t="str">
        <f t="shared" ref="AA215:AA217" si="228">IF(ISNUMBER(SEARCH("Peso muerto",$B215)),IF($C215&gt;=0.9,$D215*$E215," ")," ")</f>
        <v> </v>
      </c>
    </row>
    <row r="216" ht="12.75" customHeight="1">
      <c r="A216" s="157"/>
      <c r="B216" s="163" t="s">
        <v>6</v>
      </c>
      <c r="C216" s="159">
        <v>0.6</v>
      </c>
      <c r="D216" s="160">
        <v>3.0</v>
      </c>
      <c r="E216" s="160">
        <v>1.0</v>
      </c>
      <c r="F216" s="161">
        <f>'1RM'!$C$6*C216</f>
        <v>60</v>
      </c>
      <c r="G216" s="186"/>
      <c r="H216" s="186"/>
      <c r="I216" s="186"/>
      <c r="J216" s="186"/>
      <c r="K216" s="186">
        <f t="shared" si="222"/>
        <v>3</v>
      </c>
      <c r="L216" s="186">
        <f t="shared" si="223"/>
        <v>180</v>
      </c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162" t="str">
        <f t="shared" si="224"/>
        <v> </v>
      </c>
      <c r="X216" s="162">
        <f t="shared" si="225"/>
        <v>3</v>
      </c>
      <c r="Y216" s="162" t="str">
        <f t="shared" si="226"/>
        <v> </v>
      </c>
      <c r="Z216" s="162" t="str">
        <f t="shared" si="227"/>
        <v> </v>
      </c>
      <c r="AA216" s="162" t="str">
        <f t="shared" si="228"/>
        <v> </v>
      </c>
    </row>
    <row r="217" ht="12.75" customHeight="1">
      <c r="A217" s="157"/>
      <c r="B217" s="163" t="s">
        <v>6</v>
      </c>
      <c r="C217" s="159">
        <v>0.7</v>
      </c>
      <c r="D217" s="160">
        <v>2.0</v>
      </c>
      <c r="E217" s="160">
        <v>3.0</v>
      </c>
      <c r="F217" s="161">
        <f>'1RM'!$C$6*C217</f>
        <v>70</v>
      </c>
      <c r="G217" s="186"/>
      <c r="H217" s="186"/>
      <c r="I217" s="186"/>
      <c r="J217" s="186"/>
      <c r="K217" s="186">
        <f t="shared" si="222"/>
        <v>6</v>
      </c>
      <c r="L217" s="186">
        <f t="shared" si="223"/>
        <v>420</v>
      </c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162" t="str">
        <f t="shared" si="224"/>
        <v> </v>
      </c>
      <c r="X217" s="162" t="str">
        <f t="shared" si="225"/>
        <v> </v>
      </c>
      <c r="Y217" s="162">
        <f t="shared" si="226"/>
        <v>6</v>
      </c>
      <c r="Z217" s="162" t="str">
        <f t="shared" si="227"/>
        <v> </v>
      </c>
      <c r="AA217" s="162" t="str">
        <f t="shared" si="228"/>
        <v> </v>
      </c>
    </row>
    <row r="218" ht="12.75" customHeight="1">
      <c r="A218" s="152">
        <v>3.0</v>
      </c>
      <c r="B218" s="153" t="s">
        <v>56</v>
      </c>
      <c r="C218" s="154"/>
      <c r="D218" s="155">
        <v>8.0</v>
      </c>
      <c r="E218" s="155">
        <v>3.0</v>
      </c>
      <c r="F218" s="156"/>
      <c r="G218" s="186"/>
      <c r="H218" s="186"/>
      <c r="I218" s="186"/>
      <c r="J218" s="186"/>
      <c r="K218" s="186"/>
      <c r="L218" s="18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2.75" customHeight="1">
      <c r="A219" s="33"/>
      <c r="B219" s="134"/>
      <c r="C219" s="133"/>
      <c r="D219" s="192"/>
      <c r="E219" s="186"/>
      <c r="F219" s="42"/>
      <c r="G219" s="186"/>
      <c r="H219" s="186"/>
      <c r="I219" s="186"/>
      <c r="J219" s="186"/>
      <c r="K219" s="186"/>
      <c r="L219" s="18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2.75" customHeight="1">
      <c r="A220" s="33" t="s">
        <v>57</v>
      </c>
      <c r="B220" s="134"/>
      <c r="C220" s="135" t="s">
        <v>20</v>
      </c>
      <c r="D220" s="193" t="s">
        <v>51</v>
      </c>
      <c r="E220" s="36" t="s">
        <v>52</v>
      </c>
      <c r="F220" s="45" t="s">
        <v>53</v>
      </c>
      <c r="G220" s="186"/>
      <c r="H220" s="186"/>
      <c r="I220" s="186"/>
      <c r="J220" s="186"/>
      <c r="K220" s="186"/>
      <c r="L220" s="18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2.75" customHeight="1">
      <c r="A221" s="145">
        <v>1.0</v>
      </c>
      <c r="B221" s="146" t="s">
        <v>4</v>
      </c>
      <c r="C221" s="147">
        <v>0.5</v>
      </c>
      <c r="D221" s="148">
        <v>3.0</v>
      </c>
      <c r="E221" s="148">
        <v>1.0</v>
      </c>
      <c r="F221" s="149">
        <f>'1RM'!$C$4*C221</f>
        <v>50</v>
      </c>
      <c r="G221" s="186">
        <f t="shared" ref="G221:G223" si="229">D221*E221</f>
        <v>3</v>
      </c>
      <c r="H221" s="192">
        <f t="shared" ref="H221:H223" si="230">G221*F221</f>
        <v>150</v>
      </c>
      <c r="I221" s="186"/>
      <c r="J221" s="186"/>
      <c r="K221" s="186"/>
      <c r="L221" s="186"/>
      <c r="M221" s="150">
        <f t="shared" ref="M221:M223" si="231">IF(ISNUMBER(SEARCH("Sentadilla",$B221)),IF($C221&gt;=0.5,IF($C221&lt;0.6,$D221*$E221," ")," ")," ")</f>
        <v>3</v>
      </c>
      <c r="N221" s="150" t="str">
        <f t="shared" ref="N221:N223" si="232">IF(ISNUMBER(SEARCH("Sentadilla",$B221)),IF($C221&gt;=0.6,IF($C221&lt;0.7,$D221*$E221," ")," ")," ")</f>
        <v> </v>
      </c>
      <c r="O221" s="150" t="str">
        <f t="shared" ref="O221:O223" si="233">IF(ISNUMBER(SEARCH("Sentadilla",$B221)),IF($C221&gt;=0.7,IF($C221&lt;0.8,$D221*$E221," ")," ")," ")</f>
        <v> </v>
      </c>
      <c r="P221" s="150" t="str">
        <f t="shared" ref="P221:P223" si="234">IF(ISNUMBER(SEARCH("Sentadilla",$B221)),IF($C221&gt;=0.8,IF($C221&lt;0.9,$D221*$E221," ")," ")," ")</f>
        <v> </v>
      </c>
      <c r="Q221" s="150" t="str">
        <f t="shared" ref="Q221:Q223" si="235">IF(ISNUMBER(SEARCH("Sentadilla",$B221)),IF($C221&gt;=0.9,$D221*$E221," ")," ")</f>
        <v> </v>
      </c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2.75" customHeight="1">
      <c r="A222" s="145"/>
      <c r="B222" s="151" t="s">
        <v>4</v>
      </c>
      <c r="C222" s="147">
        <v>0.6</v>
      </c>
      <c r="D222" s="148">
        <v>2.0</v>
      </c>
      <c r="E222" s="148">
        <v>1.0</v>
      </c>
      <c r="F222" s="149">
        <f>'1RM'!$C$4*C222</f>
        <v>60</v>
      </c>
      <c r="G222" s="186">
        <f t="shared" si="229"/>
        <v>2</v>
      </c>
      <c r="H222" s="192">
        <f t="shared" si="230"/>
        <v>120</v>
      </c>
      <c r="I222" s="186"/>
      <c r="J222" s="186"/>
      <c r="K222" s="186"/>
      <c r="L222" s="186"/>
      <c r="M222" s="150" t="str">
        <f t="shared" si="231"/>
        <v> </v>
      </c>
      <c r="N222" s="150">
        <f t="shared" si="232"/>
        <v>2</v>
      </c>
      <c r="O222" s="150" t="str">
        <f t="shared" si="233"/>
        <v> </v>
      </c>
      <c r="P222" s="150" t="str">
        <f t="shared" si="234"/>
        <v> </v>
      </c>
      <c r="Q222" s="150" t="str">
        <f t="shared" si="235"/>
        <v> </v>
      </c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2.75" customHeight="1">
      <c r="A223" s="145"/>
      <c r="B223" s="151" t="s">
        <v>4</v>
      </c>
      <c r="C223" s="147">
        <v>0.7</v>
      </c>
      <c r="D223" s="148">
        <v>1.0</v>
      </c>
      <c r="E223" s="148">
        <v>3.0</v>
      </c>
      <c r="F223" s="149">
        <f>'1RM'!$C$4*C223</f>
        <v>70</v>
      </c>
      <c r="G223" s="186">
        <f t="shared" si="229"/>
        <v>3</v>
      </c>
      <c r="H223" s="192">
        <f t="shared" si="230"/>
        <v>210</v>
      </c>
      <c r="I223" s="186"/>
      <c r="J223" s="186"/>
      <c r="K223" s="186"/>
      <c r="L223" s="186"/>
      <c r="M223" s="150" t="str">
        <f t="shared" si="231"/>
        <v> </v>
      </c>
      <c r="N223" s="150" t="str">
        <f t="shared" si="232"/>
        <v> </v>
      </c>
      <c r="O223" s="150">
        <f t="shared" si="233"/>
        <v>3</v>
      </c>
      <c r="P223" s="150" t="str">
        <f t="shared" si="234"/>
        <v> </v>
      </c>
      <c r="Q223" s="150" t="str">
        <f t="shared" si="235"/>
        <v> </v>
      </c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2.75" customHeight="1">
      <c r="A224" s="136">
        <v>2.0</v>
      </c>
      <c r="B224" s="137" t="s">
        <v>5</v>
      </c>
      <c r="C224" s="138">
        <v>0.5</v>
      </c>
      <c r="D224" s="139">
        <v>3.0</v>
      </c>
      <c r="E224" s="139">
        <v>1.0</v>
      </c>
      <c r="F224" s="140">
        <f>'1RM'!$C$5*C224</f>
        <v>50</v>
      </c>
      <c r="G224" s="186"/>
      <c r="H224" s="186"/>
      <c r="I224" s="186">
        <f t="shared" ref="I224:I226" si="236">D224*E224</f>
        <v>3</v>
      </c>
      <c r="J224" s="192">
        <f t="shared" ref="J224:J226" si="237">I224*F224</f>
        <v>150</v>
      </c>
      <c r="K224" s="186"/>
      <c r="L224" s="186"/>
      <c r="M224" s="5"/>
      <c r="N224" s="5"/>
      <c r="O224" s="5"/>
      <c r="P224" s="5"/>
      <c r="Q224" s="5"/>
      <c r="R224" s="143">
        <f t="shared" ref="R224:R226" si="238">IF(ISNUMBER(SEARCH("Press de banca",$B224)),IF($C224&gt;=0.5,IF($C224&lt;0.6,$D224*$E224," ")," ")," ")</f>
        <v>3</v>
      </c>
      <c r="S224" s="143" t="str">
        <f t="shared" ref="S224:S226" si="239">IF(ISNUMBER(SEARCH("Press de banca",$B224)),IF($C224&gt;=0.6,IF($C224&lt;0.7,$D224*$E224," ")," ")," ")</f>
        <v> </v>
      </c>
      <c r="T224" s="143" t="str">
        <f t="shared" ref="T224:T226" si="240">IF(ISNUMBER(SEARCH("Press de banca",$B224)),IF($C224&gt;=0.7,IF($C224&lt;0.8,$D224*$E224," ")," ")," ")</f>
        <v> </v>
      </c>
      <c r="U224" s="143" t="str">
        <f t="shared" ref="U224:U226" si="241">IF(ISNUMBER(SEARCH("Press de banca",$B224)),IF($C224&gt;=0.8,IF($C224&lt;0.9,$D224*$E224," ")," ")," ")</f>
        <v> </v>
      </c>
      <c r="V224" s="143" t="str">
        <f t="shared" ref="V224:V226" si="242">IF(ISNUMBER(SEARCH("Press de banca",$B224)),IF($C224&gt;=0.9,$D224*$E224," ")," ")</f>
        <v> </v>
      </c>
      <c r="W224" s="5"/>
      <c r="X224" s="5"/>
      <c r="Y224" s="5"/>
      <c r="Z224" s="5"/>
      <c r="AA224" s="5"/>
    </row>
    <row r="225" ht="12.75" customHeight="1">
      <c r="A225" s="136"/>
      <c r="B225" s="144" t="s">
        <v>5</v>
      </c>
      <c r="C225" s="138">
        <v>0.6</v>
      </c>
      <c r="D225" s="139">
        <v>3.0</v>
      </c>
      <c r="E225" s="139">
        <v>1.0</v>
      </c>
      <c r="F225" s="140">
        <f>'1RM'!$C$5*C225</f>
        <v>60</v>
      </c>
      <c r="G225" s="186"/>
      <c r="H225" s="186"/>
      <c r="I225" s="186">
        <f t="shared" si="236"/>
        <v>3</v>
      </c>
      <c r="J225" s="192">
        <f t="shared" si="237"/>
        <v>180</v>
      </c>
      <c r="K225" s="186"/>
      <c r="L225" s="186"/>
      <c r="M225" s="5"/>
      <c r="N225" s="5"/>
      <c r="O225" s="5"/>
      <c r="P225" s="5"/>
      <c r="Q225" s="5"/>
      <c r="R225" s="143" t="str">
        <f t="shared" si="238"/>
        <v> </v>
      </c>
      <c r="S225" s="143">
        <f t="shared" si="239"/>
        <v>3</v>
      </c>
      <c r="T225" s="143" t="str">
        <f t="shared" si="240"/>
        <v> </v>
      </c>
      <c r="U225" s="143" t="str">
        <f t="shared" si="241"/>
        <v> </v>
      </c>
      <c r="V225" s="143" t="str">
        <f t="shared" si="242"/>
        <v> </v>
      </c>
      <c r="W225" s="5"/>
      <c r="X225" s="5"/>
      <c r="Y225" s="5"/>
      <c r="Z225" s="5"/>
      <c r="AA225" s="5"/>
    </row>
    <row r="226" ht="12.75" customHeight="1">
      <c r="A226" s="136"/>
      <c r="B226" s="144" t="s">
        <v>5</v>
      </c>
      <c r="C226" s="138">
        <v>0.7</v>
      </c>
      <c r="D226" s="139">
        <v>2.0</v>
      </c>
      <c r="E226" s="139">
        <v>3.0</v>
      </c>
      <c r="F226" s="140">
        <f>'1RM'!$C$5*C226</f>
        <v>70</v>
      </c>
      <c r="G226" s="186"/>
      <c r="H226" s="186"/>
      <c r="I226" s="186">
        <f t="shared" si="236"/>
        <v>6</v>
      </c>
      <c r="J226" s="192">
        <f t="shared" si="237"/>
        <v>420</v>
      </c>
      <c r="K226" s="186"/>
      <c r="L226" s="186"/>
      <c r="M226" s="5"/>
      <c r="N226" s="5"/>
      <c r="O226" s="5"/>
      <c r="P226" s="5"/>
      <c r="Q226" s="5"/>
      <c r="R226" s="143" t="str">
        <f t="shared" si="238"/>
        <v> </v>
      </c>
      <c r="S226" s="143" t="str">
        <f t="shared" si="239"/>
        <v> </v>
      </c>
      <c r="T226" s="143">
        <f t="shared" si="240"/>
        <v>6</v>
      </c>
      <c r="U226" s="143" t="str">
        <f t="shared" si="241"/>
        <v> </v>
      </c>
      <c r="V226" s="143" t="str">
        <f t="shared" si="242"/>
        <v> </v>
      </c>
      <c r="W226" s="5"/>
      <c r="X226" s="5"/>
      <c r="Y226" s="5"/>
      <c r="Z226" s="5"/>
      <c r="AA226" s="5"/>
    </row>
    <row r="227" ht="12.75" customHeight="1">
      <c r="A227" s="33"/>
      <c r="B227" s="134"/>
      <c r="C227" s="133"/>
      <c r="D227" s="192"/>
      <c r="E227" s="186"/>
      <c r="F227" s="42"/>
      <c r="G227" s="186"/>
      <c r="H227" s="186"/>
      <c r="I227" s="186"/>
      <c r="J227" s="186"/>
      <c r="K227" s="186"/>
      <c r="L227" s="18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2.75" customHeight="1">
      <c r="A228" s="33" t="s">
        <v>114</v>
      </c>
      <c r="B228" s="134"/>
      <c r="C228" s="135"/>
      <c r="D228" s="193"/>
      <c r="E228" s="36"/>
      <c r="F228" s="45"/>
      <c r="G228" s="186"/>
      <c r="H228" s="186"/>
      <c r="I228" s="186"/>
      <c r="J228" s="186"/>
      <c r="K228" s="186"/>
      <c r="L228" s="18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2.75" customHeight="1">
      <c r="A229" s="33"/>
      <c r="B229" s="134" t="s">
        <v>115</v>
      </c>
      <c r="C229" s="133"/>
      <c r="D229" s="192"/>
      <c r="E229" s="186"/>
      <c r="F229" s="42"/>
      <c r="G229" s="186"/>
      <c r="H229" s="186"/>
      <c r="I229" s="186"/>
      <c r="J229" s="186"/>
      <c r="K229" s="186"/>
      <c r="L229" s="18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2.75" customHeight="1">
      <c r="A230" s="169"/>
      <c r="B230" s="170"/>
      <c r="C230" s="171"/>
      <c r="D230" s="195"/>
      <c r="E230" s="180"/>
      <c r="F230" s="172"/>
      <c r="G230" s="180">
        <f t="shared" ref="G230:AA230" si="243">SUM(G211:G229)</f>
        <v>8</v>
      </c>
      <c r="H230" s="180">
        <f t="shared" si="243"/>
        <v>480</v>
      </c>
      <c r="I230" s="180">
        <f t="shared" si="243"/>
        <v>25</v>
      </c>
      <c r="J230" s="195">
        <f t="shared" si="243"/>
        <v>1585</v>
      </c>
      <c r="K230" s="180">
        <f t="shared" si="243"/>
        <v>12</v>
      </c>
      <c r="L230" s="180">
        <f t="shared" si="243"/>
        <v>750</v>
      </c>
      <c r="M230" s="180">
        <f t="shared" si="243"/>
        <v>3</v>
      </c>
      <c r="N230" s="180">
        <f t="shared" si="243"/>
        <v>2</v>
      </c>
      <c r="O230" s="180">
        <f t="shared" si="243"/>
        <v>3</v>
      </c>
      <c r="P230" s="180">
        <f t="shared" si="243"/>
        <v>0</v>
      </c>
      <c r="Q230" s="180">
        <f t="shared" si="243"/>
        <v>0</v>
      </c>
      <c r="R230" s="172">
        <f t="shared" si="243"/>
        <v>6</v>
      </c>
      <c r="S230" s="172">
        <f t="shared" si="243"/>
        <v>6</v>
      </c>
      <c r="T230" s="172">
        <f t="shared" si="243"/>
        <v>13</v>
      </c>
      <c r="U230" s="172">
        <f t="shared" si="243"/>
        <v>0</v>
      </c>
      <c r="V230" s="172">
        <f t="shared" si="243"/>
        <v>0</v>
      </c>
      <c r="W230" s="180">
        <f t="shared" si="243"/>
        <v>3</v>
      </c>
      <c r="X230" s="180">
        <f t="shared" si="243"/>
        <v>3</v>
      </c>
      <c r="Y230" s="180">
        <f t="shared" si="243"/>
        <v>6</v>
      </c>
      <c r="Z230" s="180">
        <f t="shared" si="243"/>
        <v>0</v>
      </c>
      <c r="AA230" s="180">
        <f t="shared" si="243"/>
        <v>0</v>
      </c>
    </row>
    <row r="231" ht="12.75" customHeight="1">
      <c r="A231" s="33"/>
      <c r="B231" s="134"/>
      <c r="C231" s="133"/>
      <c r="D231" s="192"/>
      <c r="E231" s="186"/>
      <c r="F231" s="42"/>
      <c r="G231" s="186"/>
      <c r="H231" s="186"/>
      <c r="I231" s="186"/>
      <c r="J231" s="186"/>
      <c r="K231" s="186"/>
      <c r="L231" s="18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2.75" customHeight="1">
      <c r="A232" s="33"/>
      <c r="B232" s="134"/>
      <c r="C232" s="133"/>
      <c r="D232" s="192"/>
      <c r="E232" s="186"/>
      <c r="F232" s="42"/>
      <c r="G232" s="36">
        <f t="shared" ref="G232:AA232" si="244">SUM(G230,G208,G169,G117,G62)</f>
        <v>139</v>
      </c>
      <c r="H232" s="193">
        <f t="shared" si="244"/>
        <v>9515</v>
      </c>
      <c r="I232" s="36">
        <f t="shared" si="244"/>
        <v>257</v>
      </c>
      <c r="J232" s="193">
        <f t="shared" si="244"/>
        <v>17670</v>
      </c>
      <c r="K232" s="36">
        <f t="shared" si="244"/>
        <v>136</v>
      </c>
      <c r="L232" s="36">
        <f t="shared" si="244"/>
        <v>9335</v>
      </c>
      <c r="M232" s="36">
        <f t="shared" si="244"/>
        <v>29</v>
      </c>
      <c r="N232" s="36">
        <f t="shared" si="244"/>
        <v>27</v>
      </c>
      <c r="O232" s="36">
        <f t="shared" si="244"/>
        <v>38</v>
      </c>
      <c r="P232" s="36">
        <f t="shared" si="244"/>
        <v>41</v>
      </c>
      <c r="Q232" s="36">
        <f t="shared" si="244"/>
        <v>4</v>
      </c>
      <c r="R232" s="45">
        <f t="shared" si="244"/>
        <v>51</v>
      </c>
      <c r="S232" s="45">
        <f t="shared" si="244"/>
        <v>48</v>
      </c>
      <c r="T232" s="45">
        <f t="shared" si="244"/>
        <v>72</v>
      </c>
      <c r="U232" s="45">
        <f t="shared" si="244"/>
        <v>82</v>
      </c>
      <c r="V232" s="45">
        <f t="shared" si="244"/>
        <v>4</v>
      </c>
      <c r="W232" s="36">
        <f t="shared" si="244"/>
        <v>26</v>
      </c>
      <c r="X232" s="36">
        <f t="shared" si="244"/>
        <v>29</v>
      </c>
      <c r="Y232" s="36">
        <f t="shared" si="244"/>
        <v>48</v>
      </c>
      <c r="Z232" s="36">
        <f t="shared" si="244"/>
        <v>26</v>
      </c>
      <c r="AA232" s="36">
        <f t="shared" si="244"/>
        <v>7</v>
      </c>
    </row>
    <row r="233" ht="12.75" customHeight="1">
      <c r="A233" s="33"/>
      <c r="B233" s="134"/>
      <c r="C233" s="133"/>
      <c r="D233" s="192"/>
      <c r="E233" s="186"/>
      <c r="F233" s="42"/>
      <c r="G233" s="186"/>
      <c r="H233" s="186"/>
      <c r="I233" s="186"/>
      <c r="J233" s="186"/>
      <c r="K233" s="186"/>
      <c r="L233" s="18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2.75" customHeight="1">
      <c r="A234" s="33"/>
      <c r="B234" s="134"/>
      <c r="C234" s="133"/>
      <c r="D234" s="192"/>
      <c r="E234" s="186"/>
      <c r="F234" s="42"/>
      <c r="G234" s="186"/>
      <c r="H234" s="186"/>
      <c r="I234" s="186"/>
      <c r="J234" s="186"/>
      <c r="K234" s="186"/>
      <c r="L234" s="18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2.75" customHeight="1">
      <c r="A235" s="33"/>
      <c r="B235" s="134"/>
      <c r="C235" s="133"/>
      <c r="D235" s="192"/>
      <c r="E235" s="186"/>
      <c r="F235" s="42"/>
      <c r="G235" s="186"/>
      <c r="H235" s="186"/>
      <c r="I235" s="186"/>
      <c r="J235" s="186"/>
      <c r="K235" s="186"/>
      <c r="L235" s="18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2.75" customHeight="1">
      <c r="A236" s="33"/>
      <c r="B236" s="134"/>
      <c r="C236" s="133"/>
      <c r="D236" s="192"/>
      <c r="E236" s="186"/>
      <c r="F236" s="42"/>
      <c r="G236" s="186"/>
      <c r="H236" s="186"/>
      <c r="I236" s="186"/>
      <c r="J236" s="186"/>
      <c r="K236" s="186"/>
      <c r="L236" s="18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2.75" customHeight="1">
      <c r="A237" s="33"/>
      <c r="B237" s="134"/>
      <c r="C237" s="133"/>
      <c r="D237" s="192"/>
      <c r="E237" s="186"/>
      <c r="F237" s="42"/>
      <c r="G237" s="186"/>
      <c r="H237" s="186"/>
      <c r="I237" s="186"/>
      <c r="J237" s="186"/>
      <c r="K237" s="186"/>
      <c r="L237" s="18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2.75" customHeight="1">
      <c r="A238" s="33"/>
      <c r="B238" s="134"/>
      <c r="C238" s="133"/>
      <c r="D238" s="192"/>
      <c r="E238" s="186"/>
      <c r="F238" s="42"/>
      <c r="G238" s="186"/>
      <c r="H238" s="186"/>
      <c r="I238" s="186"/>
      <c r="J238" s="186"/>
      <c r="K238" s="186"/>
      <c r="L238" s="18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2.75" customHeight="1">
      <c r="A239" s="33"/>
      <c r="B239" s="134"/>
      <c r="C239" s="133"/>
      <c r="D239" s="192"/>
      <c r="E239" s="186"/>
      <c r="F239" s="42"/>
      <c r="G239" s="186"/>
      <c r="H239" s="186"/>
      <c r="I239" s="186"/>
      <c r="J239" s="186"/>
      <c r="K239" s="186"/>
      <c r="L239" s="18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2.75" customHeight="1">
      <c r="A240" s="33"/>
      <c r="B240" s="134"/>
      <c r="C240" s="133"/>
      <c r="D240" s="192"/>
      <c r="E240" s="186"/>
      <c r="F240" s="42"/>
      <c r="G240" s="186"/>
      <c r="H240" s="186"/>
      <c r="I240" s="186"/>
      <c r="J240" s="186"/>
      <c r="K240" s="186"/>
      <c r="L240" s="18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2.75" customHeight="1">
      <c r="A241" s="33"/>
      <c r="B241" s="134"/>
      <c r="C241" s="133"/>
      <c r="D241" s="192"/>
      <c r="E241" s="186"/>
      <c r="F241" s="42"/>
      <c r="G241" s="186"/>
      <c r="H241" s="186"/>
      <c r="I241" s="186"/>
      <c r="J241" s="186"/>
      <c r="K241" s="186"/>
      <c r="L241" s="18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2.75" customHeight="1">
      <c r="A242" s="33"/>
      <c r="B242" s="134"/>
      <c r="C242" s="133"/>
      <c r="D242" s="192"/>
      <c r="E242" s="186"/>
      <c r="F242" s="42"/>
      <c r="G242" s="186"/>
      <c r="H242" s="186"/>
      <c r="I242" s="186"/>
      <c r="J242" s="186"/>
      <c r="K242" s="186"/>
      <c r="L242" s="18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2.75" customHeight="1">
      <c r="A243" s="33"/>
      <c r="B243" s="134"/>
      <c r="C243" s="133"/>
      <c r="D243" s="192"/>
      <c r="E243" s="186"/>
      <c r="F243" s="42"/>
      <c r="G243" s="186"/>
      <c r="H243" s="186"/>
      <c r="I243" s="186"/>
      <c r="J243" s="186"/>
      <c r="K243" s="186"/>
      <c r="L243" s="18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2.75" customHeight="1">
      <c r="A244" s="33"/>
      <c r="B244" s="134"/>
      <c r="C244" s="133"/>
      <c r="D244" s="192"/>
      <c r="E244" s="186"/>
      <c r="F244" s="42"/>
      <c r="G244" s="186"/>
      <c r="H244" s="186"/>
      <c r="I244" s="186"/>
      <c r="J244" s="186"/>
      <c r="K244" s="186"/>
      <c r="L244" s="18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2.75" customHeight="1">
      <c r="A245" s="33"/>
      <c r="B245" s="134"/>
      <c r="C245" s="133"/>
      <c r="D245" s="192"/>
      <c r="E245" s="186"/>
      <c r="F245" s="42"/>
      <c r="G245" s="186"/>
      <c r="H245" s="186"/>
      <c r="I245" s="186"/>
      <c r="J245" s="186"/>
      <c r="K245" s="186"/>
      <c r="L245" s="18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2.75" customHeight="1">
      <c r="A246" s="33"/>
      <c r="B246" s="134"/>
      <c r="C246" s="133"/>
      <c r="D246" s="192"/>
      <c r="E246" s="186"/>
      <c r="F246" s="42"/>
      <c r="G246" s="186"/>
      <c r="H246" s="186"/>
      <c r="I246" s="186"/>
      <c r="J246" s="186"/>
      <c r="K246" s="186"/>
      <c r="L246" s="18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2.75" customHeight="1">
      <c r="A247" s="33"/>
      <c r="B247" s="134"/>
      <c r="C247" s="133"/>
      <c r="D247" s="192"/>
      <c r="E247" s="186"/>
      <c r="F247" s="42"/>
      <c r="G247" s="186"/>
      <c r="H247" s="186"/>
      <c r="I247" s="186"/>
      <c r="J247" s="186"/>
      <c r="K247" s="186"/>
      <c r="L247" s="18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2.75" customHeight="1">
      <c r="A248" s="33"/>
      <c r="B248" s="134"/>
      <c r="C248" s="133"/>
      <c r="D248" s="192"/>
      <c r="E248" s="186"/>
      <c r="F248" s="42"/>
      <c r="G248" s="186"/>
      <c r="H248" s="186"/>
      <c r="I248" s="186"/>
      <c r="J248" s="186"/>
      <c r="K248" s="186"/>
      <c r="L248" s="18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2.75" customHeight="1">
      <c r="A249" s="33"/>
      <c r="B249" s="134"/>
      <c r="C249" s="133"/>
      <c r="D249" s="192"/>
      <c r="E249" s="186"/>
      <c r="F249" s="42"/>
      <c r="G249" s="186"/>
      <c r="H249" s="186"/>
      <c r="I249" s="186"/>
      <c r="J249" s="186"/>
      <c r="K249" s="186"/>
      <c r="L249" s="18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2.75" customHeight="1">
      <c r="A250" s="33"/>
      <c r="B250" s="134"/>
      <c r="C250" s="133"/>
      <c r="D250" s="192"/>
      <c r="E250" s="186"/>
      <c r="F250" s="42"/>
      <c r="G250" s="186"/>
      <c r="H250" s="186"/>
      <c r="I250" s="186"/>
      <c r="J250" s="186"/>
      <c r="K250" s="186"/>
      <c r="L250" s="18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2.75" customHeight="1">
      <c r="A251" s="33"/>
      <c r="B251" s="134"/>
      <c r="C251" s="133"/>
      <c r="D251" s="192"/>
      <c r="E251" s="186"/>
      <c r="F251" s="42"/>
      <c r="G251" s="186"/>
      <c r="H251" s="186"/>
      <c r="I251" s="186"/>
      <c r="J251" s="186"/>
      <c r="K251" s="186"/>
      <c r="L251" s="18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2.75" customHeight="1">
      <c r="A252" s="33"/>
      <c r="B252" s="134"/>
      <c r="C252" s="133"/>
      <c r="D252" s="192"/>
      <c r="E252" s="186"/>
      <c r="F252" s="42"/>
      <c r="G252" s="186"/>
      <c r="H252" s="186"/>
      <c r="I252" s="186"/>
      <c r="J252" s="186"/>
      <c r="K252" s="186"/>
      <c r="L252" s="18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2.75" customHeight="1">
      <c r="A253" s="33"/>
      <c r="B253" s="134"/>
      <c r="C253" s="133"/>
      <c r="D253" s="192"/>
      <c r="E253" s="186"/>
      <c r="F253" s="42"/>
      <c r="G253" s="186"/>
      <c r="H253" s="186"/>
      <c r="I253" s="186"/>
      <c r="J253" s="186"/>
      <c r="K253" s="186"/>
      <c r="L253" s="18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2.75" customHeight="1">
      <c r="A254" s="33"/>
      <c r="B254" s="134"/>
      <c r="C254" s="133"/>
      <c r="D254" s="192"/>
      <c r="E254" s="186"/>
      <c r="F254" s="42"/>
      <c r="G254" s="186"/>
      <c r="H254" s="186"/>
      <c r="I254" s="186"/>
      <c r="J254" s="186"/>
      <c r="K254" s="186"/>
      <c r="L254" s="18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2.75" customHeight="1">
      <c r="A255" s="33"/>
      <c r="B255" s="134"/>
      <c r="C255" s="133"/>
      <c r="D255" s="192"/>
      <c r="E255" s="186"/>
      <c r="F255" s="42"/>
      <c r="G255" s="186"/>
      <c r="H255" s="186"/>
      <c r="I255" s="186"/>
      <c r="J255" s="186"/>
      <c r="K255" s="186"/>
      <c r="L255" s="18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2.75" customHeight="1">
      <c r="A256" s="33"/>
      <c r="B256" s="134"/>
      <c r="C256" s="133"/>
      <c r="D256" s="192"/>
      <c r="E256" s="186"/>
      <c r="F256" s="42"/>
      <c r="G256" s="186"/>
      <c r="H256" s="186"/>
      <c r="I256" s="186"/>
      <c r="J256" s="186"/>
      <c r="K256" s="186"/>
      <c r="L256" s="18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2.75" customHeight="1">
      <c r="A257" s="33"/>
      <c r="B257" s="134"/>
      <c r="C257" s="133"/>
      <c r="D257" s="192"/>
      <c r="E257" s="186"/>
      <c r="F257" s="42"/>
      <c r="G257" s="186"/>
      <c r="H257" s="186"/>
      <c r="I257" s="186"/>
      <c r="J257" s="186"/>
      <c r="K257" s="186"/>
      <c r="L257" s="18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2.75" customHeight="1">
      <c r="A258" s="33"/>
      <c r="B258" s="134"/>
      <c r="C258" s="133"/>
      <c r="D258" s="192"/>
      <c r="E258" s="186"/>
      <c r="F258" s="42"/>
      <c r="G258" s="186"/>
      <c r="H258" s="186"/>
      <c r="I258" s="186"/>
      <c r="J258" s="186"/>
      <c r="K258" s="186"/>
      <c r="L258" s="18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2.75" customHeight="1">
      <c r="A259" s="33"/>
      <c r="B259" s="134"/>
      <c r="C259" s="133"/>
      <c r="D259" s="192"/>
      <c r="E259" s="186"/>
      <c r="F259" s="42"/>
      <c r="G259" s="186"/>
      <c r="H259" s="186"/>
      <c r="I259" s="186"/>
      <c r="J259" s="186"/>
      <c r="K259" s="186"/>
      <c r="L259" s="18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2.75" customHeight="1">
      <c r="A260" s="33"/>
      <c r="B260" s="134"/>
      <c r="C260" s="133"/>
      <c r="D260" s="192"/>
      <c r="E260" s="186"/>
      <c r="F260" s="42"/>
      <c r="G260" s="186"/>
      <c r="H260" s="186"/>
      <c r="I260" s="186"/>
      <c r="J260" s="186"/>
      <c r="K260" s="186"/>
      <c r="L260" s="18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2.75" customHeight="1">
      <c r="A261" s="33"/>
      <c r="B261" s="134"/>
      <c r="C261" s="133"/>
      <c r="D261" s="192"/>
      <c r="E261" s="186"/>
      <c r="F261" s="42"/>
      <c r="G261" s="186"/>
      <c r="H261" s="186"/>
      <c r="I261" s="186"/>
      <c r="J261" s="186"/>
      <c r="K261" s="186"/>
      <c r="L261" s="18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2.75" customHeight="1">
      <c r="A262" s="33"/>
      <c r="B262" s="134"/>
      <c r="C262" s="133"/>
      <c r="D262" s="192"/>
      <c r="E262" s="186"/>
      <c r="F262" s="42"/>
      <c r="G262" s="186"/>
      <c r="H262" s="186"/>
      <c r="I262" s="186"/>
      <c r="J262" s="186"/>
      <c r="K262" s="186"/>
      <c r="L262" s="18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2.75" customHeight="1">
      <c r="A263" s="33"/>
      <c r="B263" s="134"/>
      <c r="C263" s="133"/>
      <c r="D263" s="192"/>
      <c r="E263" s="186"/>
      <c r="F263" s="42"/>
      <c r="G263" s="186"/>
      <c r="H263" s="186"/>
      <c r="I263" s="186"/>
      <c r="J263" s="186"/>
      <c r="K263" s="186"/>
      <c r="L263" s="18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2.75" customHeight="1">
      <c r="A264" s="33"/>
      <c r="B264" s="134"/>
      <c r="C264" s="133"/>
      <c r="D264" s="192"/>
      <c r="E264" s="186"/>
      <c r="F264" s="42"/>
      <c r="G264" s="186"/>
      <c r="H264" s="186"/>
      <c r="I264" s="186"/>
      <c r="J264" s="186"/>
      <c r="K264" s="186"/>
      <c r="L264" s="18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2.75" customHeight="1">
      <c r="A265" s="33"/>
      <c r="B265" s="134"/>
      <c r="C265" s="133"/>
      <c r="D265" s="192"/>
      <c r="E265" s="186"/>
      <c r="F265" s="42"/>
      <c r="G265" s="186"/>
      <c r="H265" s="186"/>
      <c r="I265" s="186"/>
      <c r="J265" s="186"/>
      <c r="K265" s="186"/>
      <c r="L265" s="18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2.75" customHeight="1">
      <c r="A266" s="33"/>
      <c r="B266" s="134"/>
      <c r="C266" s="133"/>
      <c r="D266" s="192"/>
      <c r="E266" s="186"/>
      <c r="F266" s="42"/>
      <c r="G266" s="186"/>
      <c r="H266" s="186"/>
      <c r="I266" s="186"/>
      <c r="J266" s="186"/>
      <c r="K266" s="186"/>
      <c r="L266" s="18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2.75" customHeight="1">
      <c r="A267" s="33"/>
      <c r="B267" s="134"/>
      <c r="C267" s="133"/>
      <c r="D267" s="192"/>
      <c r="E267" s="186"/>
      <c r="F267" s="42"/>
      <c r="G267" s="186"/>
      <c r="H267" s="186"/>
      <c r="I267" s="186"/>
      <c r="J267" s="186"/>
      <c r="K267" s="186"/>
      <c r="L267" s="18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2.75" customHeight="1">
      <c r="A268" s="33"/>
      <c r="B268" s="134"/>
      <c r="C268" s="133"/>
      <c r="D268" s="192"/>
      <c r="E268" s="186"/>
      <c r="F268" s="42"/>
      <c r="G268" s="186"/>
      <c r="H268" s="186"/>
      <c r="I268" s="186"/>
      <c r="J268" s="186"/>
      <c r="K268" s="186"/>
      <c r="L268" s="18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2.75" customHeight="1">
      <c r="A269" s="33"/>
      <c r="B269" s="134"/>
      <c r="C269" s="133"/>
      <c r="D269" s="192"/>
      <c r="E269" s="186"/>
      <c r="F269" s="42"/>
      <c r="G269" s="186"/>
      <c r="H269" s="186"/>
      <c r="I269" s="186"/>
      <c r="J269" s="186"/>
      <c r="K269" s="186"/>
      <c r="L269" s="18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2.75" customHeight="1">
      <c r="A270" s="33"/>
      <c r="B270" s="134"/>
      <c r="C270" s="133"/>
      <c r="D270" s="192"/>
      <c r="E270" s="186"/>
      <c r="F270" s="42"/>
      <c r="G270" s="186"/>
      <c r="H270" s="186"/>
      <c r="I270" s="186"/>
      <c r="J270" s="186"/>
      <c r="K270" s="186"/>
      <c r="L270" s="18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2.75" customHeight="1">
      <c r="A271" s="33"/>
      <c r="B271" s="134"/>
      <c r="C271" s="133"/>
      <c r="D271" s="192"/>
      <c r="E271" s="186"/>
      <c r="F271" s="42"/>
      <c r="G271" s="186"/>
      <c r="H271" s="186"/>
      <c r="I271" s="186"/>
      <c r="J271" s="186"/>
      <c r="K271" s="186"/>
      <c r="L271" s="18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2.75" customHeight="1">
      <c r="A272" s="33"/>
      <c r="B272" s="134"/>
      <c r="C272" s="133"/>
      <c r="D272" s="192"/>
      <c r="E272" s="186"/>
      <c r="F272" s="42"/>
      <c r="G272" s="186"/>
      <c r="H272" s="186"/>
      <c r="I272" s="186"/>
      <c r="J272" s="186"/>
      <c r="K272" s="186"/>
      <c r="L272" s="18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2.75" customHeight="1">
      <c r="A273" s="33"/>
      <c r="B273" s="134"/>
      <c r="C273" s="133"/>
      <c r="D273" s="192"/>
      <c r="E273" s="186"/>
      <c r="F273" s="42"/>
      <c r="G273" s="186"/>
      <c r="H273" s="186"/>
      <c r="I273" s="186"/>
      <c r="J273" s="186"/>
      <c r="K273" s="186"/>
      <c r="L273" s="18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2.75" customHeight="1">
      <c r="A274" s="33"/>
      <c r="B274" s="134"/>
      <c r="C274" s="133"/>
      <c r="D274" s="192"/>
      <c r="E274" s="186"/>
      <c r="F274" s="42"/>
      <c r="G274" s="186"/>
      <c r="H274" s="186"/>
      <c r="I274" s="186"/>
      <c r="J274" s="186"/>
      <c r="K274" s="186"/>
      <c r="L274" s="18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2.75" customHeight="1">
      <c r="A275" s="33"/>
      <c r="B275" s="134"/>
      <c r="C275" s="133"/>
      <c r="D275" s="192"/>
      <c r="E275" s="186"/>
      <c r="F275" s="42"/>
      <c r="G275" s="186"/>
      <c r="H275" s="186"/>
      <c r="I275" s="186"/>
      <c r="J275" s="186"/>
      <c r="K275" s="186"/>
      <c r="L275" s="18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2.75" customHeight="1">
      <c r="A276" s="33"/>
      <c r="B276" s="134"/>
      <c r="C276" s="133"/>
      <c r="D276" s="192"/>
      <c r="E276" s="186"/>
      <c r="F276" s="42"/>
      <c r="G276" s="186"/>
      <c r="H276" s="186"/>
      <c r="I276" s="186"/>
      <c r="J276" s="186"/>
      <c r="K276" s="186"/>
      <c r="L276" s="18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2.75" customHeight="1">
      <c r="A277" s="33"/>
      <c r="B277" s="134"/>
      <c r="C277" s="133"/>
      <c r="D277" s="192"/>
      <c r="E277" s="186"/>
      <c r="F277" s="42"/>
      <c r="G277" s="186"/>
      <c r="H277" s="186"/>
      <c r="I277" s="186"/>
      <c r="J277" s="186"/>
      <c r="K277" s="186"/>
      <c r="L277" s="18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2.75" customHeight="1">
      <c r="A278" s="33"/>
      <c r="B278" s="134"/>
      <c r="C278" s="133"/>
      <c r="D278" s="192"/>
      <c r="E278" s="186"/>
      <c r="F278" s="42"/>
      <c r="G278" s="186"/>
      <c r="H278" s="186"/>
      <c r="I278" s="186"/>
      <c r="J278" s="186"/>
      <c r="K278" s="186"/>
      <c r="L278" s="18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2.75" customHeight="1">
      <c r="A279" s="33"/>
      <c r="B279" s="134"/>
      <c r="C279" s="133"/>
      <c r="D279" s="192"/>
      <c r="E279" s="186"/>
      <c r="F279" s="42"/>
      <c r="G279" s="186"/>
      <c r="H279" s="186"/>
      <c r="I279" s="186"/>
      <c r="J279" s="186"/>
      <c r="K279" s="186"/>
      <c r="L279" s="18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2.75" customHeight="1">
      <c r="A280" s="33"/>
      <c r="B280" s="134"/>
      <c r="C280" s="133"/>
      <c r="D280" s="192"/>
      <c r="E280" s="186"/>
      <c r="F280" s="42"/>
      <c r="G280" s="186"/>
      <c r="H280" s="186"/>
      <c r="I280" s="186"/>
      <c r="J280" s="186"/>
      <c r="K280" s="186"/>
      <c r="L280" s="18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2.75" customHeight="1">
      <c r="A281" s="33"/>
      <c r="B281" s="134"/>
      <c r="C281" s="133"/>
      <c r="D281" s="192"/>
      <c r="E281" s="186"/>
      <c r="F281" s="42"/>
      <c r="G281" s="186"/>
      <c r="H281" s="186"/>
      <c r="I281" s="186"/>
      <c r="J281" s="186"/>
      <c r="K281" s="186"/>
      <c r="L281" s="18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2.75" customHeight="1">
      <c r="A282" s="33"/>
      <c r="B282" s="134"/>
      <c r="C282" s="133"/>
      <c r="D282" s="192"/>
      <c r="E282" s="186"/>
      <c r="F282" s="42"/>
      <c r="G282" s="186"/>
      <c r="H282" s="186"/>
      <c r="I282" s="186"/>
      <c r="J282" s="186"/>
      <c r="K282" s="186"/>
      <c r="L282" s="18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2.75" customHeight="1">
      <c r="A283" s="33"/>
      <c r="B283" s="134"/>
      <c r="C283" s="133"/>
      <c r="D283" s="192"/>
      <c r="E283" s="186"/>
      <c r="F283" s="42"/>
      <c r="G283" s="186"/>
      <c r="H283" s="186"/>
      <c r="I283" s="186"/>
      <c r="J283" s="186"/>
      <c r="K283" s="186"/>
      <c r="L283" s="18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2.75" customHeight="1">
      <c r="A284" s="33"/>
      <c r="B284" s="134"/>
      <c r="C284" s="133"/>
      <c r="D284" s="192"/>
      <c r="E284" s="186"/>
      <c r="F284" s="42"/>
      <c r="G284" s="186"/>
      <c r="H284" s="186"/>
      <c r="I284" s="186"/>
      <c r="J284" s="186"/>
      <c r="K284" s="186"/>
      <c r="L284" s="18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2.75" customHeight="1">
      <c r="A285" s="33"/>
      <c r="B285" s="134"/>
      <c r="C285" s="133"/>
      <c r="D285" s="192"/>
      <c r="E285" s="186"/>
      <c r="F285" s="42"/>
      <c r="G285" s="186"/>
      <c r="H285" s="186"/>
      <c r="I285" s="186"/>
      <c r="J285" s="186"/>
      <c r="K285" s="186"/>
      <c r="L285" s="18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2.75" customHeight="1">
      <c r="A286" s="33"/>
      <c r="B286" s="134"/>
      <c r="C286" s="133"/>
      <c r="D286" s="192"/>
      <c r="E286" s="186"/>
      <c r="F286" s="42"/>
      <c r="G286" s="186"/>
      <c r="H286" s="186"/>
      <c r="I286" s="186"/>
      <c r="J286" s="186"/>
      <c r="K286" s="186"/>
      <c r="L286" s="18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2.75" customHeight="1">
      <c r="A287" s="33"/>
      <c r="B287" s="134"/>
      <c r="C287" s="133"/>
      <c r="D287" s="192"/>
      <c r="E287" s="186"/>
      <c r="F287" s="42"/>
      <c r="G287" s="186"/>
      <c r="H287" s="186"/>
      <c r="I287" s="186"/>
      <c r="J287" s="186"/>
      <c r="K287" s="186"/>
      <c r="L287" s="18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2.75" customHeight="1">
      <c r="A288" s="33"/>
      <c r="B288" s="134"/>
      <c r="C288" s="133"/>
      <c r="D288" s="192"/>
      <c r="E288" s="186"/>
      <c r="F288" s="42"/>
      <c r="G288" s="186"/>
      <c r="H288" s="186"/>
      <c r="I288" s="186"/>
      <c r="J288" s="186"/>
      <c r="K288" s="186"/>
      <c r="L288" s="18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2.75" customHeight="1">
      <c r="A289" s="33"/>
      <c r="B289" s="134"/>
      <c r="C289" s="133"/>
      <c r="D289" s="192"/>
      <c r="E289" s="186"/>
      <c r="F289" s="42"/>
      <c r="G289" s="186"/>
      <c r="H289" s="186"/>
      <c r="I289" s="186"/>
      <c r="J289" s="186"/>
      <c r="K289" s="186"/>
      <c r="L289" s="18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2.75" customHeight="1">
      <c r="A290" s="33"/>
      <c r="B290" s="134"/>
      <c r="C290" s="133"/>
      <c r="D290" s="192"/>
      <c r="E290" s="186"/>
      <c r="F290" s="42"/>
      <c r="G290" s="186"/>
      <c r="H290" s="186"/>
      <c r="I290" s="186"/>
      <c r="J290" s="186"/>
      <c r="K290" s="186"/>
      <c r="L290" s="18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2.75" customHeight="1">
      <c r="A291" s="33"/>
      <c r="B291" s="134"/>
      <c r="C291" s="133"/>
      <c r="D291" s="192"/>
      <c r="E291" s="186"/>
      <c r="F291" s="42"/>
      <c r="G291" s="186"/>
      <c r="H291" s="186"/>
      <c r="I291" s="186"/>
      <c r="J291" s="186"/>
      <c r="K291" s="186"/>
      <c r="L291" s="18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2.75" customHeight="1">
      <c r="A292" s="33"/>
      <c r="B292" s="134"/>
      <c r="C292" s="133"/>
      <c r="D292" s="192"/>
      <c r="E292" s="186"/>
      <c r="F292" s="42"/>
      <c r="G292" s="186"/>
      <c r="H292" s="186"/>
      <c r="I292" s="186"/>
      <c r="J292" s="186"/>
      <c r="K292" s="186"/>
      <c r="L292" s="18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2.75" customHeight="1">
      <c r="A293" s="33"/>
      <c r="B293" s="134"/>
      <c r="C293" s="133"/>
      <c r="D293" s="192"/>
      <c r="E293" s="186"/>
      <c r="F293" s="42"/>
      <c r="G293" s="186"/>
      <c r="H293" s="186"/>
      <c r="I293" s="186"/>
      <c r="J293" s="186"/>
      <c r="K293" s="186"/>
      <c r="L293" s="18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2.75" customHeight="1">
      <c r="A294" s="33"/>
      <c r="B294" s="134"/>
      <c r="C294" s="133"/>
      <c r="D294" s="192"/>
      <c r="E294" s="186"/>
      <c r="F294" s="42"/>
      <c r="G294" s="186"/>
      <c r="H294" s="186"/>
      <c r="I294" s="186"/>
      <c r="J294" s="186"/>
      <c r="K294" s="186"/>
      <c r="L294" s="18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2.75" customHeight="1">
      <c r="A295" s="33"/>
      <c r="B295" s="134"/>
      <c r="C295" s="133"/>
      <c r="D295" s="192"/>
      <c r="E295" s="186"/>
      <c r="F295" s="42"/>
      <c r="G295" s="186"/>
      <c r="H295" s="186"/>
      <c r="I295" s="186"/>
      <c r="J295" s="186"/>
      <c r="K295" s="186"/>
      <c r="L295" s="18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2.75" customHeight="1">
      <c r="A296" s="33"/>
      <c r="B296" s="134"/>
      <c r="C296" s="133"/>
      <c r="D296" s="192"/>
      <c r="E296" s="186"/>
      <c r="F296" s="42"/>
      <c r="G296" s="186"/>
      <c r="H296" s="186"/>
      <c r="I296" s="186"/>
      <c r="J296" s="186"/>
      <c r="K296" s="186"/>
      <c r="L296" s="18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2.75" customHeight="1">
      <c r="A297" s="33"/>
      <c r="B297" s="134"/>
      <c r="C297" s="133"/>
      <c r="D297" s="192"/>
      <c r="E297" s="186"/>
      <c r="F297" s="42"/>
      <c r="G297" s="186"/>
      <c r="H297" s="186"/>
      <c r="I297" s="186"/>
      <c r="J297" s="186"/>
      <c r="K297" s="186"/>
      <c r="L297" s="18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2.75" customHeight="1">
      <c r="A298" s="33"/>
      <c r="B298" s="134"/>
      <c r="C298" s="133"/>
      <c r="D298" s="192"/>
      <c r="E298" s="186"/>
      <c r="F298" s="42"/>
      <c r="G298" s="186"/>
      <c r="H298" s="186"/>
      <c r="I298" s="186"/>
      <c r="J298" s="186"/>
      <c r="K298" s="186"/>
      <c r="L298" s="18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2.75" customHeight="1">
      <c r="A299" s="33"/>
      <c r="B299" s="134"/>
      <c r="C299" s="133"/>
      <c r="D299" s="192"/>
      <c r="E299" s="186"/>
      <c r="F299" s="42"/>
      <c r="G299" s="186"/>
      <c r="H299" s="186"/>
      <c r="I299" s="186"/>
      <c r="J299" s="186"/>
      <c r="K299" s="186"/>
      <c r="L299" s="18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2.75" customHeight="1">
      <c r="A300" s="33"/>
      <c r="B300" s="134"/>
      <c r="C300" s="133"/>
      <c r="D300" s="192"/>
      <c r="E300" s="186"/>
      <c r="F300" s="42"/>
      <c r="G300" s="186"/>
      <c r="H300" s="186"/>
      <c r="I300" s="186"/>
      <c r="J300" s="186"/>
      <c r="K300" s="186"/>
      <c r="L300" s="18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2.75" customHeight="1">
      <c r="A301" s="33"/>
      <c r="B301" s="134"/>
      <c r="C301" s="133"/>
      <c r="D301" s="192"/>
      <c r="E301" s="186"/>
      <c r="F301" s="42"/>
      <c r="G301" s="186"/>
      <c r="H301" s="186"/>
      <c r="I301" s="186"/>
      <c r="J301" s="186"/>
      <c r="K301" s="186"/>
      <c r="L301" s="18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2.75" customHeight="1">
      <c r="A302" s="33"/>
      <c r="B302" s="134"/>
      <c r="C302" s="133"/>
      <c r="D302" s="192"/>
      <c r="E302" s="186"/>
      <c r="F302" s="42"/>
      <c r="G302" s="186"/>
      <c r="H302" s="186"/>
      <c r="I302" s="186"/>
      <c r="J302" s="186"/>
      <c r="K302" s="186"/>
      <c r="L302" s="18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2.75" customHeight="1">
      <c r="A303" s="33"/>
      <c r="B303" s="134"/>
      <c r="C303" s="133"/>
      <c r="D303" s="192"/>
      <c r="E303" s="186"/>
      <c r="F303" s="42"/>
      <c r="G303" s="186"/>
      <c r="H303" s="186"/>
      <c r="I303" s="186"/>
      <c r="J303" s="186"/>
      <c r="K303" s="186"/>
      <c r="L303" s="18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2.75" customHeight="1">
      <c r="A304" s="33"/>
      <c r="B304" s="134"/>
      <c r="C304" s="133"/>
      <c r="D304" s="192"/>
      <c r="E304" s="186"/>
      <c r="F304" s="42"/>
      <c r="G304" s="186"/>
      <c r="H304" s="186"/>
      <c r="I304" s="186"/>
      <c r="J304" s="186"/>
      <c r="K304" s="186"/>
      <c r="L304" s="18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2.75" customHeight="1">
      <c r="A305" s="33"/>
      <c r="B305" s="134"/>
      <c r="C305" s="133"/>
      <c r="D305" s="192"/>
      <c r="E305" s="186"/>
      <c r="F305" s="42"/>
      <c r="G305" s="186"/>
      <c r="H305" s="186"/>
      <c r="I305" s="186"/>
      <c r="J305" s="186"/>
      <c r="K305" s="186"/>
      <c r="L305" s="18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2.75" customHeight="1">
      <c r="A306" s="33"/>
      <c r="B306" s="134"/>
      <c r="C306" s="133"/>
      <c r="D306" s="192"/>
      <c r="E306" s="186"/>
      <c r="F306" s="42"/>
      <c r="G306" s="186"/>
      <c r="H306" s="186"/>
      <c r="I306" s="186"/>
      <c r="J306" s="186"/>
      <c r="K306" s="186"/>
      <c r="L306" s="18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2.75" customHeight="1">
      <c r="A307" s="33"/>
      <c r="B307" s="134"/>
      <c r="C307" s="133"/>
      <c r="D307" s="192"/>
      <c r="E307" s="186"/>
      <c r="F307" s="42"/>
      <c r="G307" s="186"/>
      <c r="H307" s="186"/>
      <c r="I307" s="186"/>
      <c r="J307" s="186"/>
      <c r="K307" s="186"/>
      <c r="L307" s="18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2.75" customHeight="1">
      <c r="A308" s="33"/>
      <c r="B308" s="134"/>
      <c r="C308" s="133"/>
      <c r="D308" s="192"/>
      <c r="E308" s="186"/>
      <c r="F308" s="42"/>
      <c r="G308" s="186"/>
      <c r="H308" s="186"/>
      <c r="I308" s="186"/>
      <c r="J308" s="186"/>
      <c r="K308" s="186"/>
      <c r="L308" s="18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2.75" customHeight="1">
      <c r="A309" s="33"/>
      <c r="B309" s="134"/>
      <c r="C309" s="133"/>
      <c r="D309" s="192"/>
      <c r="E309" s="186"/>
      <c r="F309" s="42"/>
      <c r="G309" s="186"/>
      <c r="H309" s="186"/>
      <c r="I309" s="186"/>
      <c r="J309" s="186"/>
      <c r="K309" s="186"/>
      <c r="L309" s="18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2.75" customHeight="1">
      <c r="A310" s="33"/>
      <c r="B310" s="134"/>
      <c r="C310" s="133"/>
      <c r="D310" s="192"/>
      <c r="E310" s="186"/>
      <c r="F310" s="42"/>
      <c r="G310" s="186"/>
      <c r="H310" s="186"/>
      <c r="I310" s="186"/>
      <c r="J310" s="186"/>
      <c r="K310" s="186"/>
      <c r="L310" s="18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2.75" customHeight="1">
      <c r="A311" s="33"/>
      <c r="B311" s="134"/>
      <c r="C311" s="133"/>
      <c r="D311" s="192"/>
      <c r="E311" s="186"/>
      <c r="F311" s="42"/>
      <c r="G311" s="186"/>
      <c r="H311" s="186"/>
      <c r="I311" s="186"/>
      <c r="J311" s="186"/>
      <c r="K311" s="186"/>
      <c r="L311" s="18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2.75" customHeight="1">
      <c r="A312" s="33"/>
      <c r="B312" s="134"/>
      <c r="C312" s="133"/>
      <c r="D312" s="192"/>
      <c r="E312" s="186"/>
      <c r="F312" s="42"/>
      <c r="G312" s="186"/>
      <c r="H312" s="186"/>
      <c r="I312" s="186"/>
      <c r="J312" s="186"/>
      <c r="K312" s="186"/>
      <c r="L312" s="18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2.75" customHeight="1">
      <c r="A313" s="33"/>
      <c r="B313" s="134"/>
      <c r="C313" s="133"/>
      <c r="D313" s="192"/>
      <c r="E313" s="186"/>
      <c r="F313" s="42"/>
      <c r="G313" s="186"/>
      <c r="H313" s="186"/>
      <c r="I313" s="186"/>
      <c r="J313" s="186"/>
      <c r="K313" s="186"/>
      <c r="L313" s="18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2.75" customHeight="1">
      <c r="A314" s="33"/>
      <c r="B314" s="134"/>
      <c r="C314" s="133"/>
      <c r="D314" s="192"/>
      <c r="E314" s="186"/>
      <c r="F314" s="42"/>
      <c r="G314" s="186"/>
      <c r="H314" s="186"/>
      <c r="I314" s="186"/>
      <c r="J314" s="186"/>
      <c r="K314" s="186"/>
      <c r="L314" s="18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2.75" customHeight="1">
      <c r="A315" s="33"/>
      <c r="B315" s="134"/>
      <c r="C315" s="133"/>
      <c r="D315" s="192"/>
      <c r="E315" s="186"/>
      <c r="F315" s="42"/>
      <c r="G315" s="186"/>
      <c r="H315" s="186"/>
      <c r="I315" s="186"/>
      <c r="J315" s="186"/>
      <c r="K315" s="186"/>
      <c r="L315" s="18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2.75" customHeight="1">
      <c r="A316" s="33"/>
      <c r="B316" s="134"/>
      <c r="C316" s="133"/>
      <c r="D316" s="192"/>
      <c r="E316" s="186"/>
      <c r="F316" s="42"/>
      <c r="G316" s="186"/>
      <c r="H316" s="186"/>
      <c r="I316" s="186"/>
      <c r="J316" s="186"/>
      <c r="K316" s="186"/>
      <c r="L316" s="18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2.75" customHeight="1">
      <c r="A317" s="33"/>
      <c r="B317" s="134"/>
      <c r="C317" s="133"/>
      <c r="D317" s="192"/>
      <c r="E317" s="186"/>
      <c r="F317" s="42"/>
      <c r="G317" s="186"/>
      <c r="H317" s="186"/>
      <c r="I317" s="186"/>
      <c r="J317" s="186"/>
      <c r="K317" s="186"/>
      <c r="L317" s="18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2.75" customHeight="1">
      <c r="A318" s="33"/>
      <c r="B318" s="134"/>
      <c r="C318" s="133"/>
      <c r="D318" s="192"/>
      <c r="E318" s="186"/>
      <c r="F318" s="42"/>
      <c r="G318" s="186"/>
      <c r="H318" s="186"/>
      <c r="I318" s="186"/>
      <c r="J318" s="186"/>
      <c r="K318" s="186"/>
      <c r="L318" s="18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2.75" customHeight="1">
      <c r="A319" s="33"/>
      <c r="B319" s="134"/>
      <c r="C319" s="133"/>
      <c r="D319" s="192"/>
      <c r="E319" s="186"/>
      <c r="F319" s="42"/>
      <c r="G319" s="186"/>
      <c r="H319" s="186"/>
      <c r="I319" s="186"/>
      <c r="J319" s="186"/>
      <c r="K319" s="186"/>
      <c r="L319" s="18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2.75" customHeight="1">
      <c r="A320" s="33"/>
      <c r="B320" s="134"/>
      <c r="C320" s="133"/>
      <c r="D320" s="192"/>
      <c r="E320" s="186"/>
      <c r="F320" s="42"/>
      <c r="G320" s="186"/>
      <c r="H320" s="186"/>
      <c r="I320" s="186"/>
      <c r="J320" s="186"/>
      <c r="K320" s="186"/>
      <c r="L320" s="18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2.75" customHeight="1">
      <c r="A321" s="33"/>
      <c r="B321" s="134"/>
      <c r="C321" s="133"/>
      <c r="D321" s="192"/>
      <c r="E321" s="186"/>
      <c r="F321" s="42"/>
      <c r="G321" s="186"/>
      <c r="H321" s="186"/>
      <c r="I321" s="186"/>
      <c r="J321" s="186"/>
      <c r="K321" s="186"/>
      <c r="L321" s="18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2.75" customHeight="1">
      <c r="A322" s="33"/>
      <c r="B322" s="134"/>
      <c r="C322" s="133"/>
      <c r="D322" s="192"/>
      <c r="E322" s="186"/>
      <c r="F322" s="42"/>
      <c r="G322" s="186"/>
      <c r="H322" s="186"/>
      <c r="I322" s="186"/>
      <c r="J322" s="186"/>
      <c r="K322" s="186"/>
      <c r="L322" s="18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2.75" customHeight="1">
      <c r="A323" s="33"/>
      <c r="B323" s="134"/>
      <c r="C323" s="133"/>
      <c r="D323" s="192"/>
      <c r="E323" s="186"/>
      <c r="F323" s="42"/>
      <c r="G323" s="186"/>
      <c r="H323" s="186"/>
      <c r="I323" s="186"/>
      <c r="J323" s="186"/>
      <c r="K323" s="186"/>
      <c r="L323" s="18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2.75" customHeight="1">
      <c r="A324" s="33"/>
      <c r="B324" s="134"/>
      <c r="C324" s="133"/>
      <c r="D324" s="192"/>
      <c r="E324" s="186"/>
      <c r="F324" s="42"/>
      <c r="G324" s="186"/>
      <c r="H324" s="186"/>
      <c r="I324" s="186"/>
      <c r="J324" s="186"/>
      <c r="K324" s="186"/>
      <c r="L324" s="18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2.75" customHeight="1">
      <c r="A325" s="33"/>
      <c r="B325" s="134"/>
      <c r="C325" s="133"/>
      <c r="D325" s="192"/>
      <c r="E325" s="186"/>
      <c r="F325" s="42"/>
      <c r="G325" s="186"/>
      <c r="H325" s="186"/>
      <c r="I325" s="186"/>
      <c r="J325" s="186"/>
      <c r="K325" s="186"/>
      <c r="L325" s="18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2.75" customHeight="1">
      <c r="A326" s="33"/>
      <c r="B326" s="134"/>
      <c r="C326" s="133"/>
      <c r="D326" s="192"/>
      <c r="E326" s="186"/>
      <c r="F326" s="42"/>
      <c r="G326" s="186"/>
      <c r="H326" s="186"/>
      <c r="I326" s="186"/>
      <c r="J326" s="186"/>
      <c r="K326" s="186"/>
      <c r="L326" s="18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2.75" customHeight="1">
      <c r="A327" s="33"/>
      <c r="B327" s="134"/>
      <c r="C327" s="133"/>
      <c r="D327" s="192"/>
      <c r="E327" s="186"/>
      <c r="F327" s="42"/>
      <c r="G327" s="186"/>
      <c r="H327" s="186"/>
      <c r="I327" s="186"/>
      <c r="J327" s="186"/>
      <c r="K327" s="186"/>
      <c r="L327" s="18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2.75" customHeight="1">
      <c r="A328" s="33"/>
      <c r="B328" s="134"/>
      <c r="C328" s="133"/>
      <c r="D328" s="192"/>
      <c r="E328" s="186"/>
      <c r="F328" s="42"/>
      <c r="G328" s="186"/>
      <c r="H328" s="186"/>
      <c r="I328" s="186"/>
      <c r="J328" s="186"/>
      <c r="K328" s="186"/>
      <c r="L328" s="18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2.75" customHeight="1">
      <c r="A329" s="33"/>
      <c r="B329" s="134"/>
      <c r="C329" s="133"/>
      <c r="D329" s="192"/>
      <c r="E329" s="186"/>
      <c r="F329" s="42"/>
      <c r="G329" s="186"/>
      <c r="H329" s="186"/>
      <c r="I329" s="186"/>
      <c r="J329" s="186"/>
      <c r="K329" s="186"/>
      <c r="L329" s="18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2.75" customHeight="1">
      <c r="A330" s="33"/>
      <c r="B330" s="134"/>
      <c r="C330" s="133"/>
      <c r="D330" s="192"/>
      <c r="E330" s="186"/>
      <c r="F330" s="42"/>
      <c r="G330" s="186"/>
      <c r="H330" s="186"/>
      <c r="I330" s="186"/>
      <c r="J330" s="186"/>
      <c r="K330" s="186"/>
      <c r="L330" s="18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2.75" customHeight="1">
      <c r="A331" s="33"/>
      <c r="B331" s="134"/>
      <c r="C331" s="133"/>
      <c r="D331" s="192"/>
      <c r="E331" s="186"/>
      <c r="F331" s="42"/>
      <c r="G331" s="186"/>
      <c r="H331" s="186"/>
      <c r="I331" s="186"/>
      <c r="J331" s="186"/>
      <c r="K331" s="186"/>
      <c r="L331" s="18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2.75" customHeight="1">
      <c r="A332" s="33"/>
      <c r="B332" s="134"/>
      <c r="C332" s="133"/>
      <c r="D332" s="192"/>
      <c r="E332" s="186"/>
      <c r="F332" s="42"/>
      <c r="G332" s="186"/>
      <c r="H332" s="186"/>
      <c r="I332" s="186"/>
      <c r="J332" s="186"/>
      <c r="K332" s="186"/>
      <c r="L332" s="18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2.75" customHeight="1">
      <c r="A333" s="33"/>
      <c r="B333" s="134"/>
      <c r="C333" s="133"/>
      <c r="D333" s="192"/>
      <c r="E333" s="186"/>
      <c r="F333" s="42"/>
      <c r="G333" s="186"/>
      <c r="H333" s="186"/>
      <c r="I333" s="186"/>
      <c r="J333" s="186"/>
      <c r="K333" s="186"/>
      <c r="L333" s="18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2.75" customHeight="1">
      <c r="A334" s="33"/>
      <c r="B334" s="134"/>
      <c r="C334" s="133"/>
      <c r="D334" s="192"/>
      <c r="E334" s="186"/>
      <c r="F334" s="42"/>
      <c r="G334" s="186"/>
      <c r="H334" s="186"/>
      <c r="I334" s="186"/>
      <c r="J334" s="186"/>
      <c r="K334" s="186"/>
      <c r="L334" s="18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2.75" customHeight="1">
      <c r="A335" s="33"/>
      <c r="B335" s="134"/>
      <c r="C335" s="133"/>
      <c r="D335" s="192"/>
      <c r="E335" s="186"/>
      <c r="F335" s="42"/>
      <c r="G335" s="186"/>
      <c r="H335" s="186"/>
      <c r="I335" s="186"/>
      <c r="J335" s="186"/>
      <c r="K335" s="186"/>
      <c r="L335" s="18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2.75" customHeight="1">
      <c r="A336" s="33"/>
      <c r="B336" s="134"/>
      <c r="C336" s="133"/>
      <c r="D336" s="192"/>
      <c r="E336" s="186"/>
      <c r="F336" s="42"/>
      <c r="G336" s="186"/>
      <c r="H336" s="186"/>
      <c r="I336" s="186"/>
      <c r="J336" s="186"/>
      <c r="K336" s="186"/>
      <c r="L336" s="18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2.75" customHeight="1">
      <c r="A337" s="33"/>
      <c r="B337" s="134"/>
      <c r="C337" s="133"/>
      <c r="D337" s="192"/>
      <c r="E337" s="186"/>
      <c r="F337" s="42"/>
      <c r="G337" s="186"/>
      <c r="H337" s="186"/>
      <c r="I337" s="186"/>
      <c r="J337" s="186"/>
      <c r="K337" s="186"/>
      <c r="L337" s="18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2.75" customHeight="1">
      <c r="A338" s="33"/>
      <c r="B338" s="134"/>
      <c r="C338" s="133"/>
      <c r="D338" s="192"/>
      <c r="E338" s="186"/>
      <c r="F338" s="42"/>
      <c r="G338" s="186"/>
      <c r="H338" s="186"/>
      <c r="I338" s="186"/>
      <c r="J338" s="186"/>
      <c r="K338" s="186"/>
      <c r="L338" s="18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2.75" customHeight="1">
      <c r="A339" s="33"/>
      <c r="B339" s="134"/>
      <c r="C339" s="133"/>
      <c r="D339" s="192"/>
      <c r="E339" s="186"/>
      <c r="F339" s="42"/>
      <c r="G339" s="186"/>
      <c r="H339" s="186"/>
      <c r="I339" s="186"/>
      <c r="J339" s="186"/>
      <c r="K339" s="186"/>
      <c r="L339" s="18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2.75" customHeight="1">
      <c r="A340" s="33"/>
      <c r="B340" s="134"/>
      <c r="C340" s="133"/>
      <c r="D340" s="192"/>
      <c r="E340" s="186"/>
      <c r="F340" s="42"/>
      <c r="G340" s="186"/>
      <c r="H340" s="186"/>
      <c r="I340" s="186"/>
      <c r="J340" s="186"/>
      <c r="K340" s="186"/>
      <c r="L340" s="18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2.75" customHeight="1">
      <c r="A341" s="33"/>
      <c r="B341" s="134"/>
      <c r="C341" s="133"/>
      <c r="D341" s="192"/>
      <c r="E341" s="186"/>
      <c r="F341" s="42"/>
      <c r="G341" s="186"/>
      <c r="H341" s="186"/>
      <c r="I341" s="186"/>
      <c r="J341" s="186"/>
      <c r="K341" s="186"/>
      <c r="L341" s="18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2.75" customHeight="1">
      <c r="A342" s="33"/>
      <c r="B342" s="134"/>
      <c r="C342" s="133"/>
      <c r="D342" s="192"/>
      <c r="E342" s="186"/>
      <c r="F342" s="42"/>
      <c r="G342" s="186"/>
      <c r="H342" s="186"/>
      <c r="I342" s="186"/>
      <c r="J342" s="186"/>
      <c r="K342" s="186"/>
      <c r="L342" s="18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2.75" customHeight="1">
      <c r="A343" s="33"/>
      <c r="B343" s="134"/>
      <c r="C343" s="133"/>
      <c r="D343" s="192"/>
      <c r="E343" s="186"/>
      <c r="F343" s="42"/>
      <c r="G343" s="186"/>
      <c r="H343" s="186"/>
      <c r="I343" s="186"/>
      <c r="J343" s="186"/>
      <c r="K343" s="186"/>
      <c r="L343" s="18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2.75" customHeight="1">
      <c r="A344" s="33"/>
      <c r="B344" s="134"/>
      <c r="C344" s="133"/>
      <c r="D344" s="192"/>
      <c r="E344" s="186"/>
      <c r="F344" s="42"/>
      <c r="G344" s="186"/>
      <c r="H344" s="186"/>
      <c r="I344" s="186"/>
      <c r="J344" s="186"/>
      <c r="K344" s="186"/>
      <c r="L344" s="18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2.75" customHeight="1">
      <c r="A345" s="33"/>
      <c r="B345" s="134"/>
      <c r="C345" s="133"/>
      <c r="D345" s="192"/>
      <c r="E345" s="186"/>
      <c r="F345" s="42"/>
      <c r="G345" s="186"/>
      <c r="H345" s="186"/>
      <c r="I345" s="186"/>
      <c r="J345" s="186"/>
      <c r="K345" s="186"/>
      <c r="L345" s="18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2.75" customHeight="1">
      <c r="A346" s="33"/>
      <c r="B346" s="134"/>
      <c r="C346" s="133"/>
      <c r="D346" s="192"/>
      <c r="E346" s="186"/>
      <c r="F346" s="42"/>
      <c r="G346" s="186"/>
      <c r="H346" s="186"/>
      <c r="I346" s="186"/>
      <c r="J346" s="186"/>
      <c r="K346" s="186"/>
      <c r="L346" s="18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2.75" customHeight="1">
      <c r="A347" s="33"/>
      <c r="B347" s="134"/>
      <c r="C347" s="133"/>
      <c r="D347" s="192"/>
      <c r="E347" s="186"/>
      <c r="F347" s="42"/>
      <c r="G347" s="186"/>
      <c r="H347" s="186"/>
      <c r="I347" s="186"/>
      <c r="J347" s="186"/>
      <c r="K347" s="186"/>
      <c r="L347" s="18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2.75" customHeight="1">
      <c r="A348" s="33"/>
      <c r="B348" s="134"/>
      <c r="C348" s="133"/>
      <c r="D348" s="192"/>
      <c r="E348" s="186"/>
      <c r="F348" s="42"/>
      <c r="G348" s="186"/>
      <c r="H348" s="186"/>
      <c r="I348" s="186"/>
      <c r="J348" s="186"/>
      <c r="K348" s="186"/>
      <c r="L348" s="18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2.75" customHeight="1">
      <c r="A349" s="33"/>
      <c r="B349" s="134"/>
      <c r="C349" s="133"/>
      <c r="D349" s="192"/>
      <c r="E349" s="186"/>
      <c r="F349" s="42"/>
      <c r="G349" s="186"/>
      <c r="H349" s="186"/>
      <c r="I349" s="186"/>
      <c r="J349" s="186"/>
      <c r="K349" s="186"/>
      <c r="L349" s="18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2.75" customHeight="1">
      <c r="A350" s="33"/>
      <c r="B350" s="134"/>
      <c r="C350" s="133"/>
      <c r="D350" s="192"/>
      <c r="E350" s="186"/>
      <c r="F350" s="42"/>
      <c r="G350" s="186"/>
      <c r="H350" s="186"/>
      <c r="I350" s="186"/>
      <c r="J350" s="186"/>
      <c r="K350" s="186"/>
      <c r="L350" s="18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2.75" customHeight="1">
      <c r="A351" s="33"/>
      <c r="B351" s="134"/>
      <c r="C351" s="133"/>
      <c r="D351" s="192"/>
      <c r="E351" s="186"/>
      <c r="F351" s="42"/>
      <c r="G351" s="186"/>
      <c r="H351" s="186"/>
      <c r="I351" s="186"/>
      <c r="J351" s="186"/>
      <c r="K351" s="186"/>
      <c r="L351" s="18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2.75" customHeight="1">
      <c r="A352" s="33"/>
      <c r="B352" s="134"/>
      <c r="C352" s="133"/>
      <c r="D352" s="192"/>
      <c r="E352" s="186"/>
      <c r="F352" s="42"/>
      <c r="G352" s="186"/>
      <c r="H352" s="186"/>
      <c r="I352" s="186"/>
      <c r="J352" s="186"/>
      <c r="K352" s="186"/>
      <c r="L352" s="18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2.75" customHeight="1">
      <c r="A353" s="33"/>
      <c r="B353" s="134"/>
      <c r="C353" s="133"/>
      <c r="D353" s="192"/>
      <c r="E353" s="186"/>
      <c r="F353" s="42"/>
      <c r="G353" s="186"/>
      <c r="H353" s="186"/>
      <c r="I353" s="186"/>
      <c r="J353" s="186"/>
      <c r="K353" s="186"/>
      <c r="L353" s="18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2.75" customHeight="1">
      <c r="A354" s="33"/>
      <c r="B354" s="134"/>
      <c r="C354" s="133"/>
      <c r="D354" s="192"/>
      <c r="E354" s="186"/>
      <c r="F354" s="42"/>
      <c r="G354" s="186"/>
      <c r="H354" s="186"/>
      <c r="I354" s="186"/>
      <c r="J354" s="186"/>
      <c r="K354" s="186"/>
      <c r="L354" s="18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2.75" customHeight="1">
      <c r="A355" s="33"/>
      <c r="B355" s="134"/>
      <c r="C355" s="133"/>
      <c r="D355" s="192"/>
      <c r="E355" s="186"/>
      <c r="F355" s="42"/>
      <c r="G355" s="186"/>
      <c r="H355" s="186"/>
      <c r="I355" s="186"/>
      <c r="J355" s="186"/>
      <c r="K355" s="186"/>
      <c r="L355" s="18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2.75" customHeight="1">
      <c r="A356" s="33"/>
      <c r="B356" s="134"/>
      <c r="C356" s="133"/>
      <c r="D356" s="192"/>
      <c r="E356" s="186"/>
      <c r="F356" s="42"/>
      <c r="G356" s="186"/>
      <c r="H356" s="186"/>
      <c r="I356" s="186"/>
      <c r="J356" s="186"/>
      <c r="K356" s="186"/>
      <c r="L356" s="18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2.75" customHeight="1">
      <c r="A357" s="33"/>
      <c r="B357" s="134"/>
      <c r="C357" s="133"/>
      <c r="D357" s="192"/>
      <c r="E357" s="186"/>
      <c r="F357" s="42"/>
      <c r="G357" s="186"/>
      <c r="H357" s="186"/>
      <c r="I357" s="186"/>
      <c r="J357" s="186"/>
      <c r="K357" s="186"/>
      <c r="L357" s="18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2.75" customHeight="1">
      <c r="A358" s="33"/>
      <c r="B358" s="134"/>
      <c r="C358" s="133"/>
      <c r="D358" s="192"/>
      <c r="E358" s="186"/>
      <c r="F358" s="42"/>
      <c r="G358" s="186"/>
      <c r="H358" s="186"/>
      <c r="I358" s="186"/>
      <c r="J358" s="186"/>
      <c r="K358" s="186"/>
      <c r="L358" s="18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2.75" customHeight="1">
      <c r="A359" s="33"/>
      <c r="B359" s="134"/>
      <c r="C359" s="133"/>
      <c r="D359" s="192"/>
      <c r="E359" s="186"/>
      <c r="F359" s="42"/>
      <c r="G359" s="186"/>
      <c r="H359" s="186"/>
      <c r="I359" s="186"/>
      <c r="J359" s="186"/>
      <c r="K359" s="186"/>
      <c r="L359" s="18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2.75" customHeight="1">
      <c r="A360" s="33"/>
      <c r="B360" s="134"/>
      <c r="C360" s="133"/>
      <c r="D360" s="192"/>
      <c r="E360" s="186"/>
      <c r="F360" s="42"/>
      <c r="G360" s="186"/>
      <c r="H360" s="186"/>
      <c r="I360" s="186"/>
      <c r="J360" s="186"/>
      <c r="K360" s="186"/>
      <c r="L360" s="18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2.75" customHeight="1">
      <c r="A361" s="33"/>
      <c r="B361" s="134"/>
      <c r="C361" s="133"/>
      <c r="D361" s="192"/>
      <c r="E361" s="186"/>
      <c r="F361" s="42"/>
      <c r="G361" s="186"/>
      <c r="H361" s="186"/>
      <c r="I361" s="186"/>
      <c r="J361" s="186"/>
      <c r="K361" s="186"/>
      <c r="L361" s="18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2.75" customHeight="1">
      <c r="A362" s="33"/>
      <c r="B362" s="134"/>
      <c r="C362" s="133"/>
      <c r="D362" s="192"/>
      <c r="E362" s="186"/>
      <c r="F362" s="42"/>
      <c r="G362" s="186"/>
      <c r="H362" s="186"/>
      <c r="I362" s="186"/>
      <c r="J362" s="186"/>
      <c r="K362" s="186"/>
      <c r="L362" s="18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2.75" customHeight="1">
      <c r="A363" s="33"/>
      <c r="B363" s="134"/>
      <c r="C363" s="133"/>
      <c r="D363" s="192"/>
      <c r="E363" s="186"/>
      <c r="F363" s="42"/>
      <c r="G363" s="186"/>
      <c r="H363" s="186"/>
      <c r="I363" s="186"/>
      <c r="J363" s="186"/>
      <c r="K363" s="186"/>
      <c r="L363" s="18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2.75" customHeight="1">
      <c r="A364" s="33"/>
      <c r="B364" s="134"/>
      <c r="C364" s="133"/>
      <c r="D364" s="192"/>
      <c r="E364" s="186"/>
      <c r="F364" s="42"/>
      <c r="G364" s="186"/>
      <c r="H364" s="186"/>
      <c r="I364" s="186"/>
      <c r="J364" s="186"/>
      <c r="K364" s="186"/>
      <c r="L364" s="18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2.75" customHeight="1">
      <c r="A365" s="33"/>
      <c r="B365" s="134"/>
      <c r="C365" s="133"/>
      <c r="D365" s="192"/>
      <c r="E365" s="186"/>
      <c r="F365" s="42"/>
      <c r="G365" s="186"/>
      <c r="H365" s="186"/>
      <c r="I365" s="186"/>
      <c r="J365" s="186"/>
      <c r="K365" s="186"/>
      <c r="L365" s="18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2.75" customHeight="1">
      <c r="A366" s="33"/>
      <c r="B366" s="134"/>
      <c r="C366" s="133"/>
      <c r="D366" s="192"/>
      <c r="E366" s="186"/>
      <c r="F366" s="42"/>
      <c r="G366" s="186"/>
      <c r="H366" s="186"/>
      <c r="I366" s="186"/>
      <c r="J366" s="186"/>
      <c r="K366" s="186"/>
      <c r="L366" s="18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2.75" customHeight="1">
      <c r="A367" s="33"/>
      <c r="B367" s="134"/>
      <c r="C367" s="133"/>
      <c r="D367" s="192"/>
      <c r="E367" s="186"/>
      <c r="F367" s="42"/>
      <c r="G367" s="186"/>
      <c r="H367" s="186"/>
      <c r="I367" s="186"/>
      <c r="J367" s="186"/>
      <c r="K367" s="186"/>
      <c r="L367" s="18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2.75" customHeight="1">
      <c r="A368" s="33"/>
      <c r="B368" s="134"/>
      <c r="C368" s="133"/>
      <c r="D368" s="192"/>
      <c r="E368" s="186"/>
      <c r="F368" s="42"/>
      <c r="G368" s="186"/>
      <c r="H368" s="186"/>
      <c r="I368" s="186"/>
      <c r="J368" s="186"/>
      <c r="K368" s="186"/>
      <c r="L368" s="18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2.75" customHeight="1">
      <c r="A369" s="33"/>
      <c r="B369" s="134"/>
      <c r="C369" s="133"/>
      <c r="D369" s="192"/>
      <c r="E369" s="186"/>
      <c r="F369" s="42"/>
      <c r="G369" s="186"/>
      <c r="H369" s="186"/>
      <c r="I369" s="186"/>
      <c r="J369" s="186"/>
      <c r="K369" s="186"/>
      <c r="L369" s="18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2.75" customHeight="1">
      <c r="A370" s="33"/>
      <c r="B370" s="134"/>
      <c r="C370" s="133"/>
      <c r="D370" s="192"/>
      <c r="E370" s="186"/>
      <c r="F370" s="42"/>
      <c r="G370" s="186"/>
      <c r="H370" s="186"/>
      <c r="I370" s="186"/>
      <c r="J370" s="186"/>
      <c r="K370" s="186"/>
      <c r="L370" s="18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2.75" customHeight="1">
      <c r="A371" s="33"/>
      <c r="B371" s="134"/>
      <c r="C371" s="133"/>
      <c r="D371" s="192"/>
      <c r="E371" s="186"/>
      <c r="F371" s="42"/>
      <c r="G371" s="186"/>
      <c r="H371" s="186"/>
      <c r="I371" s="186"/>
      <c r="J371" s="186"/>
      <c r="K371" s="186"/>
      <c r="L371" s="18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2.75" customHeight="1">
      <c r="A372" s="33"/>
      <c r="B372" s="134"/>
      <c r="C372" s="133"/>
      <c r="D372" s="192"/>
      <c r="E372" s="186"/>
      <c r="F372" s="42"/>
      <c r="G372" s="186"/>
      <c r="H372" s="186"/>
      <c r="I372" s="186"/>
      <c r="J372" s="186"/>
      <c r="K372" s="186"/>
      <c r="L372" s="18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2.75" customHeight="1">
      <c r="A373" s="33"/>
      <c r="B373" s="134"/>
      <c r="C373" s="133"/>
      <c r="D373" s="192"/>
      <c r="E373" s="186"/>
      <c r="F373" s="42"/>
      <c r="G373" s="186"/>
      <c r="H373" s="186"/>
      <c r="I373" s="186"/>
      <c r="J373" s="186"/>
      <c r="K373" s="186"/>
      <c r="L373" s="18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2.75" customHeight="1">
      <c r="A374" s="33"/>
      <c r="B374" s="134"/>
      <c r="C374" s="133"/>
      <c r="D374" s="192"/>
      <c r="E374" s="186"/>
      <c r="F374" s="42"/>
      <c r="G374" s="186"/>
      <c r="H374" s="186"/>
      <c r="I374" s="186"/>
      <c r="J374" s="186"/>
      <c r="K374" s="186"/>
      <c r="L374" s="18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2.75" customHeight="1">
      <c r="A375" s="33"/>
      <c r="B375" s="134"/>
      <c r="C375" s="133"/>
      <c r="D375" s="192"/>
      <c r="E375" s="186"/>
      <c r="F375" s="42"/>
      <c r="G375" s="186"/>
      <c r="H375" s="186"/>
      <c r="I375" s="186"/>
      <c r="J375" s="186"/>
      <c r="K375" s="186"/>
      <c r="L375" s="18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2.75" customHeight="1">
      <c r="A376" s="33"/>
      <c r="B376" s="134"/>
      <c r="C376" s="133"/>
      <c r="D376" s="192"/>
      <c r="E376" s="186"/>
      <c r="F376" s="42"/>
      <c r="G376" s="186"/>
      <c r="H376" s="186"/>
      <c r="I376" s="186"/>
      <c r="J376" s="186"/>
      <c r="K376" s="186"/>
      <c r="L376" s="18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2.75" customHeight="1">
      <c r="A377" s="33"/>
      <c r="B377" s="134"/>
      <c r="C377" s="133"/>
      <c r="D377" s="192"/>
      <c r="E377" s="186"/>
      <c r="F377" s="42"/>
      <c r="G377" s="186"/>
      <c r="H377" s="186"/>
      <c r="I377" s="186"/>
      <c r="J377" s="186"/>
      <c r="K377" s="186"/>
      <c r="L377" s="18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2.75" customHeight="1">
      <c r="A378" s="33"/>
      <c r="B378" s="134"/>
      <c r="C378" s="133"/>
      <c r="D378" s="192"/>
      <c r="E378" s="186"/>
      <c r="F378" s="42"/>
      <c r="G378" s="186"/>
      <c r="H378" s="186"/>
      <c r="I378" s="186"/>
      <c r="J378" s="186"/>
      <c r="K378" s="186"/>
      <c r="L378" s="18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2.75" customHeight="1">
      <c r="A379" s="33"/>
      <c r="B379" s="134"/>
      <c r="C379" s="133"/>
      <c r="D379" s="192"/>
      <c r="E379" s="186"/>
      <c r="F379" s="42"/>
      <c r="G379" s="186"/>
      <c r="H379" s="186"/>
      <c r="I379" s="186"/>
      <c r="J379" s="186"/>
      <c r="K379" s="186"/>
      <c r="L379" s="18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2.75" customHeight="1">
      <c r="A380" s="33"/>
      <c r="B380" s="134"/>
      <c r="C380" s="133"/>
      <c r="D380" s="192"/>
      <c r="E380" s="186"/>
      <c r="F380" s="42"/>
      <c r="G380" s="186"/>
      <c r="H380" s="186"/>
      <c r="I380" s="186"/>
      <c r="J380" s="186"/>
      <c r="K380" s="186"/>
      <c r="L380" s="18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2.75" customHeight="1">
      <c r="A381" s="33"/>
      <c r="B381" s="134"/>
      <c r="C381" s="133"/>
      <c r="D381" s="192"/>
      <c r="E381" s="186"/>
      <c r="F381" s="42"/>
      <c r="G381" s="186"/>
      <c r="H381" s="186"/>
      <c r="I381" s="186"/>
      <c r="J381" s="186"/>
      <c r="K381" s="186"/>
      <c r="L381" s="18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2.75" customHeight="1">
      <c r="A382" s="33"/>
      <c r="B382" s="134"/>
      <c r="C382" s="133"/>
      <c r="D382" s="192"/>
      <c r="E382" s="186"/>
      <c r="F382" s="42"/>
      <c r="G382" s="186"/>
      <c r="H382" s="186"/>
      <c r="I382" s="186"/>
      <c r="J382" s="186"/>
      <c r="K382" s="186"/>
      <c r="L382" s="18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2.75" customHeight="1">
      <c r="A383" s="33"/>
      <c r="B383" s="134"/>
      <c r="C383" s="133"/>
      <c r="D383" s="192"/>
      <c r="E383" s="186"/>
      <c r="F383" s="42"/>
      <c r="G383" s="186"/>
      <c r="H383" s="186"/>
      <c r="I383" s="186"/>
      <c r="J383" s="186"/>
      <c r="K383" s="186"/>
      <c r="L383" s="18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2.75" customHeight="1">
      <c r="A384" s="33"/>
      <c r="B384" s="134"/>
      <c r="C384" s="133"/>
      <c r="D384" s="192"/>
      <c r="E384" s="186"/>
      <c r="F384" s="42"/>
      <c r="G384" s="186"/>
      <c r="H384" s="186"/>
      <c r="I384" s="186"/>
      <c r="J384" s="186"/>
      <c r="K384" s="186"/>
      <c r="L384" s="18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2.75" customHeight="1">
      <c r="A385" s="33"/>
      <c r="B385" s="134"/>
      <c r="C385" s="133"/>
      <c r="D385" s="192"/>
      <c r="E385" s="186"/>
      <c r="F385" s="42"/>
      <c r="G385" s="186"/>
      <c r="H385" s="186"/>
      <c r="I385" s="186"/>
      <c r="J385" s="186"/>
      <c r="K385" s="186"/>
      <c r="L385" s="18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2.75" customHeight="1">
      <c r="A386" s="33"/>
      <c r="B386" s="134"/>
      <c r="C386" s="133"/>
      <c r="D386" s="192"/>
      <c r="E386" s="186"/>
      <c r="F386" s="42"/>
      <c r="G386" s="186"/>
      <c r="H386" s="186"/>
      <c r="I386" s="186"/>
      <c r="J386" s="186"/>
      <c r="K386" s="186"/>
      <c r="L386" s="18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2.75" customHeight="1">
      <c r="A387" s="33"/>
      <c r="B387" s="134"/>
      <c r="C387" s="133"/>
      <c r="D387" s="192"/>
      <c r="E387" s="186"/>
      <c r="F387" s="42"/>
      <c r="G387" s="186"/>
      <c r="H387" s="186"/>
      <c r="I387" s="186"/>
      <c r="J387" s="186"/>
      <c r="K387" s="186"/>
      <c r="L387" s="18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2.75" customHeight="1">
      <c r="A388" s="33"/>
      <c r="B388" s="134"/>
      <c r="C388" s="133"/>
      <c r="D388" s="192"/>
      <c r="E388" s="186"/>
      <c r="F388" s="42"/>
      <c r="G388" s="186"/>
      <c r="H388" s="186"/>
      <c r="I388" s="186"/>
      <c r="J388" s="186"/>
      <c r="K388" s="186"/>
      <c r="L388" s="18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2.75" customHeight="1">
      <c r="A389" s="33"/>
      <c r="B389" s="134"/>
      <c r="C389" s="133"/>
      <c r="D389" s="192"/>
      <c r="E389" s="186"/>
      <c r="F389" s="42"/>
      <c r="G389" s="186"/>
      <c r="H389" s="186"/>
      <c r="I389" s="186"/>
      <c r="J389" s="186"/>
      <c r="K389" s="186"/>
      <c r="L389" s="18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2.75" customHeight="1">
      <c r="A390" s="33"/>
      <c r="B390" s="134"/>
      <c r="C390" s="133"/>
      <c r="D390" s="192"/>
      <c r="E390" s="186"/>
      <c r="F390" s="42"/>
      <c r="G390" s="186"/>
      <c r="H390" s="186"/>
      <c r="I390" s="186"/>
      <c r="J390" s="186"/>
      <c r="K390" s="186"/>
      <c r="L390" s="18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2.75" customHeight="1">
      <c r="A391" s="33"/>
      <c r="B391" s="134"/>
      <c r="C391" s="133"/>
      <c r="D391" s="192"/>
      <c r="E391" s="186"/>
      <c r="F391" s="42"/>
      <c r="G391" s="186"/>
      <c r="H391" s="186"/>
      <c r="I391" s="186"/>
      <c r="J391" s="186"/>
      <c r="K391" s="186"/>
      <c r="L391" s="18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2.75" customHeight="1">
      <c r="A392" s="33"/>
      <c r="B392" s="134"/>
      <c r="C392" s="133"/>
      <c r="D392" s="192"/>
      <c r="E392" s="186"/>
      <c r="F392" s="42"/>
      <c r="G392" s="186"/>
      <c r="H392" s="186"/>
      <c r="I392" s="186"/>
      <c r="J392" s="186"/>
      <c r="K392" s="186"/>
      <c r="L392" s="18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2.75" customHeight="1">
      <c r="A393" s="33"/>
      <c r="B393" s="134"/>
      <c r="C393" s="133"/>
      <c r="D393" s="192"/>
      <c r="E393" s="186"/>
      <c r="F393" s="42"/>
      <c r="G393" s="186"/>
      <c r="H393" s="186"/>
      <c r="I393" s="186"/>
      <c r="J393" s="186"/>
      <c r="K393" s="186"/>
      <c r="L393" s="18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2.75" customHeight="1">
      <c r="A394" s="33"/>
      <c r="B394" s="134"/>
      <c r="C394" s="133"/>
      <c r="D394" s="192"/>
      <c r="E394" s="186"/>
      <c r="F394" s="42"/>
      <c r="G394" s="186"/>
      <c r="H394" s="186"/>
      <c r="I394" s="186"/>
      <c r="J394" s="186"/>
      <c r="K394" s="186"/>
      <c r="L394" s="18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2.75" customHeight="1">
      <c r="A395" s="33"/>
      <c r="B395" s="134"/>
      <c r="C395" s="133"/>
      <c r="D395" s="192"/>
      <c r="E395" s="186"/>
      <c r="F395" s="42"/>
      <c r="G395" s="186"/>
      <c r="H395" s="186"/>
      <c r="I395" s="186"/>
      <c r="J395" s="186"/>
      <c r="K395" s="186"/>
      <c r="L395" s="18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2.75" customHeight="1">
      <c r="A396" s="33"/>
      <c r="B396" s="134"/>
      <c r="C396" s="133"/>
      <c r="D396" s="192"/>
      <c r="E396" s="186"/>
      <c r="F396" s="42"/>
      <c r="G396" s="186"/>
      <c r="H396" s="186"/>
      <c r="I396" s="186"/>
      <c r="J396" s="186"/>
      <c r="K396" s="186"/>
      <c r="L396" s="18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2.75" customHeight="1">
      <c r="A397" s="33"/>
      <c r="B397" s="134"/>
      <c r="C397" s="133"/>
      <c r="D397" s="192"/>
      <c r="E397" s="186"/>
      <c r="F397" s="42"/>
      <c r="G397" s="186"/>
      <c r="H397" s="186"/>
      <c r="I397" s="186"/>
      <c r="J397" s="186"/>
      <c r="K397" s="186"/>
      <c r="L397" s="18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2.75" customHeight="1">
      <c r="A398" s="33"/>
      <c r="B398" s="134"/>
      <c r="C398" s="133"/>
      <c r="D398" s="192"/>
      <c r="E398" s="186"/>
      <c r="F398" s="42"/>
      <c r="G398" s="186"/>
      <c r="H398" s="186"/>
      <c r="I398" s="186"/>
      <c r="J398" s="186"/>
      <c r="K398" s="186"/>
      <c r="L398" s="18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2.75" customHeight="1">
      <c r="A399" s="33"/>
      <c r="B399" s="134"/>
      <c r="C399" s="133"/>
      <c r="D399" s="192"/>
      <c r="E399" s="186"/>
      <c r="F399" s="42"/>
      <c r="G399" s="186"/>
      <c r="H399" s="186"/>
      <c r="I399" s="186"/>
      <c r="J399" s="186"/>
      <c r="K399" s="186"/>
      <c r="L399" s="18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2.75" customHeight="1">
      <c r="A400" s="33"/>
      <c r="B400" s="134"/>
      <c r="C400" s="133"/>
      <c r="D400" s="192"/>
      <c r="E400" s="186"/>
      <c r="F400" s="42"/>
      <c r="G400" s="186"/>
      <c r="H400" s="186"/>
      <c r="I400" s="186"/>
      <c r="J400" s="186"/>
      <c r="K400" s="186"/>
      <c r="L400" s="18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2.75" customHeight="1">
      <c r="A401" s="33"/>
      <c r="B401" s="134"/>
      <c r="C401" s="133"/>
      <c r="D401" s="192"/>
      <c r="E401" s="186"/>
      <c r="F401" s="42"/>
      <c r="G401" s="186"/>
      <c r="H401" s="186"/>
      <c r="I401" s="186"/>
      <c r="J401" s="186"/>
      <c r="K401" s="186"/>
      <c r="L401" s="18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2.75" customHeight="1">
      <c r="A402" s="33"/>
      <c r="B402" s="134"/>
      <c r="C402" s="133"/>
      <c r="D402" s="192"/>
      <c r="E402" s="186"/>
      <c r="F402" s="42"/>
      <c r="G402" s="186"/>
      <c r="H402" s="186"/>
      <c r="I402" s="186"/>
      <c r="J402" s="186"/>
      <c r="K402" s="186"/>
      <c r="L402" s="18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2.75" customHeight="1">
      <c r="A403" s="33"/>
      <c r="B403" s="134"/>
      <c r="C403" s="133"/>
      <c r="D403" s="192"/>
      <c r="E403" s="186"/>
      <c r="F403" s="42"/>
      <c r="G403" s="186"/>
      <c r="H403" s="186"/>
      <c r="I403" s="186"/>
      <c r="J403" s="186"/>
      <c r="K403" s="186"/>
      <c r="L403" s="18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2.75" customHeight="1">
      <c r="A404" s="33"/>
      <c r="B404" s="134"/>
      <c r="C404" s="133"/>
      <c r="D404" s="192"/>
      <c r="E404" s="186"/>
      <c r="F404" s="42"/>
      <c r="G404" s="186"/>
      <c r="H404" s="186"/>
      <c r="I404" s="186"/>
      <c r="J404" s="186"/>
      <c r="K404" s="186"/>
      <c r="L404" s="18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2.75" customHeight="1">
      <c r="A405" s="33"/>
      <c r="B405" s="134"/>
      <c r="C405" s="133"/>
      <c r="D405" s="192"/>
      <c r="E405" s="186"/>
      <c r="F405" s="42"/>
      <c r="G405" s="186"/>
      <c r="H405" s="186"/>
      <c r="I405" s="186"/>
      <c r="J405" s="186"/>
      <c r="K405" s="186"/>
      <c r="L405" s="18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2.75" customHeight="1">
      <c r="A406" s="33"/>
      <c r="B406" s="134"/>
      <c r="C406" s="133"/>
      <c r="D406" s="192"/>
      <c r="E406" s="186"/>
      <c r="F406" s="42"/>
      <c r="G406" s="186"/>
      <c r="H406" s="186"/>
      <c r="I406" s="186"/>
      <c r="J406" s="186"/>
      <c r="K406" s="186"/>
      <c r="L406" s="18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2.75" customHeight="1">
      <c r="A407" s="33"/>
      <c r="B407" s="134"/>
      <c r="C407" s="133"/>
      <c r="D407" s="192"/>
      <c r="E407" s="186"/>
      <c r="F407" s="42"/>
      <c r="G407" s="186"/>
      <c r="H407" s="186"/>
      <c r="I407" s="186"/>
      <c r="J407" s="186"/>
      <c r="K407" s="186"/>
      <c r="L407" s="18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2.75" customHeight="1">
      <c r="A408" s="33"/>
      <c r="B408" s="134"/>
      <c r="C408" s="133"/>
      <c r="D408" s="192"/>
      <c r="E408" s="186"/>
      <c r="F408" s="42"/>
      <c r="G408" s="186"/>
      <c r="H408" s="186"/>
      <c r="I408" s="186"/>
      <c r="J408" s="186"/>
      <c r="K408" s="186"/>
      <c r="L408" s="18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2.75" customHeight="1">
      <c r="A409" s="33"/>
      <c r="B409" s="134"/>
      <c r="C409" s="133"/>
      <c r="D409" s="192"/>
      <c r="E409" s="186"/>
      <c r="F409" s="42"/>
      <c r="G409" s="186"/>
      <c r="H409" s="186"/>
      <c r="I409" s="186"/>
      <c r="J409" s="186"/>
      <c r="K409" s="186"/>
      <c r="L409" s="18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2.75" customHeight="1">
      <c r="A410" s="33"/>
      <c r="B410" s="134"/>
      <c r="C410" s="133"/>
      <c r="D410" s="192"/>
      <c r="E410" s="186"/>
      <c r="F410" s="42"/>
      <c r="G410" s="186"/>
      <c r="H410" s="186"/>
      <c r="I410" s="186"/>
      <c r="J410" s="186"/>
      <c r="K410" s="186"/>
      <c r="L410" s="18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2.75" customHeight="1">
      <c r="A411" s="33"/>
      <c r="B411" s="134"/>
      <c r="C411" s="133"/>
      <c r="D411" s="192"/>
      <c r="E411" s="186"/>
      <c r="F411" s="42"/>
      <c r="G411" s="186"/>
      <c r="H411" s="186"/>
      <c r="I411" s="186"/>
      <c r="J411" s="186"/>
      <c r="K411" s="186"/>
      <c r="L411" s="18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2.75" customHeight="1">
      <c r="A412" s="33"/>
      <c r="B412" s="134"/>
      <c r="C412" s="133"/>
      <c r="D412" s="192"/>
      <c r="E412" s="186"/>
      <c r="F412" s="42"/>
      <c r="G412" s="186"/>
      <c r="H412" s="186"/>
      <c r="I412" s="186"/>
      <c r="J412" s="186"/>
      <c r="K412" s="186"/>
      <c r="L412" s="18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2.75" customHeight="1">
      <c r="A413" s="33"/>
      <c r="B413" s="134"/>
      <c r="C413" s="133"/>
      <c r="D413" s="192"/>
      <c r="E413" s="186"/>
      <c r="F413" s="42"/>
      <c r="G413" s="186"/>
      <c r="H413" s="186"/>
      <c r="I413" s="186"/>
      <c r="J413" s="186"/>
      <c r="K413" s="186"/>
      <c r="L413" s="18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2.75" customHeight="1">
      <c r="A414" s="33"/>
      <c r="B414" s="134"/>
      <c r="C414" s="133"/>
      <c r="D414" s="192"/>
      <c r="E414" s="186"/>
      <c r="F414" s="42"/>
      <c r="G414" s="186"/>
      <c r="H414" s="186"/>
      <c r="I414" s="186"/>
      <c r="J414" s="186"/>
      <c r="K414" s="186"/>
      <c r="L414" s="18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2.75" customHeight="1">
      <c r="A415" s="33"/>
      <c r="B415" s="134"/>
      <c r="C415" s="133"/>
      <c r="D415" s="192"/>
      <c r="E415" s="186"/>
      <c r="F415" s="42"/>
      <c r="G415" s="186"/>
      <c r="H415" s="186"/>
      <c r="I415" s="186"/>
      <c r="J415" s="186"/>
      <c r="K415" s="186"/>
      <c r="L415" s="18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2.75" customHeight="1">
      <c r="A416" s="33"/>
      <c r="B416" s="134"/>
      <c r="C416" s="133"/>
      <c r="D416" s="192"/>
      <c r="E416" s="186"/>
      <c r="F416" s="42"/>
      <c r="G416" s="186"/>
      <c r="H416" s="186"/>
      <c r="I416" s="186"/>
      <c r="J416" s="186"/>
      <c r="K416" s="186"/>
      <c r="L416" s="18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2.75" customHeight="1">
      <c r="A417" s="33"/>
      <c r="B417" s="134"/>
      <c r="C417" s="133"/>
      <c r="D417" s="192"/>
      <c r="E417" s="186"/>
      <c r="F417" s="42"/>
      <c r="G417" s="186"/>
      <c r="H417" s="186"/>
      <c r="I417" s="186"/>
      <c r="J417" s="186"/>
      <c r="K417" s="186"/>
      <c r="L417" s="18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2.75" customHeight="1">
      <c r="A418" s="33"/>
      <c r="B418" s="134"/>
      <c r="C418" s="133"/>
      <c r="D418" s="192"/>
      <c r="E418" s="186"/>
      <c r="F418" s="42"/>
      <c r="G418" s="186"/>
      <c r="H418" s="186"/>
      <c r="I418" s="186"/>
      <c r="J418" s="186"/>
      <c r="K418" s="186"/>
      <c r="L418" s="18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2.75" customHeight="1">
      <c r="A419" s="33"/>
      <c r="B419" s="134"/>
      <c r="C419" s="133"/>
      <c r="D419" s="192"/>
      <c r="E419" s="186"/>
      <c r="F419" s="42"/>
      <c r="G419" s="186"/>
      <c r="H419" s="186"/>
      <c r="I419" s="186"/>
      <c r="J419" s="186"/>
      <c r="K419" s="186"/>
      <c r="L419" s="18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2.75" customHeight="1">
      <c r="A420" s="33"/>
      <c r="B420" s="134"/>
      <c r="C420" s="133"/>
      <c r="D420" s="192"/>
      <c r="E420" s="186"/>
      <c r="F420" s="42"/>
      <c r="G420" s="186"/>
      <c r="H420" s="186"/>
      <c r="I420" s="186"/>
      <c r="J420" s="186"/>
      <c r="K420" s="186"/>
      <c r="L420" s="18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2.75" customHeight="1">
      <c r="A421" s="33"/>
      <c r="B421" s="134"/>
      <c r="C421" s="133"/>
      <c r="D421" s="192"/>
      <c r="E421" s="186"/>
      <c r="F421" s="42"/>
      <c r="G421" s="186"/>
      <c r="H421" s="186"/>
      <c r="I421" s="186"/>
      <c r="J421" s="186"/>
      <c r="K421" s="186"/>
      <c r="L421" s="18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2.75" customHeight="1">
      <c r="A422" s="33"/>
      <c r="B422" s="134"/>
      <c r="C422" s="133"/>
      <c r="D422" s="192"/>
      <c r="E422" s="186"/>
      <c r="F422" s="42"/>
      <c r="G422" s="186"/>
      <c r="H422" s="186"/>
      <c r="I422" s="186"/>
      <c r="J422" s="186"/>
      <c r="K422" s="186"/>
      <c r="L422" s="18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2.75" customHeight="1">
      <c r="A423" s="33"/>
      <c r="B423" s="134"/>
      <c r="C423" s="133"/>
      <c r="D423" s="192"/>
      <c r="E423" s="186"/>
      <c r="F423" s="42"/>
      <c r="G423" s="186"/>
      <c r="H423" s="186"/>
      <c r="I423" s="186"/>
      <c r="J423" s="186"/>
      <c r="K423" s="186"/>
      <c r="L423" s="18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2.75" customHeight="1">
      <c r="A424" s="33"/>
      <c r="B424" s="134"/>
      <c r="C424" s="133"/>
      <c r="D424" s="192"/>
      <c r="E424" s="186"/>
      <c r="F424" s="42"/>
      <c r="G424" s="186"/>
      <c r="H424" s="186"/>
      <c r="I424" s="186"/>
      <c r="J424" s="186"/>
      <c r="K424" s="186"/>
      <c r="L424" s="18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2.75" customHeight="1">
      <c r="A425" s="33"/>
      <c r="B425" s="134"/>
      <c r="C425" s="133"/>
      <c r="D425" s="192"/>
      <c r="E425" s="186"/>
      <c r="F425" s="42"/>
      <c r="G425" s="186"/>
      <c r="H425" s="186"/>
      <c r="I425" s="186"/>
      <c r="J425" s="186"/>
      <c r="K425" s="186"/>
      <c r="L425" s="18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2.75" customHeight="1">
      <c r="A426" s="33"/>
      <c r="B426" s="134"/>
      <c r="C426" s="133"/>
      <c r="D426" s="192"/>
      <c r="E426" s="186"/>
      <c r="F426" s="42"/>
      <c r="G426" s="186"/>
      <c r="H426" s="186"/>
      <c r="I426" s="186"/>
      <c r="J426" s="186"/>
      <c r="K426" s="186"/>
      <c r="L426" s="18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2.75" customHeight="1">
      <c r="A427" s="33"/>
      <c r="B427" s="134"/>
      <c r="C427" s="133"/>
      <c r="D427" s="192"/>
      <c r="E427" s="186"/>
      <c r="F427" s="42"/>
      <c r="G427" s="186"/>
      <c r="H427" s="186"/>
      <c r="I427" s="186"/>
      <c r="J427" s="186"/>
      <c r="K427" s="186"/>
      <c r="L427" s="18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2.75" customHeight="1">
      <c r="A428" s="33"/>
      <c r="B428" s="134"/>
      <c r="C428" s="133"/>
      <c r="D428" s="192"/>
      <c r="E428" s="186"/>
      <c r="F428" s="42"/>
      <c r="G428" s="186"/>
      <c r="H428" s="186"/>
      <c r="I428" s="186"/>
      <c r="J428" s="186"/>
      <c r="K428" s="186"/>
      <c r="L428" s="18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2.75" customHeight="1">
      <c r="A429" s="33"/>
      <c r="B429" s="134"/>
      <c r="C429" s="133"/>
      <c r="D429" s="192"/>
      <c r="E429" s="186"/>
      <c r="F429" s="42"/>
      <c r="G429" s="186"/>
      <c r="H429" s="186"/>
      <c r="I429" s="186"/>
      <c r="J429" s="186"/>
      <c r="K429" s="186"/>
      <c r="L429" s="18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2.75" customHeight="1">
      <c r="A430" s="33"/>
      <c r="B430" s="134"/>
      <c r="C430" s="133"/>
      <c r="D430" s="192"/>
      <c r="E430" s="186"/>
      <c r="F430" s="42"/>
      <c r="G430" s="186"/>
      <c r="H430" s="186"/>
      <c r="I430" s="186"/>
      <c r="J430" s="186"/>
      <c r="K430" s="186"/>
      <c r="L430" s="18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2.75" customHeight="1">
      <c r="A431" s="33"/>
      <c r="B431" s="134"/>
      <c r="C431" s="133"/>
      <c r="D431" s="192"/>
      <c r="E431" s="186"/>
      <c r="F431" s="42"/>
      <c r="G431" s="186"/>
      <c r="H431" s="186"/>
      <c r="I431" s="186"/>
      <c r="J431" s="186"/>
      <c r="K431" s="186"/>
      <c r="L431" s="18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2.75" customHeight="1">
      <c r="A432" s="33"/>
      <c r="B432" s="134"/>
      <c r="C432" s="133"/>
      <c r="D432" s="192"/>
      <c r="E432" s="186"/>
      <c r="F432" s="42"/>
      <c r="G432" s="186"/>
      <c r="H432" s="186"/>
      <c r="I432" s="186"/>
      <c r="J432" s="186"/>
      <c r="K432" s="186"/>
      <c r="L432" s="18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C1:AG3"/>
  </mergeCells>
  <hyperlinks>
    <hyperlink r:id="rId1" ref="AC1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