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84.xml" ContentType="application/vnd.openxmlformats-officedocument.spreadsheetml.table+xml"/>
  <Override PartName="/xl/tables/table17.xml" ContentType="application/vnd.openxmlformats-officedocument.spreadsheetml.table+xml"/>
  <Override PartName="/xl/tables/table9.xml" ContentType="application/vnd.openxmlformats-officedocument.spreadsheetml.table+xml"/>
  <Override PartName="/xl/tables/table40.xml" ContentType="application/vnd.openxmlformats-officedocument.spreadsheetml.table+xml"/>
  <Override PartName="/xl/tables/table22.xml" ContentType="application/vnd.openxmlformats-officedocument.spreadsheetml.table+xml"/>
  <Override PartName="/xl/tables/table1.xml" ContentType="application/vnd.openxmlformats-officedocument.spreadsheetml.table+xml"/>
  <Override PartName="/xl/tables/table80.xml" ContentType="application/vnd.openxmlformats-officedocument.spreadsheetml.table+xml"/>
  <Override PartName="/xl/tables/table13.xml" ContentType="application/vnd.openxmlformats-officedocument.spreadsheetml.table+xml"/>
  <Override PartName="/xl/tables/table26.xml" ContentType="application/vnd.openxmlformats-officedocument.spreadsheetml.table+xml"/>
  <Override PartName="/xl/tables/table93.xml" ContentType="application/vnd.openxmlformats-officedocument.spreadsheetml.table+xml"/>
  <Override PartName="/xl/tables/table5.xml" ContentType="application/vnd.openxmlformats-officedocument.spreadsheetml.table+xml"/>
  <Override PartName="/xl/tables/table96.xml" ContentType="application/vnd.openxmlformats-officedocument.spreadsheetml.table+xml"/>
  <Override PartName="/xl/tables/table8.xml" ContentType="application/vnd.openxmlformats-officedocument.spreadsheetml.table+xml"/>
  <Override PartName="/xl/tables/table29.xml" ContentType="application/vnd.openxmlformats-officedocument.spreadsheetml.table+xml"/>
  <Override PartName="/xl/tables/table21.xml" ContentType="application/vnd.openxmlformats-officedocument.spreadsheetml.table+xml"/>
  <Override PartName="/xl/tables/table92.xml" ContentType="application/vnd.openxmlformats-officedocument.spreadsheetml.table+xml"/>
  <Override PartName="/xl/tables/table4.xml" ContentType="application/vnd.openxmlformats-officedocument.spreadsheetml.table+xml"/>
  <Override PartName="/xl/tables/table25.xml" ContentType="application/vnd.openxmlformats-officedocument.spreadsheetml.table+xml"/>
  <Override PartName="/xl/tables/table33.xml" ContentType="application/vnd.openxmlformats-officedocument.spreadsheetml.table+xml"/>
  <Override PartName="/xl/tables/table37.xml" ContentType="application/vnd.openxmlformats-officedocument.spreadsheetml.table+xml"/>
  <Override PartName="/xl/tables/table41.xml" ContentType="application/vnd.openxmlformats-officedocument.spreadsheetml.table+xml"/>
  <Override PartName="/xl/tables/table45.xml" ContentType="application/vnd.openxmlformats-officedocument.spreadsheetml.table+xml"/>
  <Override PartName="/xl/tables/table49.xml" ContentType="application/vnd.openxmlformats-officedocument.spreadsheetml.table+xml"/>
  <Override PartName="/xl/tables/table53.xml" ContentType="application/vnd.openxmlformats-officedocument.spreadsheetml.table+xml"/>
  <Override PartName="/xl/tables/table57.xml" ContentType="application/vnd.openxmlformats-officedocument.spreadsheetml.table+xml"/>
  <Override PartName="/xl/tables/table61.xml" ContentType="application/vnd.openxmlformats-officedocument.spreadsheetml.table+xml"/>
  <Override PartName="/xl/tables/table65.xml" ContentType="application/vnd.openxmlformats-officedocument.spreadsheetml.table+xml"/>
  <Override PartName="/xl/tables/table12.xml" ContentType="application/vnd.openxmlformats-officedocument.spreadsheetml.table+xml"/>
  <Override PartName="/xl/tables/table69.xml" ContentType="application/vnd.openxmlformats-officedocument.spreadsheetml.table+xml"/>
  <Override PartName="/xl/tables/table73.xml" ContentType="application/vnd.openxmlformats-officedocument.spreadsheetml.table+xml"/>
  <Override PartName="/xl/tables/table20.xml" ContentType="application/vnd.openxmlformats-officedocument.spreadsheetml.table+xml"/>
  <Override PartName="/xl/tables/table77.xml" ContentType="application/vnd.openxmlformats-officedocument.spreadsheetml.table+xml"/>
  <Override PartName="/xl/tables/table14.xml" ContentType="application/vnd.openxmlformats-officedocument.spreadsheetml.table+xml"/>
  <Override PartName="/xl/tables/table81.xml" ContentType="application/vnd.openxmlformats-officedocument.spreadsheetml.table+xml"/>
  <Override PartName="/xl/tables/table18.xml" ContentType="application/vnd.openxmlformats-officedocument.spreadsheetml.table+xml"/>
  <Override PartName="/xl/tables/table85.xml" ContentType="application/vnd.openxmlformats-officedocument.spreadsheetml.table+xml"/>
  <Override PartName="/xl/tables/table32.xml" ContentType="application/vnd.openxmlformats-officedocument.spreadsheetml.table+xml"/>
  <Override PartName="/xl/tables/table89.xml" ContentType="application/vnd.openxmlformats-officedocument.spreadsheetml.table+xml"/>
  <Override PartName="/xl/tables/table16.xml" ContentType="application/vnd.openxmlformats-officedocument.spreadsheetml.table+xml"/>
  <Override PartName="/xl/tables/table24.xml" ContentType="application/vnd.openxmlformats-officedocument.spreadsheetml.table+xml"/>
  <Override PartName="/xl/tables/table28.xml" ContentType="application/vnd.openxmlformats-officedocument.spreadsheetml.table+xml"/>
  <Override PartName="/xl/tables/table36.xml" ContentType="application/vnd.openxmlformats-officedocument.spreadsheetml.table+xml"/>
  <Override PartName="/xl/tables/table44.xml" ContentType="application/vnd.openxmlformats-officedocument.spreadsheetml.table+xml"/>
  <Override PartName="/xl/tables/table48.xml" ContentType="application/vnd.openxmlformats-officedocument.spreadsheetml.table+xml"/>
  <Override PartName="/xl/tables/table52.xml" ContentType="application/vnd.openxmlformats-officedocument.spreadsheetml.table+xml"/>
  <Override PartName="/xl/tables/table56.xml" ContentType="application/vnd.openxmlformats-officedocument.spreadsheetml.table+xml"/>
  <Override PartName="/xl/tables/table60.xml" ContentType="application/vnd.openxmlformats-officedocument.spreadsheetml.table+xml"/>
  <Override PartName="/xl/tables/table64.xml" ContentType="application/vnd.openxmlformats-officedocument.spreadsheetml.table+xml"/>
  <Override PartName="/xl/tables/table68.xml" ContentType="application/vnd.openxmlformats-officedocument.spreadsheetml.table+xml"/>
  <Override PartName="/xl/tables/table72.xml" ContentType="application/vnd.openxmlformats-officedocument.spreadsheetml.table+xml"/>
  <Override PartName="/xl/tables/table76.xml" ContentType="application/vnd.openxmlformats-officedocument.spreadsheetml.table+xml"/>
  <Override PartName="/xl/tables/table88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10.xml" ContentType="application/vnd.openxmlformats-officedocument.spreadsheetml.table+xml"/>
  <Override PartName="/xl/tables/table30.xml" ContentType="application/vnd.openxmlformats-officedocument.spreadsheetml.table+xml"/>
  <Override PartName="/xl/tables/table34.xml" ContentType="application/vnd.openxmlformats-officedocument.spreadsheetml.table+xml"/>
  <Override PartName="/xl/tables/table38.xml" ContentType="application/vnd.openxmlformats-officedocument.spreadsheetml.table+xml"/>
  <Override PartName="/xl/tables/table42.xml" ContentType="application/vnd.openxmlformats-officedocument.spreadsheetml.table+xml"/>
  <Override PartName="/xl/tables/table46.xml" ContentType="application/vnd.openxmlformats-officedocument.spreadsheetml.table+xml"/>
  <Override PartName="/xl/tables/table50.xml" ContentType="application/vnd.openxmlformats-officedocument.spreadsheetml.table+xml"/>
  <Override PartName="/xl/tables/table54.xml" ContentType="application/vnd.openxmlformats-officedocument.spreadsheetml.table+xml"/>
  <Override PartName="/xl/tables/table58.xml" ContentType="application/vnd.openxmlformats-officedocument.spreadsheetml.table+xml"/>
  <Override PartName="/xl/tables/table62.xml" ContentType="application/vnd.openxmlformats-officedocument.spreadsheetml.table+xml"/>
  <Override PartName="/xl/tables/table66.xml" ContentType="application/vnd.openxmlformats-officedocument.spreadsheetml.table+xml"/>
  <Override PartName="/xl/tables/table70.xml" ContentType="application/vnd.openxmlformats-officedocument.spreadsheetml.table+xml"/>
  <Override PartName="/xl/tables/table74.xml" ContentType="application/vnd.openxmlformats-officedocument.spreadsheetml.table+xml"/>
  <Override PartName="/xl/tables/table78.xml" ContentType="application/vnd.openxmlformats-officedocument.spreadsheetml.table+xml"/>
  <Override PartName="/xl/tables/table82.xml" ContentType="application/vnd.openxmlformats-officedocument.spreadsheetml.table+xml"/>
  <Override PartName="/xl/tables/table86.xml" ContentType="application/vnd.openxmlformats-officedocument.spreadsheetml.table+xml"/>
  <Override PartName="/xl/tables/table90.xml" ContentType="application/vnd.openxmlformats-officedocument.spreadsheetml.table+xml"/>
  <Override PartName="/xl/tables/table94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15.xml" ContentType="application/vnd.openxmlformats-officedocument.spreadsheetml.table+xml"/>
  <Override PartName="/xl/tables/table19.xml" ContentType="application/vnd.openxmlformats-officedocument.spreadsheetml.table+xml"/>
  <Override PartName="/xl/tables/table23.xml" ContentType="application/vnd.openxmlformats-officedocument.spreadsheetml.table+xml"/>
  <Override PartName="/xl/tables/table27.xml" ContentType="application/vnd.openxmlformats-officedocument.spreadsheetml.table+xml"/>
  <Override PartName="/xl/tables/table31.xml" ContentType="application/vnd.openxmlformats-officedocument.spreadsheetml.table+xml"/>
  <Override PartName="/xl/tables/table35.xml" ContentType="application/vnd.openxmlformats-officedocument.spreadsheetml.table+xml"/>
  <Override PartName="/xl/tables/table39.xml" ContentType="application/vnd.openxmlformats-officedocument.spreadsheetml.table+xml"/>
  <Override PartName="/xl/tables/table43.xml" ContentType="application/vnd.openxmlformats-officedocument.spreadsheetml.table+xml"/>
  <Override PartName="/xl/tables/table47.xml" ContentType="application/vnd.openxmlformats-officedocument.spreadsheetml.table+xml"/>
  <Override PartName="/xl/tables/table51.xml" ContentType="application/vnd.openxmlformats-officedocument.spreadsheetml.table+xml"/>
  <Override PartName="/xl/tables/table55.xml" ContentType="application/vnd.openxmlformats-officedocument.spreadsheetml.table+xml"/>
  <Override PartName="/xl/tables/table59.xml" ContentType="application/vnd.openxmlformats-officedocument.spreadsheetml.table+xml"/>
  <Override PartName="/xl/tables/table63.xml" ContentType="application/vnd.openxmlformats-officedocument.spreadsheetml.table+xml"/>
  <Override PartName="/xl/tables/table67.xml" ContentType="application/vnd.openxmlformats-officedocument.spreadsheetml.table+xml"/>
  <Override PartName="/xl/tables/table71.xml" ContentType="application/vnd.openxmlformats-officedocument.spreadsheetml.table+xml"/>
  <Override PartName="/xl/tables/table75.xml" ContentType="application/vnd.openxmlformats-officedocument.spreadsheetml.table+xml"/>
  <Override PartName="/xl/tables/table79.xml" ContentType="application/vnd.openxmlformats-officedocument.spreadsheetml.table+xml"/>
  <Override PartName="/xl/tables/table83.xml" ContentType="application/vnd.openxmlformats-officedocument.spreadsheetml.table+xml"/>
  <Override PartName="/xl/tables/table87.xml" ContentType="application/vnd.openxmlformats-officedocument.spreadsheetml.table+xml"/>
  <Override PartName="/xl/tables/table91.xml" ContentType="application/vnd.openxmlformats-officedocument.spreadsheetml.table+xml"/>
  <Override PartName="/xl/tables/table95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ocycle 1 Basic Hypertrophy" sheetId="1" state="visible" r:id="rId2"/>
    <sheet name="Mesocycle 2 Basic Hypertrophy" sheetId="2" state="visible" r:id="rId3"/>
    <sheet name="Mesocycle 3 Metabolite Focus" sheetId="3" state="visible" r:id="rId4"/>
    <sheet name="Mesocycle 4 Resensitization" sheetId="4" state="visible" r:id="rId5"/>
  </sheets>
  <definedNames>
    <definedName function="false" hidden="false" localSheetId="0" name="_xlnm.Print_Area" vbProcedure="false">'Mesocycle 1 Basic Hypertrophy'!$H$10:$AU$47</definedName>
    <definedName function="false" hidden="false" localSheetId="1" name="_xlnm.Print_Area" vbProcedure="false">'Mesocycle 2 Basic Hypertrophy'!$H$10:$AU$47</definedName>
    <definedName function="false" hidden="false" localSheetId="2" name="_xlnm.Print_Area" vbProcedure="false">'Mesocycle 3 Metabolite Focus'!$H$8:$AI$49</definedName>
    <definedName function="false" hidden="false" localSheetId="3" name="_xlnm.Print_Area" vbProcedure="false">'Mesocycle 4 Resensitization'!$H$8:$W$42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<sst xmlns="http://schemas.openxmlformats.org/spreadsheetml/2006/main" count="5522" uniqueCount="361">
  <si>
    <t xml:space="preserve">1.) Choose Your Exercises Below</t>
  </si>
  <si>
    <t xml:space="preserve">2.) Watch Video </t>
  </si>
  <si>
    <t xml:space="preserve">3.) Estimate</t>
  </si>
  <si>
    <t xml:space="preserve">4.) Begin Training Using The </t>
  </si>
  <si>
    <r>
      <rPr>
        <b val="true"/>
        <sz val="14"/>
        <color rgb="FF000000"/>
        <rFont val="Calibri"/>
        <family val="2"/>
        <charset val="1"/>
      </rPr>
      <t xml:space="preserve">5.) *Rating Guide:</t>
    </r>
    <r>
      <rPr>
        <sz val="11"/>
        <color rgb="FF000000"/>
        <rFont val="Calibri"/>
        <family val="2"/>
        <charset val="1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</si>
  <si>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</si>
  <si>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Instructions For Each</t>
  </si>
  <si>
    <t xml:space="preserve">Your 10RMs</t>
  </si>
  <si>
    <t xml:space="preserve">Exercises, Sets, and Rep Goals</t>
  </si>
  <si>
    <t xml:space="preserve">( 2 = I wasn't sore at all in the muscles I trained today, and I got almost no pump whatsoever.)</t>
  </si>
  <si>
    <t xml:space="preserve">So That You Can Recover For the Next Round of Great Training! </t>
  </si>
  <si>
    <t xml:space="preserve"> </t>
  </si>
  <si>
    <t xml:space="preserve">Exercise You Chose</t>
  </si>
  <si>
    <t xml:space="preserve">Below</t>
  </si>
  <si>
    <t xml:space="preserve">of Each Week</t>
  </si>
  <si>
    <t xml:space="preserve">( 1 = I wasn't sore at all in the muscles I trained today, but I could definitely feel a pump.)</t>
  </si>
  <si>
    <t xml:space="preserve">( 0 = I was either just barely healed or just a tiny bit sore in the muscles I trained today, got a good pump, and felt like this was plenty of work.)</t>
  </si>
  <si>
    <t xml:space="preserve">( -1 = I was still notably sore from last time in the muscles I trained today, and it felt like A LOT of work to complete the sets.)</t>
  </si>
  <si>
    <t xml:space="preserve">( -2 = I was still VERY SORE from the last time I trained these muscles and it felt like overkill to complete the sets today.)</t>
  </si>
  <si>
    <t xml:space="preserve">(Type in the weight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</si>
  <si>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</si>
  <si>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</si>
  <si>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</si>
  <si>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</si>
  <si>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</si>
  <si>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</si>
  <si>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7: Deload</t>
  </si>
  <si>
    <t xml:space="preserve">(Select from drop-down menus)</t>
  </si>
  <si>
    <t xml:space="preserve"> for each exercise)</t>
  </si>
  <si>
    <t xml:space="preserve">Exercise</t>
  </si>
  <si>
    <t xml:space="preserve">Sets</t>
  </si>
  <si>
    <t xml:space="preserve">Weight</t>
  </si>
  <si>
    <t xml:space="preserve">Rep Goal</t>
  </si>
  <si>
    <t xml:space="preserve">Rep Results</t>
  </si>
  <si>
    <t xml:space="preserve">*Rating</t>
  </si>
  <si>
    <t xml:space="preserve">Upper Body</t>
  </si>
  <si>
    <t xml:space="preserve">Day 1:</t>
  </si>
  <si>
    <t xml:space="preserve">Instructional Video</t>
  </si>
  <si>
    <t xml:space="preserve">10RM</t>
  </si>
  <si>
    <t xml:space="preserve">Incline Push</t>
  </si>
  <si>
    <t xml:space="preserve">Incline Close Grip Bench Press</t>
  </si>
  <si>
    <t xml:space="preserve">3/fail</t>
  </si>
  <si>
    <t xml:space="preserve">2/fail</t>
  </si>
  <si>
    <t xml:space="preserve">1/fail</t>
  </si>
  <si>
    <t xml:space="preserve">1/2 reps of Week 1</t>
  </si>
  <si>
    <t xml:space="preserve">Chest Isolation or Triceps</t>
  </si>
  <si>
    <t xml:space="preserve">JM Press</t>
  </si>
  <si>
    <t xml:space="preserve">Horizontal Push</t>
  </si>
  <si>
    <t xml:space="preserve">Medium Grip Bench Press</t>
  </si>
  <si>
    <t xml:space="preserve">Horizontal Pull</t>
  </si>
  <si>
    <t xml:space="preserve">Barbell Bent Over Row</t>
  </si>
  <si>
    <t xml:space="preserve">Vertical Pull</t>
  </si>
  <si>
    <t xml:space="preserve">Normal Grip Pulldown</t>
  </si>
  <si>
    <t xml:space="preserve">Side Delts</t>
  </si>
  <si>
    <t xml:space="preserve">Dumbbell Side Lateral Raise</t>
  </si>
  <si>
    <t xml:space="preserve">Abs</t>
  </si>
  <si>
    <t xml:space="preserve">Hanging Knee Raise</t>
  </si>
  <si>
    <t xml:space="preserve">No Rest between days 1 and 2</t>
  </si>
  <si>
    <t xml:space="preserve">Reps</t>
  </si>
  <si>
    <t xml:space="preserve">Lower Body</t>
  </si>
  <si>
    <t xml:space="preserve">Day 2:</t>
  </si>
  <si>
    <t xml:space="preserve">Quads</t>
  </si>
  <si>
    <t xml:space="preserve">High Bar Squat</t>
  </si>
  <si>
    <t xml:space="preserve">Leg Press</t>
  </si>
  <si>
    <t xml:space="preserve">Hamstring Isolation</t>
  </si>
  <si>
    <t xml:space="preserve">Lying Leg Curl</t>
  </si>
  <si>
    <t xml:space="preserve">Calves</t>
  </si>
  <si>
    <t xml:space="preserve">Calves on Calf Machine</t>
  </si>
  <si>
    <t xml:space="preserve">Triceps</t>
  </si>
  <si>
    <t xml:space="preserve">Cable Tricep Pushdown</t>
  </si>
  <si>
    <t xml:space="preserve">Front Delts</t>
  </si>
  <si>
    <t xml:space="preserve">Standing Barbell Shoulder Press</t>
  </si>
  <si>
    <t xml:space="preserve">One day rest between days 2 and 3</t>
  </si>
  <si>
    <t xml:space="preserve">Day 3:</t>
  </si>
  <si>
    <t xml:space="preserve">Underhand Pulldown</t>
  </si>
  <si>
    <t xml:space="preserve">Rear or Side Delts</t>
  </si>
  <si>
    <t xml:space="preserve">Cable Facepull</t>
  </si>
  <si>
    <t xml:space="preserve">One day rest between days 3 and 4</t>
  </si>
  <si>
    <t xml:space="preserve">Day 4:</t>
  </si>
  <si>
    <t xml:space="preserve">Glutes</t>
  </si>
  <si>
    <t xml:space="preserve">Deadlift</t>
  </si>
  <si>
    <t xml:space="preserve">Hamstring Hip Hinge</t>
  </si>
  <si>
    <t xml:space="preserve">45 Degree Back Raise</t>
  </si>
  <si>
    <t xml:space="preserve">Biceps</t>
  </si>
  <si>
    <t xml:space="preserve">Hammer Curl</t>
  </si>
  <si>
    <t xml:space="preserve">Traps</t>
  </si>
  <si>
    <t xml:space="preserve">Dumbbell Shrug</t>
  </si>
  <si>
    <t xml:space="preserve">One day rest between day 4 and the next week's day 1</t>
  </si>
  <si>
    <t xml:space="preserve">Exercise Rating Menu:</t>
  </si>
  <si>
    <t xml:space="preserve">Link</t>
  </si>
  <si>
    <t xml:space="preserve">Machine Crunch</t>
  </si>
  <si>
    <t xml:space="preserve">https://youtu.be/GWeVF2aVk8g</t>
  </si>
  <si>
    <t xml:space="preserve">Slant Board Sit-Up</t>
  </si>
  <si>
    <t xml:space="preserve">https://youtu.be/JYiWXFIikW4</t>
  </si>
  <si>
    <t xml:space="preserve">Reaching Sit-Up</t>
  </si>
  <si>
    <t xml:space="preserve">https://youtu.be/ENaZCLrz8_c</t>
  </si>
  <si>
    <t xml:space="preserve">V-Up</t>
  </si>
  <si>
    <t xml:space="preserve">https://youtu.be/vz97voWk3jU</t>
  </si>
  <si>
    <t xml:space="preserve">Modified Candlestick</t>
  </si>
  <si>
    <t xml:space="preserve">https://youtu.be/sPIBL43Ds48</t>
  </si>
  <si>
    <t xml:space="preserve">https://youtu.be/dmwMfjPQIP8</t>
  </si>
  <si>
    <t xml:space="preserve">Hanging Strait Leg Raise</t>
  </si>
  <si>
    <t xml:space="preserve">https://youtu.be/5p-vP_XyNaA</t>
  </si>
  <si>
    <t xml:space="preserve">https://youtu.be/wrPN51LyOUE</t>
  </si>
  <si>
    <t xml:space="preserve">Stair Calves</t>
  </si>
  <si>
    <t xml:space="preserve">https://youtu.be/mucRuC4sEjQ</t>
  </si>
  <si>
    <t xml:space="preserve">Calves on Leg Press</t>
  </si>
  <si>
    <t xml:space="preserve">https://youtu.be/oRRs1bGzimM</t>
  </si>
  <si>
    <t xml:space="preserve">Smith Machine Calves</t>
  </si>
  <si>
    <t xml:space="preserve">https://youtu.be/IkrC1u5e-RQ</t>
  </si>
  <si>
    <t xml:space="preserve">Barbell Curl</t>
  </si>
  <si>
    <t xml:space="preserve">https://youtu.be/tYpquedo9e0</t>
  </si>
  <si>
    <t xml:space="preserve">EZ Curl </t>
  </si>
  <si>
    <t xml:space="preserve">https://youtu.be/MCjBeB844rU</t>
  </si>
  <si>
    <t xml:space="preserve">Close Grip Barbell Curl</t>
  </si>
  <si>
    <t xml:space="preserve">https://youtu.be/GztM7atVgd8</t>
  </si>
  <si>
    <t xml:space="preserve">2-Arm Dumbbell Curl</t>
  </si>
  <si>
    <t xml:space="preserve">https://youtu.be/yYB76DOBPsM</t>
  </si>
  <si>
    <t xml:space="preserve">Cable Curl</t>
  </si>
  <si>
    <t xml:space="preserve">https://youtu.be/nW7w5vG6IIc</t>
  </si>
  <si>
    <t xml:space="preserve">Incline Dumbbell Curl</t>
  </si>
  <si>
    <t xml:space="preserve">https://youtu.be/2jsTYbOkx1U</t>
  </si>
  <si>
    <t xml:space="preserve">Dummbell Twist Curl</t>
  </si>
  <si>
    <t xml:space="preserve">https://youtu.be/DcRJ3bLJuVw</t>
  </si>
  <si>
    <t xml:space="preserve">https://youtu.be/xsOm9xn83-8</t>
  </si>
  <si>
    <t xml:space="preserve">Dumbbell Spider Curl</t>
  </si>
  <si>
    <t xml:space="preserve">https://youtu.be/y_GK6fn7raU</t>
  </si>
  <si>
    <t xml:space="preserve">Alternating Dumbbell Curl</t>
  </si>
  <si>
    <t xml:space="preserve">https://youtu.be/S97e09rLmEU</t>
  </si>
  <si>
    <t xml:space="preserve">Cable Rope Twist Curl</t>
  </si>
  <si>
    <t xml:space="preserve">https://youtu.be/sR_EdrSruyQ</t>
  </si>
  <si>
    <t xml:space="preserve">Rear Delts</t>
  </si>
  <si>
    <t xml:space="preserve">Barbell Facepull</t>
  </si>
  <si>
    <t xml:space="preserve">https://youtu.be/BvX7g1yr1pY</t>
  </si>
  <si>
    <t xml:space="preserve">Dumbbell Facepull</t>
  </si>
  <si>
    <t xml:space="preserve">https://youtu.be/d90AskSQcDc</t>
  </si>
  <si>
    <t xml:space="preserve">https://youtu.be/Ana4dJbCvxE</t>
  </si>
  <si>
    <t xml:space="preserve">Dumbbell Rear Lateral Raise</t>
  </si>
  <si>
    <t xml:space="preserve">https://youtu.be/c32OxRaEhxM</t>
  </si>
  <si>
    <t xml:space="preserve">Barbell Upright Row</t>
  </si>
  <si>
    <t xml:space="preserve">https://youtu.be/fbFISuP7Ezk</t>
  </si>
  <si>
    <t xml:space="preserve">Dumbbell Upright Row</t>
  </si>
  <si>
    <t xml:space="preserve">https://youtu.be/KkpCTyjGlZo</t>
  </si>
  <si>
    <t xml:space="preserve">Cable Upright Row</t>
  </si>
  <si>
    <t xml:space="preserve">https://youtu.be/FoZM6vuuKBc</t>
  </si>
  <si>
    <t xml:space="preserve">https://youtu.be/pg3hz43P09w</t>
  </si>
  <si>
    <t xml:space="preserve">Thumbs Down Lateral Raise</t>
  </si>
  <si>
    <t xml:space="preserve">https://youtu.be/7P2LTF73EOM</t>
  </si>
  <si>
    <t xml:space="preserve">Barbell Shrug</t>
  </si>
  <si>
    <t xml:space="preserve">https://youtu.be/hR8aOS5LZjU</t>
  </si>
  <si>
    <t xml:space="preserve">Barbell Bent Over Shrug</t>
  </si>
  <si>
    <t xml:space="preserve">https://youtu.be/6DiJh6_jeoo</t>
  </si>
  <si>
    <t xml:space="preserve">https://youtu.be/z3yCDRGrQTM</t>
  </si>
  <si>
    <t xml:space="preserve">Dumbbell Bent Over Shrug</t>
  </si>
  <si>
    <t xml:space="preserve">https://youtu.be/S3NIBLmlKaU</t>
  </si>
  <si>
    <t xml:space="preserve">Horizontal Triceps</t>
  </si>
  <si>
    <t xml:space="preserve">Skullcrusher</t>
  </si>
  <si>
    <t xml:space="preserve">https://youtu.be/hJLXuvZd05w</t>
  </si>
  <si>
    <t xml:space="preserve">https://youtu.be/daSL236nYZs</t>
  </si>
  <si>
    <t xml:space="preserve">Dips</t>
  </si>
  <si>
    <t xml:space="preserve">https://youtu.be/B48xWtzMHxk</t>
  </si>
  <si>
    <t xml:space="preserve">Assisted Dips</t>
  </si>
  <si>
    <t xml:space="preserve">https://youtu.be/a5_JKN7j7Ug</t>
  </si>
  <si>
    <t xml:space="preserve">Dumbbell Skullcrusher</t>
  </si>
  <si>
    <t xml:space="preserve">https://youtu.be/TtXlapucVxM</t>
  </si>
  <si>
    <t xml:space="preserve">https://youtu.be/B33bKk_r5PU</t>
  </si>
  <si>
    <t xml:space="preserve">Cable Rope Pushdown</t>
  </si>
  <si>
    <t xml:space="preserve">https://youtu.be/tu2Q82-HMg0</t>
  </si>
  <si>
    <t xml:space="preserve">Bar Skull</t>
  </si>
  <si>
    <t xml:space="preserve">https://youtu.be/gYbmiluG5Ho</t>
  </si>
  <si>
    <t xml:space="preserve">Vertical Triceps</t>
  </si>
  <si>
    <t xml:space="preserve">EZ Bar Overhead Tricep Extension</t>
  </si>
  <si>
    <t xml:space="preserve">https://youtu.be/U3SkMY6jw5M</t>
  </si>
  <si>
    <t xml:space="preserve">Barbell Overhead Tricep Extension</t>
  </si>
  <si>
    <t xml:space="preserve">https://youtu.be/He-GN_4MAY4</t>
  </si>
  <si>
    <t xml:space="preserve">Seated EZ Bar Overhead Tricep Extension</t>
  </si>
  <si>
    <t xml:space="preserve">https://youtu.be/pOX1m37rOWo</t>
  </si>
  <si>
    <t xml:space="preserve">Seated Barbell Overhead Tricep Extension</t>
  </si>
  <si>
    <t xml:space="preserve">https://youtu.be/aNzU6AYZiEs</t>
  </si>
  <si>
    <t xml:space="preserve">Cable Overhead Tricep Extension</t>
  </si>
  <si>
    <t xml:space="preserve">https://youtu.be/B21LHpkamJM</t>
  </si>
  <si>
    <t xml:space="preserve">Horizonal Back</t>
  </si>
  <si>
    <t xml:space="preserve">https://youtu.be/o2qSVwxiFk4</t>
  </si>
  <si>
    <t xml:space="preserve">Underhand EZ Bar Row</t>
  </si>
  <si>
    <t xml:space="preserve">https://youtu.be/ROIrNQJBKZ0</t>
  </si>
  <si>
    <t xml:space="preserve">Row to Chest</t>
  </si>
  <si>
    <t xml:space="preserve">https://youtu.be/tRT-cLlXJZ0</t>
  </si>
  <si>
    <t xml:space="preserve">1-Arm Dumbbell Row</t>
  </si>
  <si>
    <t xml:space="preserve">https://youtu.be/Wdv_3ojsPhU</t>
  </si>
  <si>
    <t xml:space="preserve">Chest Supported Row</t>
  </si>
  <si>
    <t xml:space="preserve">https://youtu.be/4Idz7uwm3OU</t>
  </si>
  <si>
    <t xml:space="preserve">Row Machine</t>
  </si>
  <si>
    <t xml:space="preserve">https://youtu.be/J44yAQ_LXXU</t>
  </si>
  <si>
    <t xml:space="preserve">2-Arm Dumbbell Row</t>
  </si>
  <si>
    <t xml:space="preserve">https://youtu.be/o1yPuXatVRs</t>
  </si>
  <si>
    <t xml:space="preserve">Cable Row</t>
  </si>
  <si>
    <t xml:space="preserve">https://youtu.be/y47HOtqxZkg</t>
  </si>
  <si>
    <t xml:space="preserve">Vertical Back</t>
  </si>
  <si>
    <t xml:space="preserve">Overhand Pullup</t>
  </si>
  <si>
    <t xml:space="preserve">https://youtu.be/NF4nbNsqreQ</t>
  </si>
  <si>
    <t xml:space="preserve">Parallel Pullup</t>
  </si>
  <si>
    <t xml:space="preserve">https://youtu.be/lFyDmuDjRts</t>
  </si>
  <si>
    <t xml:space="preserve">Underhand Pullup</t>
  </si>
  <si>
    <t xml:space="preserve">https://youtu.be/SmRa30Jci54</t>
  </si>
  <si>
    <t xml:space="preserve">Wide Grip Pullup</t>
  </si>
  <si>
    <t xml:space="preserve">https://youtu.be/HOWPPDueZY8</t>
  </si>
  <si>
    <t xml:space="preserve">Assisted Overhand Pullup</t>
  </si>
  <si>
    <t xml:space="preserve">https://youtu.be/ghHW6sETs-I</t>
  </si>
  <si>
    <t xml:space="preserve">Assisted Parallel Pullup</t>
  </si>
  <si>
    <t xml:space="preserve">https://youtu.be/UNo4yBbidG4</t>
  </si>
  <si>
    <t xml:space="preserve">Assisted Underhand Pullup</t>
  </si>
  <si>
    <t xml:space="preserve">https://youtu.be/2PC8eYTte5w</t>
  </si>
  <si>
    <t xml:space="preserve">https://youtu.be/gQ179IUjMsQ</t>
  </si>
  <si>
    <t xml:space="preserve">Parallel Pulldown</t>
  </si>
  <si>
    <t xml:space="preserve">https://youtu.be/uMjeHo2_EwM</t>
  </si>
  <si>
    <t xml:space="preserve">https://youtu.be/bxfHw1LvH24</t>
  </si>
  <si>
    <t xml:space="preserve">Wide-Grip Pulldown</t>
  </si>
  <si>
    <t xml:space="preserve">https://youtu.be/xyoFXl-k644</t>
  </si>
  <si>
    <t xml:space="preserve">Narrow Grip Pulldown</t>
  </si>
  <si>
    <t xml:space="preserve">https://youtu.be/QzjjwxZOVdE</t>
  </si>
  <si>
    <t xml:space="preserve">https://youtu.be/2-o_-HTPhv8</t>
  </si>
  <si>
    <t xml:space="preserve">Close Stance Feet Forward Squats</t>
  </si>
  <si>
    <t xml:space="preserve">https://youtu.be/ppluAD4MHK8</t>
  </si>
  <si>
    <t xml:space="preserve">Machine Feet Forward Squat</t>
  </si>
  <si>
    <t xml:space="preserve">https://youtu.be/SYji94GabJg</t>
  </si>
  <si>
    <t xml:space="preserve">https://youtu.be/mJSsWpuyiCM</t>
  </si>
  <si>
    <t xml:space="preserve">Hack Squat</t>
  </si>
  <si>
    <t xml:space="preserve">https://youtu.be/SOyO4LHjhX4</t>
  </si>
  <si>
    <t xml:space="preserve">Front Squat </t>
  </si>
  <si>
    <t xml:space="preserve">https://youtu.be/lNYA35p8XJQ</t>
  </si>
  <si>
    <t xml:space="preserve">Front Squat (Alernate Grip)</t>
  </si>
  <si>
    <t xml:space="preserve">https://youtu.be/uFEPuNtHoOU</t>
  </si>
  <si>
    <t xml:space="preserve">Barbell Walking Lunge</t>
  </si>
  <si>
    <t xml:space="preserve">https://youtu.be/vNgwqFsVstY</t>
  </si>
  <si>
    <t xml:space="preserve">Dumbbell Walking Lunge</t>
  </si>
  <si>
    <t xml:space="preserve">https://youtu.be/LRgZFHceZGo</t>
  </si>
  <si>
    <t xml:space="preserve">Sumo Squat</t>
  </si>
  <si>
    <t xml:space="preserve">https://youtu.be/wjw-4R5VR20</t>
  </si>
  <si>
    <t xml:space="preserve">Deficit Deadlift </t>
  </si>
  <si>
    <t xml:space="preserve">https://youtu.be/WWS1rPFPyiQ</t>
  </si>
  <si>
    <t xml:space="preserve">25's Deadlift</t>
  </si>
  <si>
    <t xml:space="preserve">https://youtu.be/7If7L0lAur8</t>
  </si>
  <si>
    <t xml:space="preserve">Sumo Deadlift</t>
  </si>
  <si>
    <t xml:space="preserve">https://youtu.be/xp1IeyTOB4U</t>
  </si>
  <si>
    <t xml:space="preserve">https://youtu.be/euEPxA3gsDo</t>
  </si>
  <si>
    <t xml:space="preserve">Hex Bar Deadlift</t>
  </si>
  <si>
    <t xml:space="preserve">https://youtu.be/f-_q_3tN6Yo</t>
  </si>
  <si>
    <t xml:space="preserve">Hamstrings Hip Hinge</t>
  </si>
  <si>
    <t xml:space="preserve">Stiff-Legged Deadlift</t>
  </si>
  <si>
    <t xml:space="preserve">https://youtu.be/zbYgjREbdb0</t>
  </si>
  <si>
    <t xml:space="preserve">Low Bar Good Morning</t>
  </si>
  <si>
    <t xml:space="preserve">https://youtu.be/Z3AC4mmiKhw</t>
  </si>
  <si>
    <t xml:space="preserve">High Bar Good Morning</t>
  </si>
  <si>
    <t xml:space="preserve">https://youtu.be/hzHJugCcT6g</t>
  </si>
  <si>
    <t xml:space="preserve">https://youtu.be/OMUGU1Vh8Ao</t>
  </si>
  <si>
    <t xml:space="preserve">Hamstrings Isolation</t>
  </si>
  <si>
    <t xml:space="preserve">https://youtu.be/m4KB9-Uo4Kc</t>
  </si>
  <si>
    <t xml:space="preserve">Seated Leg Curl</t>
  </si>
  <si>
    <t xml:space="preserve">https://youtu.be/BHxrogNaKoo</t>
  </si>
  <si>
    <t xml:space="preserve">Single-Leg Leg Curl</t>
  </si>
  <si>
    <t xml:space="preserve">https://youtu.be/SMln-yOUKSA</t>
  </si>
  <si>
    <t xml:space="preserve">Chest Isolation</t>
  </si>
  <si>
    <t xml:space="preserve">Flat Dumbbell Flye</t>
  </si>
  <si>
    <t xml:space="preserve">https://youtu.be/t2Kk-TOhq14</t>
  </si>
  <si>
    <t xml:space="preserve">Incline Dumbbell Flye</t>
  </si>
  <si>
    <t xml:space="preserve">https://youtu.be/_GBEHrc_V5U</t>
  </si>
  <si>
    <t xml:space="preserve">Cable Flye</t>
  </si>
  <si>
    <t xml:space="preserve">https://youtu.be/60Ai9_c60xg</t>
  </si>
  <si>
    <t xml:space="preserve">High Cable Flye</t>
  </si>
  <si>
    <t xml:space="preserve">https://youtu.be/ipoTKasbDyQ</t>
  </si>
  <si>
    <t xml:space="preserve">Machine Chest Flye</t>
  </si>
  <si>
    <t xml:space="preserve">https://youtu.be/6L7xI3jO_GU</t>
  </si>
  <si>
    <t xml:space="preserve">Cable Incline Flye</t>
  </si>
  <si>
    <t xml:space="preserve">https://youtu.be/UPGRju60F60</t>
  </si>
  <si>
    <t xml:space="preserve">Pec Dec Flye</t>
  </si>
  <si>
    <t xml:space="preserve">https://youtu.be/ZYM1mNayaeI</t>
  </si>
  <si>
    <t xml:space="preserve">https://youtu.be/Dl-by6_vATQ</t>
  </si>
  <si>
    <t xml:space="preserve">Wide Grip Bench Press</t>
  </si>
  <si>
    <t xml:space="preserve">https://youtu.be/ILToidt_G0U</t>
  </si>
  <si>
    <t xml:space="preserve">Flat Dumbbell Bench Press</t>
  </si>
  <si>
    <t xml:space="preserve">https://youtu.be/20_pP7oaH34</t>
  </si>
  <si>
    <t xml:space="preserve">Close Grip Bench Press</t>
  </si>
  <si>
    <t xml:space="preserve">https://youtu.be/3s_QUA4HcxI</t>
  </si>
  <si>
    <t xml:space="preserve">Flat Machine Bench Press</t>
  </si>
  <si>
    <t xml:space="preserve">https://youtu.be/cg4tsxQ1BP4</t>
  </si>
  <si>
    <t xml:space="preserve">Pushup</t>
  </si>
  <si>
    <t xml:space="preserve">https://youtu.be/TM_PeJIdQwE</t>
  </si>
  <si>
    <t xml:space="preserve">Close Grip Pushup</t>
  </si>
  <si>
    <t xml:space="preserve">https://youtu.be/PFtO-p5VLO0</t>
  </si>
  <si>
    <t xml:space="preserve">Incline Medium Grip Bench Press</t>
  </si>
  <si>
    <t xml:space="preserve">https://youtu.be/zWRCV_td3I8</t>
  </si>
  <si>
    <t xml:space="preserve">Incline Wide Grip Bench Press</t>
  </si>
  <si>
    <t xml:space="preserve">https://youtu.be/MDuOnEyof1w</t>
  </si>
  <si>
    <t xml:space="preserve">Low Incline Dumbbell Press</t>
  </si>
  <si>
    <t xml:space="preserve">https://youtu.be/efDlxayx234</t>
  </si>
  <si>
    <t xml:space="preserve">Incline Dumbbell Press</t>
  </si>
  <si>
    <t xml:space="preserve">https://youtu.be/LYZDsNv8kJ8</t>
  </si>
  <si>
    <t xml:space="preserve">https://youtu.be/2JIPv1E5a0I</t>
  </si>
  <si>
    <t xml:space="preserve">Incline Machine Bench Press</t>
  </si>
  <si>
    <t xml:space="preserve">https://youtu.be/eaI0E6ZcwM4</t>
  </si>
  <si>
    <t xml:space="preserve">https://youtu.be/n9RZ6FEthGU</t>
  </si>
  <si>
    <t xml:space="preserve">Seated Barbell Shoulder Press</t>
  </si>
  <si>
    <t xml:space="preserve">https://youtu.be/dF9Pm_-2zmg</t>
  </si>
  <si>
    <t xml:space="preserve">Seated Dumbbell Shoulder Press</t>
  </si>
  <si>
    <t xml:space="preserve">https://youtu.be/RGFdTZznnRs</t>
  </si>
  <si>
    <t xml:space="preserve">High Incline Dumbbell Press</t>
  </si>
  <si>
    <t xml:space="preserve">https://youtu.be/YIqmLutlM1g</t>
  </si>
  <si>
    <t xml:space="preserve">Shoulder Press Machine</t>
  </si>
  <si>
    <t xml:space="preserve">https://youtu.be/W6kJbZeFssU</t>
  </si>
  <si>
    <t xml:space="preserve">Standing Dumbbell Shoulder Press</t>
  </si>
  <si>
    <t xml:space="preserve">https://youtu.be/Ax_6UXGQo7o</t>
  </si>
  <si>
    <t xml:space="preserve">Incline Push or Front Delts</t>
  </si>
  <si>
    <t xml:space="preserve">Rear Delts or Side Delts</t>
  </si>
  <si>
    <t xml:space="preserve">Category</t>
  </si>
  <si>
    <t xml:space="preserve">Table name</t>
  </si>
  <si>
    <t xml:space="preserve">Name List</t>
  </si>
  <si>
    <t xml:space="preserve">Link List</t>
  </si>
  <si>
    <t xml:space="preserve">Abs[Exercise]</t>
  </si>
  <si>
    <t xml:space="preserve">Calves[Exercise]</t>
  </si>
  <si>
    <t xml:space="preserve">Biceps[Exercise]</t>
  </si>
  <si>
    <t xml:space="preserve">Rear_Delts</t>
  </si>
  <si>
    <t xml:space="preserve">Rear_Delts[Exercise]</t>
  </si>
  <si>
    <t xml:space="preserve">Side_Delts</t>
  </si>
  <si>
    <t xml:space="preserve">Side_Delts[Exercise]</t>
  </si>
  <si>
    <t xml:space="preserve">Traps[Exercise]</t>
  </si>
  <si>
    <t xml:space="preserve">Horizontal_Triceps</t>
  </si>
  <si>
    <t xml:space="preserve">Horizontal_Triceps[Exercise]</t>
  </si>
  <si>
    <t xml:space="preserve">Vertical_Triceps</t>
  </si>
  <si>
    <t xml:space="preserve">Vertical_Triceps[Exercise]</t>
  </si>
  <si>
    <t xml:space="preserve">Horizonal_Back</t>
  </si>
  <si>
    <t xml:space="preserve">Horizontal_Back[Exercise]</t>
  </si>
  <si>
    <t xml:space="preserve">Vertical_Back</t>
  </si>
  <si>
    <t xml:space="preserve">Vertical_Back[Exercise]</t>
  </si>
  <si>
    <t xml:space="preserve">Quads[Exercise]</t>
  </si>
  <si>
    <t xml:space="preserve">Glutes[Exercise]</t>
  </si>
  <si>
    <t xml:space="preserve">Hamstrings_Hip_Hinge</t>
  </si>
  <si>
    <t xml:space="preserve">Hamstrings_Hip_Hinge[Exercise]</t>
  </si>
  <si>
    <t xml:space="preserve">Hamstrings_Isolation</t>
  </si>
  <si>
    <t xml:space="preserve">Hamstrings_Isolation[Exercise]</t>
  </si>
  <si>
    <t xml:space="preserve">Chest_Isolation</t>
  </si>
  <si>
    <t xml:space="preserve">Chest_Isolation[Exercise]</t>
  </si>
  <si>
    <t xml:space="preserve">Horizontal_Push</t>
  </si>
  <si>
    <t xml:space="preserve">Horizontal_Push[Exercise]</t>
  </si>
  <si>
    <t xml:space="preserve">Incline_Push</t>
  </si>
  <si>
    <t xml:space="preserve">Incline_Push[Exercise]</t>
  </si>
  <si>
    <t xml:space="preserve">Front_Delts</t>
  </si>
  <si>
    <t xml:space="preserve">Front_Delts[Exercise]</t>
  </si>
  <si>
    <t xml:space="preserve">Triceps[Exercise]</t>
  </si>
  <si>
    <t xml:space="preserve">Incline_Push_or_Front_Delts</t>
  </si>
  <si>
    <t xml:space="preserve">Incline_Push_or_Front_Delts[Exercise]</t>
  </si>
  <si>
    <t xml:space="preserve">Chest_Isolation_or_Triceps</t>
  </si>
  <si>
    <t xml:space="preserve">Chest_Isolation_or_Triceps[Exercise]</t>
  </si>
  <si>
    <t xml:space="preserve">Rear_or_Side_Delts</t>
  </si>
  <si>
    <t xml:space="preserve">Rear_or_Side_Delts[Exercise]</t>
  </si>
  <si>
    <t xml:space="preserve">(1 = I wasn't very sore or tight in the muscles worked in this exercise (from the last time I trained them), and the reps were no major struggle to complete.)</t>
  </si>
  <si>
    <t xml:space="preserve">(0 = I was noticeably sore and tight in the muscles worked in this exercise (from the last time I trained them), and the reps were tough but manageable to complete.)</t>
  </si>
  <si>
    <t xml:space="preserve">(-1 = I was very sore and tight in the muscles worked in this exercise (from the last time I trained them), and the reps were very tough to complete.)</t>
  </si>
  <si>
    <t xml:space="preserve">Week 5: Deload</t>
  </si>
  <si>
    <t xml:space="preserve">Super set this exercise</t>
  </si>
  <si>
    <t xml:space="preserve">with this one</t>
  </si>
  <si>
    <t xml:space="preserve">Week 3: Deload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</si>
</sst>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FF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D7E4BD"/>
        <bgColor rgb="FFC3D69B"/>
      </patternFill>
    </fill>
    <fill>
      <patternFill patternType="solid">
        <fgColor rgb="FFB7DEE8"/>
        <bgColor rgb="FFD7E4BD"/>
      </patternFill>
    </fill>
    <fill>
      <patternFill patternType="solid">
        <fgColor rgb="FFCCC1DA"/>
        <bgColor rgb="FFB7DEE8"/>
      </patternFill>
    </fill>
    <fill>
      <patternFill patternType="solid">
        <fgColor rgb="FFFDEADA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9900"/>
      </patternFill>
    </fill>
    <fill>
      <patternFill patternType="solid">
        <fgColor rgb="FFE46C0A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C3D69B"/>
        <bgColor rgb="FFD7E4BD"/>
      </patternFill>
    </fill>
    <fill>
      <patternFill patternType="solid">
        <fgColor rgb="FF4F81BD"/>
        <bgColor rgb="FF808080"/>
      </patternFill>
    </fill>
  </fills>
  <borders count="6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>
        <color rgb="FF95B3D7"/>
      </left>
      <right/>
      <top/>
      <bottom style="thin">
        <color rgb="FF95B3D7"/>
      </bottom>
      <diagonal/>
    </border>
    <border diagonalUp="false" diagonalDown="false">
      <left/>
      <right style="thin">
        <color rgb="FF95B3D7"/>
      </right>
      <top/>
      <bottom style="thin">
        <color rgb="FF95B3D7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>
        <color rgb="FFFF0000"/>
      </top>
      <bottom style="thin"/>
      <diagonal/>
    </border>
    <border diagonalUp="false" diagonalDown="false">
      <left/>
      <right style="thin"/>
      <top style="medium">
        <color rgb="FFFF0000"/>
      </top>
      <bottom style="thin"/>
      <diagonal/>
    </border>
    <border diagonalUp="false" diagonalDown="false">
      <left style="thin"/>
      <right style="thin"/>
      <top style="medium">
        <color rgb="FFFF0000"/>
      </top>
      <bottom style="thin"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/>
      <top style="medium">
        <color rgb="FFFF0000"/>
      </top>
      <bottom/>
      <diagonal/>
    </border>
    <border diagonalUp="false" diagonalDown="false">
      <left style="medium"/>
      <right/>
      <top style="medium">
        <color rgb="FFFF0000"/>
      </top>
      <bottom/>
      <diagonal/>
    </border>
    <border diagonalUp="false" diagonalDown="false">
      <left style="medium"/>
      <right style="medium"/>
      <top style="medium">
        <color rgb="FFFF0000"/>
      </top>
      <bottom style="medium"/>
      <diagonal/>
    </border>
    <border diagonalUp="false" diagonalDown="false">
      <left style="medium"/>
      <right style="medium">
        <color rgb="FFFF0000"/>
      </right>
      <top style="medium">
        <color rgb="FFFF0000"/>
      </top>
      <bottom style="medium"/>
      <diagonal/>
    </border>
    <border diagonalUp="false" diagonalDown="false">
      <left style="medium"/>
      <right style="medium"/>
      <top style="thin"/>
      <bottom style="medium">
        <color rgb="FFFF0000"/>
      </bottom>
      <diagonal/>
    </border>
    <border diagonalUp="false" diagonalDown="false">
      <left/>
      <right style="thin"/>
      <top style="thin"/>
      <bottom style="medium">
        <color rgb="FFFF0000"/>
      </bottom>
      <diagonal/>
    </border>
    <border diagonalUp="false" diagonalDown="false">
      <left style="thin"/>
      <right style="thin"/>
      <top style="thin"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/>
      <top/>
      <bottom style="medium">
        <color rgb="FFFF0000"/>
      </bottom>
      <diagonal/>
    </border>
    <border diagonalUp="false" diagonalDown="false">
      <left style="medium"/>
      <right/>
      <top/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>
        <color rgb="FFFF0000"/>
      </bottom>
      <diagonal/>
    </border>
    <border diagonalUp="false" diagonalDown="false">
      <left style="medium"/>
      <right style="medium">
        <color rgb="FFFF0000"/>
      </right>
      <top style="medium"/>
      <bottom style="medium">
        <color rgb="FFFF000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>
        <color rgb="FFFF0000"/>
      </top>
      <bottom style="medium"/>
      <diagonal/>
    </border>
    <border diagonalUp="false" diagonalDown="false">
      <left style="medium"/>
      <right/>
      <top style="medium"/>
      <bottom style="medium">
        <color rgb="FFFF0000"/>
      </bottom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3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6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9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7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3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0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36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44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42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5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5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52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55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53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5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5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59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4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5B3D7"/>
      <rgbColor rgb="FFFF99CC"/>
      <rgbColor rgb="FFCC99FF"/>
      <rgbColor rgb="FFC3D69B"/>
      <rgbColor rgb="FF3366FF"/>
      <rgbColor rgb="FF33CCCC"/>
      <rgbColor rgb="FF92D050"/>
      <rgbColor rgb="FFFFC000"/>
      <rgbColor rgb="FFFF9900"/>
      <rgbColor rgb="FFE46C0A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685800</xdr:colOff>
      <xdr:row>1</xdr:row>
      <xdr:rowOff>19080</xdr:rowOff>
    </xdr:from>
    <xdr:to>
      <xdr:col>2</xdr:col>
      <xdr:colOff>1930680</xdr:colOff>
      <xdr:row>9</xdr:row>
      <xdr:rowOff>218880</xdr:rowOff>
    </xdr:to>
    <xdr:sp>
      <xdr:nvSpPr>
        <xdr:cNvPr id="0" name="CustomShape 1"/>
        <xdr:cNvSpPr/>
      </xdr:nvSpPr>
      <xdr:spPr>
        <a:xfrm>
          <a:off x="3830040" y="255240"/>
          <a:ext cx="1244880" cy="1784520"/>
        </a:xfrm>
        <a:prstGeom prst="downArrow">
          <a:avLst>
            <a:gd name="adj1" fmla="val 50000"/>
            <a:gd name="adj2" fmla="val 50000"/>
          </a:avLst>
        </a:prstGeom>
        <a:solidFill>
          <a:schemeClr val="accent3">
            <a:lumMod val="60000"/>
            <a:lumOff val="4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104760</xdr:colOff>
      <xdr:row>3</xdr:row>
      <xdr:rowOff>9360</xdr:rowOff>
    </xdr:from>
    <xdr:to>
      <xdr:col>6</xdr:col>
      <xdr:colOff>1045080</xdr:colOff>
      <xdr:row>8</xdr:row>
      <xdr:rowOff>171000</xdr:rowOff>
    </xdr:to>
    <xdr:sp>
      <xdr:nvSpPr>
        <xdr:cNvPr id="1" name="CustomShape 1"/>
        <xdr:cNvSpPr/>
      </xdr:nvSpPr>
      <xdr:spPr>
        <a:xfrm>
          <a:off x="7780320" y="717840"/>
          <a:ext cx="940320" cy="1083600"/>
        </a:xfrm>
        <a:prstGeom prst="downArrow">
          <a:avLst>
            <a:gd name="adj1" fmla="val 50000"/>
            <a:gd name="adj2" fmla="val 50000"/>
          </a:avLst>
        </a:prstGeom>
        <a:solidFill>
          <a:schemeClr val="accent4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266760</xdr:colOff>
      <xdr:row>3</xdr:row>
      <xdr:rowOff>19080</xdr:rowOff>
    </xdr:from>
    <xdr:to>
      <xdr:col>5</xdr:col>
      <xdr:colOff>1406880</xdr:colOff>
      <xdr:row>10</xdr:row>
      <xdr:rowOff>161640</xdr:rowOff>
    </xdr:to>
    <xdr:sp>
      <xdr:nvSpPr>
        <xdr:cNvPr id="2" name="CustomShape 1"/>
        <xdr:cNvSpPr/>
      </xdr:nvSpPr>
      <xdr:spPr>
        <a:xfrm>
          <a:off x="6154920" y="727560"/>
          <a:ext cx="1140120" cy="1491480"/>
        </a:xfrm>
        <a:prstGeom prst="downArrow">
          <a:avLst>
            <a:gd name="adj1" fmla="val 50000"/>
            <a:gd name="adj2" fmla="val 50000"/>
          </a:avLst>
        </a:prstGeom>
        <a:solidFill>
          <a:schemeClr val="accent5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3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6</xdr:row>
      <xdr:rowOff>50760</xdr:rowOff>
    </xdr:from>
    <xdr:to>
      <xdr:col>13</xdr:col>
      <xdr:colOff>340200</xdr:colOff>
      <xdr:row>8</xdr:row>
      <xdr:rowOff>171000</xdr:rowOff>
    </xdr:to>
    <xdr:sp>
      <xdr:nvSpPr>
        <xdr:cNvPr id="4" name="CustomShape 1"/>
        <xdr:cNvSpPr/>
      </xdr:nvSpPr>
      <xdr:spPr>
        <a:xfrm>
          <a:off x="13750920" y="1315440"/>
          <a:ext cx="1320480" cy="48600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5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43</xdr:col>
      <xdr:colOff>775440</xdr:colOff>
      <xdr:row>1</xdr:row>
      <xdr:rowOff>9360</xdr:rowOff>
    </xdr:from>
    <xdr:to>
      <xdr:col>44</xdr:col>
      <xdr:colOff>197280</xdr:colOff>
      <xdr:row>8</xdr:row>
      <xdr:rowOff>151920</xdr:rowOff>
    </xdr:to>
    <xdr:sp>
      <xdr:nvSpPr>
        <xdr:cNvPr id="6" name="CustomShape 1"/>
        <xdr:cNvSpPr/>
      </xdr:nvSpPr>
      <xdr:spPr>
        <a:xfrm>
          <a:off x="43551360" y="245520"/>
          <a:ext cx="1922400" cy="1536840"/>
        </a:xfrm>
        <a:prstGeom prst="downArrow">
          <a:avLst>
            <a:gd name="adj1" fmla="val 50000"/>
            <a:gd name="adj2" fmla="val 50000"/>
          </a:avLst>
        </a:prstGeom>
        <a:solidFill>
          <a:srgbClr val="92d05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7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8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2371320</xdr:colOff>
      <xdr:row>5</xdr:row>
      <xdr:rowOff>68400</xdr:rowOff>
    </xdr:to>
    <xdr:pic>
      <xdr:nvPicPr>
        <xdr:cNvPr id="9" name="Picture 11" descr=""/>
        <xdr:cNvPicPr/>
      </xdr:nvPicPr>
      <xdr:blipFill>
        <a:blip r:embed="rId1"/>
        <a:stretch/>
      </xdr:blipFill>
      <xdr:spPr>
        <a:xfrm>
          <a:off x="0" y="0"/>
          <a:ext cx="2983320" cy="1142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685800</xdr:colOff>
      <xdr:row>1</xdr:row>
      <xdr:rowOff>19080</xdr:rowOff>
    </xdr:from>
    <xdr:to>
      <xdr:col>2</xdr:col>
      <xdr:colOff>1930680</xdr:colOff>
      <xdr:row>9</xdr:row>
      <xdr:rowOff>218880</xdr:rowOff>
    </xdr:to>
    <xdr:sp>
      <xdr:nvSpPr>
        <xdr:cNvPr id="10" name="CustomShape 1"/>
        <xdr:cNvSpPr/>
      </xdr:nvSpPr>
      <xdr:spPr>
        <a:xfrm>
          <a:off x="3830040" y="255240"/>
          <a:ext cx="1244880" cy="1784520"/>
        </a:xfrm>
        <a:prstGeom prst="downArrow">
          <a:avLst>
            <a:gd name="adj1" fmla="val 50000"/>
            <a:gd name="adj2" fmla="val 50000"/>
          </a:avLst>
        </a:prstGeom>
        <a:solidFill>
          <a:schemeClr val="accent3">
            <a:lumMod val="60000"/>
            <a:lumOff val="4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104760</xdr:colOff>
      <xdr:row>3</xdr:row>
      <xdr:rowOff>9360</xdr:rowOff>
    </xdr:from>
    <xdr:to>
      <xdr:col>6</xdr:col>
      <xdr:colOff>1045080</xdr:colOff>
      <xdr:row>8</xdr:row>
      <xdr:rowOff>171000</xdr:rowOff>
    </xdr:to>
    <xdr:sp>
      <xdr:nvSpPr>
        <xdr:cNvPr id="11" name="CustomShape 1"/>
        <xdr:cNvSpPr/>
      </xdr:nvSpPr>
      <xdr:spPr>
        <a:xfrm>
          <a:off x="7780320" y="717840"/>
          <a:ext cx="940320" cy="1083600"/>
        </a:xfrm>
        <a:prstGeom prst="downArrow">
          <a:avLst>
            <a:gd name="adj1" fmla="val 50000"/>
            <a:gd name="adj2" fmla="val 50000"/>
          </a:avLst>
        </a:prstGeom>
        <a:solidFill>
          <a:schemeClr val="accent4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266760</xdr:colOff>
      <xdr:row>3</xdr:row>
      <xdr:rowOff>19080</xdr:rowOff>
    </xdr:from>
    <xdr:to>
      <xdr:col>5</xdr:col>
      <xdr:colOff>1406880</xdr:colOff>
      <xdr:row>10</xdr:row>
      <xdr:rowOff>161640</xdr:rowOff>
    </xdr:to>
    <xdr:sp>
      <xdr:nvSpPr>
        <xdr:cNvPr id="12" name="CustomShape 1"/>
        <xdr:cNvSpPr/>
      </xdr:nvSpPr>
      <xdr:spPr>
        <a:xfrm>
          <a:off x="6154920" y="727560"/>
          <a:ext cx="1140120" cy="1491480"/>
        </a:xfrm>
        <a:prstGeom prst="downArrow">
          <a:avLst>
            <a:gd name="adj1" fmla="val 50000"/>
            <a:gd name="adj2" fmla="val 50000"/>
          </a:avLst>
        </a:prstGeom>
        <a:solidFill>
          <a:schemeClr val="accent5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13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6</xdr:row>
      <xdr:rowOff>50760</xdr:rowOff>
    </xdr:from>
    <xdr:to>
      <xdr:col>13</xdr:col>
      <xdr:colOff>340200</xdr:colOff>
      <xdr:row>8</xdr:row>
      <xdr:rowOff>171000</xdr:rowOff>
    </xdr:to>
    <xdr:sp>
      <xdr:nvSpPr>
        <xdr:cNvPr id="14" name="CustomShape 1"/>
        <xdr:cNvSpPr/>
      </xdr:nvSpPr>
      <xdr:spPr>
        <a:xfrm>
          <a:off x="13750920" y="1315440"/>
          <a:ext cx="1320480" cy="48600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15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43</xdr:col>
      <xdr:colOff>775440</xdr:colOff>
      <xdr:row>1</xdr:row>
      <xdr:rowOff>9360</xdr:rowOff>
    </xdr:from>
    <xdr:to>
      <xdr:col>44</xdr:col>
      <xdr:colOff>197280</xdr:colOff>
      <xdr:row>8</xdr:row>
      <xdr:rowOff>151920</xdr:rowOff>
    </xdr:to>
    <xdr:sp>
      <xdr:nvSpPr>
        <xdr:cNvPr id="16" name="CustomShape 1"/>
        <xdr:cNvSpPr/>
      </xdr:nvSpPr>
      <xdr:spPr>
        <a:xfrm>
          <a:off x="43551360" y="245520"/>
          <a:ext cx="1922400" cy="1536840"/>
        </a:xfrm>
        <a:prstGeom prst="downArrow">
          <a:avLst>
            <a:gd name="adj1" fmla="val 50000"/>
            <a:gd name="adj2" fmla="val 50000"/>
          </a:avLst>
        </a:prstGeom>
        <a:solidFill>
          <a:srgbClr val="92d05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17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8</xdr:row>
      <xdr:rowOff>171000</xdr:rowOff>
    </xdr:to>
    <xdr:sp>
      <xdr:nvSpPr>
        <xdr:cNvPr id="18" name="CustomShape 1"/>
        <xdr:cNvSpPr/>
      </xdr:nvSpPr>
      <xdr:spPr>
        <a:xfrm>
          <a:off x="10339200" y="727560"/>
          <a:ext cx="1191960" cy="107388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2371320</xdr:colOff>
      <xdr:row>5</xdr:row>
      <xdr:rowOff>68400</xdr:rowOff>
    </xdr:to>
    <xdr:pic>
      <xdr:nvPicPr>
        <xdr:cNvPr id="19" name="Picture 11" descr=""/>
        <xdr:cNvPicPr/>
      </xdr:nvPicPr>
      <xdr:blipFill>
        <a:blip r:embed="rId1"/>
        <a:stretch/>
      </xdr:blipFill>
      <xdr:spPr>
        <a:xfrm>
          <a:off x="0" y="0"/>
          <a:ext cx="2983320" cy="1142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685800</xdr:colOff>
      <xdr:row>1</xdr:row>
      <xdr:rowOff>19080</xdr:rowOff>
    </xdr:from>
    <xdr:to>
      <xdr:col>2</xdr:col>
      <xdr:colOff>1930680</xdr:colOff>
      <xdr:row>7</xdr:row>
      <xdr:rowOff>218880</xdr:rowOff>
    </xdr:to>
    <xdr:sp>
      <xdr:nvSpPr>
        <xdr:cNvPr id="20" name="CustomShape 1"/>
        <xdr:cNvSpPr/>
      </xdr:nvSpPr>
      <xdr:spPr>
        <a:xfrm>
          <a:off x="4951080" y="255240"/>
          <a:ext cx="1244880" cy="1418760"/>
        </a:xfrm>
        <a:prstGeom prst="downArrow">
          <a:avLst>
            <a:gd name="adj1" fmla="val 50000"/>
            <a:gd name="adj2" fmla="val 50000"/>
          </a:avLst>
        </a:prstGeom>
        <a:solidFill>
          <a:schemeClr val="accent3">
            <a:lumMod val="60000"/>
            <a:lumOff val="4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104760</xdr:colOff>
      <xdr:row>3</xdr:row>
      <xdr:rowOff>9360</xdr:rowOff>
    </xdr:from>
    <xdr:to>
      <xdr:col>6</xdr:col>
      <xdr:colOff>1045080</xdr:colOff>
      <xdr:row>6</xdr:row>
      <xdr:rowOff>171000</xdr:rowOff>
    </xdr:to>
    <xdr:sp>
      <xdr:nvSpPr>
        <xdr:cNvPr id="21" name="CustomShape 1"/>
        <xdr:cNvSpPr/>
      </xdr:nvSpPr>
      <xdr:spPr>
        <a:xfrm>
          <a:off x="8901360" y="717840"/>
          <a:ext cx="940320" cy="717840"/>
        </a:xfrm>
        <a:prstGeom prst="downArrow">
          <a:avLst>
            <a:gd name="adj1" fmla="val 50000"/>
            <a:gd name="adj2" fmla="val 50000"/>
          </a:avLst>
        </a:prstGeom>
        <a:solidFill>
          <a:schemeClr val="accent4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266760</xdr:colOff>
      <xdr:row>3</xdr:row>
      <xdr:rowOff>19080</xdr:rowOff>
    </xdr:from>
    <xdr:to>
      <xdr:col>5</xdr:col>
      <xdr:colOff>1406880</xdr:colOff>
      <xdr:row>8</xdr:row>
      <xdr:rowOff>161640</xdr:rowOff>
    </xdr:to>
    <xdr:sp>
      <xdr:nvSpPr>
        <xdr:cNvPr id="22" name="CustomShape 1"/>
        <xdr:cNvSpPr/>
      </xdr:nvSpPr>
      <xdr:spPr>
        <a:xfrm>
          <a:off x="7275600" y="727560"/>
          <a:ext cx="1140120" cy="1125720"/>
        </a:xfrm>
        <a:prstGeom prst="downArrow">
          <a:avLst>
            <a:gd name="adj1" fmla="val 50000"/>
            <a:gd name="adj2" fmla="val 50000"/>
          </a:avLst>
        </a:prstGeom>
        <a:solidFill>
          <a:schemeClr val="accent5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23" name="CustomShape 1"/>
        <xdr:cNvSpPr/>
      </xdr:nvSpPr>
      <xdr:spPr>
        <a:xfrm>
          <a:off x="11459880" y="727560"/>
          <a:ext cx="119232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24" name="CustomShape 1"/>
        <xdr:cNvSpPr/>
      </xdr:nvSpPr>
      <xdr:spPr>
        <a:xfrm>
          <a:off x="1468368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25" name="CustomShape 1"/>
        <xdr:cNvSpPr/>
      </xdr:nvSpPr>
      <xdr:spPr>
        <a:xfrm>
          <a:off x="11459880" y="727560"/>
          <a:ext cx="119232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31</xdr:col>
      <xdr:colOff>775440</xdr:colOff>
      <xdr:row>1</xdr:row>
      <xdr:rowOff>9360</xdr:rowOff>
    </xdr:from>
    <xdr:to>
      <xdr:col>32</xdr:col>
      <xdr:colOff>197280</xdr:colOff>
      <xdr:row>6</xdr:row>
      <xdr:rowOff>151920</xdr:rowOff>
    </xdr:to>
    <xdr:sp>
      <xdr:nvSpPr>
        <xdr:cNvPr id="26" name="CustomShape 1"/>
        <xdr:cNvSpPr/>
      </xdr:nvSpPr>
      <xdr:spPr>
        <a:xfrm>
          <a:off x="32840280" y="245520"/>
          <a:ext cx="1985400" cy="1171080"/>
        </a:xfrm>
        <a:prstGeom prst="downArrow">
          <a:avLst>
            <a:gd name="adj1" fmla="val 50000"/>
            <a:gd name="adj2" fmla="val 50000"/>
          </a:avLst>
        </a:prstGeom>
        <a:solidFill>
          <a:srgbClr val="92d05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27" name="CustomShape 1"/>
        <xdr:cNvSpPr/>
      </xdr:nvSpPr>
      <xdr:spPr>
        <a:xfrm>
          <a:off x="1468368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28" name="CustomShape 1"/>
        <xdr:cNvSpPr/>
      </xdr:nvSpPr>
      <xdr:spPr>
        <a:xfrm>
          <a:off x="11459880" y="727560"/>
          <a:ext cx="119232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29" name="CustomShape 1"/>
        <xdr:cNvSpPr/>
      </xdr:nvSpPr>
      <xdr:spPr>
        <a:xfrm>
          <a:off x="1468368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30" name="CustomShape 1"/>
        <xdr:cNvSpPr/>
      </xdr:nvSpPr>
      <xdr:spPr>
        <a:xfrm>
          <a:off x="11459880" y="727560"/>
          <a:ext cx="119232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31" name="CustomShape 1"/>
        <xdr:cNvSpPr/>
      </xdr:nvSpPr>
      <xdr:spPr>
        <a:xfrm>
          <a:off x="1468368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2318760</xdr:colOff>
      <xdr:row>7</xdr:row>
      <xdr:rowOff>68760</xdr:rowOff>
    </xdr:to>
    <xdr:pic>
      <xdr:nvPicPr>
        <xdr:cNvPr id="32" name="Picture 14" descr=""/>
        <xdr:cNvPicPr/>
      </xdr:nvPicPr>
      <xdr:blipFill>
        <a:blip r:embed="rId1"/>
        <a:stretch/>
      </xdr:blipFill>
      <xdr:spPr>
        <a:xfrm>
          <a:off x="0" y="0"/>
          <a:ext cx="4051440" cy="15238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685800</xdr:colOff>
      <xdr:row>1</xdr:row>
      <xdr:rowOff>19080</xdr:rowOff>
    </xdr:from>
    <xdr:to>
      <xdr:col>2</xdr:col>
      <xdr:colOff>1930680</xdr:colOff>
      <xdr:row>7</xdr:row>
      <xdr:rowOff>218880</xdr:rowOff>
    </xdr:to>
    <xdr:sp>
      <xdr:nvSpPr>
        <xdr:cNvPr id="33" name="CustomShape 1"/>
        <xdr:cNvSpPr/>
      </xdr:nvSpPr>
      <xdr:spPr>
        <a:xfrm>
          <a:off x="3830040" y="255240"/>
          <a:ext cx="1244880" cy="1418760"/>
        </a:xfrm>
        <a:prstGeom prst="downArrow">
          <a:avLst>
            <a:gd name="adj1" fmla="val 50000"/>
            <a:gd name="adj2" fmla="val 50000"/>
          </a:avLst>
        </a:prstGeom>
        <a:solidFill>
          <a:schemeClr val="accent3">
            <a:lumMod val="60000"/>
            <a:lumOff val="4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104760</xdr:colOff>
      <xdr:row>3</xdr:row>
      <xdr:rowOff>9360</xdr:rowOff>
    </xdr:from>
    <xdr:to>
      <xdr:col>6</xdr:col>
      <xdr:colOff>1045080</xdr:colOff>
      <xdr:row>6</xdr:row>
      <xdr:rowOff>171000</xdr:rowOff>
    </xdr:to>
    <xdr:sp>
      <xdr:nvSpPr>
        <xdr:cNvPr id="34" name="CustomShape 1"/>
        <xdr:cNvSpPr/>
      </xdr:nvSpPr>
      <xdr:spPr>
        <a:xfrm>
          <a:off x="7780320" y="717840"/>
          <a:ext cx="940320" cy="717840"/>
        </a:xfrm>
        <a:prstGeom prst="downArrow">
          <a:avLst>
            <a:gd name="adj1" fmla="val 50000"/>
            <a:gd name="adj2" fmla="val 50000"/>
          </a:avLst>
        </a:prstGeom>
        <a:solidFill>
          <a:schemeClr val="accent4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266760</xdr:colOff>
      <xdr:row>3</xdr:row>
      <xdr:rowOff>19080</xdr:rowOff>
    </xdr:from>
    <xdr:to>
      <xdr:col>5</xdr:col>
      <xdr:colOff>1406880</xdr:colOff>
      <xdr:row>8</xdr:row>
      <xdr:rowOff>161640</xdr:rowOff>
    </xdr:to>
    <xdr:sp>
      <xdr:nvSpPr>
        <xdr:cNvPr id="35" name="CustomShape 1"/>
        <xdr:cNvSpPr/>
      </xdr:nvSpPr>
      <xdr:spPr>
        <a:xfrm>
          <a:off x="6154920" y="727560"/>
          <a:ext cx="1140120" cy="1125720"/>
        </a:xfrm>
        <a:prstGeom prst="downArrow">
          <a:avLst>
            <a:gd name="adj1" fmla="val 50000"/>
            <a:gd name="adj2" fmla="val 50000"/>
          </a:avLst>
        </a:prstGeom>
        <a:solidFill>
          <a:schemeClr val="accent5">
            <a:lumMod val="40000"/>
            <a:lumOff val="6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36" name="CustomShape 1"/>
        <xdr:cNvSpPr/>
      </xdr:nvSpPr>
      <xdr:spPr>
        <a:xfrm>
          <a:off x="10339200" y="727560"/>
          <a:ext cx="119196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37" name="CustomShape 1"/>
        <xdr:cNvSpPr/>
      </xdr:nvSpPr>
      <xdr:spPr>
        <a:xfrm>
          <a:off x="1375092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38" name="CustomShape 1"/>
        <xdr:cNvSpPr/>
      </xdr:nvSpPr>
      <xdr:spPr>
        <a:xfrm>
          <a:off x="10339200" y="727560"/>
          <a:ext cx="119196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19</xdr:col>
      <xdr:colOff>1518120</xdr:colOff>
      <xdr:row>2</xdr:row>
      <xdr:rowOff>0</xdr:rowOff>
    </xdr:from>
    <xdr:to>
      <xdr:col>22</xdr:col>
      <xdr:colOff>120960</xdr:colOff>
      <xdr:row>6</xdr:row>
      <xdr:rowOff>161640</xdr:rowOff>
    </xdr:to>
    <xdr:sp>
      <xdr:nvSpPr>
        <xdr:cNvPr id="39" name="CustomShape 1"/>
        <xdr:cNvSpPr/>
      </xdr:nvSpPr>
      <xdr:spPr>
        <a:xfrm>
          <a:off x="22685760" y="472320"/>
          <a:ext cx="2115000" cy="954000"/>
        </a:xfrm>
        <a:prstGeom prst="downArrow">
          <a:avLst>
            <a:gd name="adj1" fmla="val 50000"/>
            <a:gd name="adj2" fmla="val 50000"/>
          </a:avLst>
        </a:prstGeom>
        <a:solidFill>
          <a:srgbClr val="92d05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40" name="CustomShape 1"/>
        <xdr:cNvSpPr/>
      </xdr:nvSpPr>
      <xdr:spPr>
        <a:xfrm>
          <a:off x="1375092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41" name="CustomShape 1"/>
        <xdr:cNvSpPr/>
      </xdr:nvSpPr>
      <xdr:spPr>
        <a:xfrm>
          <a:off x="10339200" y="727560"/>
          <a:ext cx="119196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42" name="CustomShape 1"/>
        <xdr:cNvSpPr/>
      </xdr:nvSpPr>
      <xdr:spPr>
        <a:xfrm>
          <a:off x="1375092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7</xdr:col>
      <xdr:colOff>1362240</xdr:colOff>
      <xdr:row>3</xdr:row>
      <xdr:rowOff>19080</xdr:rowOff>
    </xdr:from>
    <xdr:to>
      <xdr:col>8</xdr:col>
      <xdr:colOff>6840</xdr:colOff>
      <xdr:row>6</xdr:row>
      <xdr:rowOff>171000</xdr:rowOff>
    </xdr:to>
    <xdr:sp>
      <xdr:nvSpPr>
        <xdr:cNvPr id="43" name="CustomShape 1"/>
        <xdr:cNvSpPr/>
      </xdr:nvSpPr>
      <xdr:spPr>
        <a:xfrm>
          <a:off x="10339200" y="727560"/>
          <a:ext cx="1191960" cy="70812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>
            <a:lumMod val="20000"/>
            <a:lumOff val="80000"/>
          </a:schemeClr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352440</xdr:colOff>
      <xdr:row>4</xdr:row>
      <xdr:rowOff>19080</xdr:rowOff>
    </xdr:from>
    <xdr:to>
      <xdr:col>13</xdr:col>
      <xdr:colOff>340200</xdr:colOff>
      <xdr:row>6</xdr:row>
      <xdr:rowOff>171000</xdr:rowOff>
    </xdr:to>
    <xdr:sp>
      <xdr:nvSpPr>
        <xdr:cNvPr id="44" name="CustomShape 1"/>
        <xdr:cNvSpPr/>
      </xdr:nvSpPr>
      <xdr:spPr>
        <a:xfrm>
          <a:off x="13750920" y="918000"/>
          <a:ext cx="1320480" cy="517680"/>
        </a:xfrm>
        <a:prstGeom prst="downArrow">
          <a:avLst>
            <a:gd name="adj1" fmla="val 50000"/>
            <a:gd name="adj2" fmla="val 50000"/>
          </a:avLst>
        </a:prstGeom>
        <a:solidFill>
          <a:srgbClr val="00b0f0"/>
        </a:solidFill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2371320</xdr:colOff>
      <xdr:row>5</xdr:row>
      <xdr:rowOff>52920</xdr:rowOff>
    </xdr:to>
    <xdr:pic>
      <xdr:nvPicPr>
        <xdr:cNvPr id="45" name="Picture 14" descr=""/>
        <xdr:cNvPicPr/>
      </xdr:nvPicPr>
      <xdr:blipFill>
        <a:blip r:embed="rId1"/>
        <a:stretch/>
      </xdr:blipFill>
      <xdr:spPr>
        <a:xfrm>
          <a:off x="0" y="0"/>
          <a:ext cx="2983320" cy="113472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bs" displayName="Abs" ref="B75:C82" headerRowCount="1" totalsRowCount="0" totalsRowShown="0">
  <autoFilter ref="B75:C82"/>
  <tableColumns count="2">
    <tableColumn id="1" name="Exercise"/>
    <tableColumn id="2" name="Link"/>
  </tableColumns>
</table>
</file>

<file path=xl/tables/table2.xml><?xml version="1.0" encoding="utf-8"?>
<table xmlns="http://schemas.openxmlformats.org/spreadsheetml/2006/main" id="2" name="Abs_26" displayName="Abs_26" ref="B77:C84" headerRowCount="1" totalsRowCount="0" totalsRowShown="0">
  <autoFilter ref="B77:C84"/>
  <tableColumns count="2">
    <tableColumn id="1" name="Exercise"/>
    <tableColumn id="2" name="Link"/>
  </tableColumns>
</table>
</file>

<file path=xl/tables/table3.xml><?xml version="1.0" encoding="utf-8"?>
<table xmlns="http://schemas.openxmlformats.org/spreadsheetml/2006/main" id="3" name="Abs_50" displayName="Abs_50" ref="B70:C77" headerRowCount="1" totalsRowCount="0" totalsRowShown="0">
  <autoFilter ref="B70:C77"/>
  <tableColumns count="2">
    <tableColumn id="1" name="Exercise"/>
    <tableColumn id="2" name="Link"/>
  </tableColumns>
</table>
</file>

<file path=xl/tables/table4.xml><?xml version="1.0" encoding="utf-8"?>
<table xmlns="http://schemas.openxmlformats.org/spreadsheetml/2006/main" id="4" name="Abs_74" displayName="Abs_74" ref="B75:C82" headerRowCount="1" totalsRowCount="0" totalsRowShown="0">
  <autoFilter ref="B75:C82"/>
  <tableColumns count="2">
    <tableColumn id="1" name="Exercise"/>
    <tableColumn id="2" name="Link"/>
  </tableColumns>
</table>
</file>

<file path=xl/tables/table5.xml><?xml version="1.0" encoding="utf-8"?>
<table xmlns="http://schemas.openxmlformats.org/spreadsheetml/2006/main" id="5" name="Biceps" displayName="Biceps" ref="B90:C101" headerRowCount="1" totalsRowCount="0" totalsRowShown="0">
  <autoFilter ref="B90:C101"/>
  <tableColumns count="2">
    <tableColumn id="1" name="Exercise"/>
    <tableColumn id="2" name="Link"/>
  </tableColumns>
</table>
</file>

<file path=xl/tables/table6.xml><?xml version="1.0" encoding="utf-8"?>
<table xmlns="http://schemas.openxmlformats.org/spreadsheetml/2006/main" id="6" name="Biceps47" displayName="Biceps47" ref="B92:C103" headerRowCount="1" totalsRowCount="0" totalsRowShown="0">
  <autoFilter ref="B92:C103"/>
  <tableColumns count="2">
    <tableColumn id="1" name="Exercise"/>
    <tableColumn id="2" name="Link"/>
  </tableColumns>
</table>
</file>

<file path=xl/tables/table7.xml><?xml version="1.0" encoding="utf-8"?>
<table xmlns="http://schemas.openxmlformats.org/spreadsheetml/2006/main" id="7" name="Biceps71" displayName="Biceps71" ref="B85:C96" headerRowCount="1" totalsRowCount="0" totalsRowShown="0">
  <autoFilter ref="B85:C96"/>
  <tableColumns count="2">
    <tableColumn id="1" name="Exercise"/>
    <tableColumn id="2" name="Link"/>
  </tableColumns>
</table>
</file>

<file path=xl/tables/table8.xml><?xml version="1.0" encoding="utf-8"?>
<table xmlns="http://schemas.openxmlformats.org/spreadsheetml/2006/main" id="8" name="Biceps95" displayName="Biceps95" ref="B90:C101" headerRowCount="1" totalsRowCount="0" totalsRowShown="0">
  <autoFilter ref="B90:C101"/>
  <tableColumns count="2">
    <tableColumn id="1" name="Exercise"/>
    <tableColumn id="2" name="Link"/>
  </tableColumns>
</table>
</file>

<file path=xl/tables/table9.xml><?xml version="1.0" encoding="utf-8"?>
<table xmlns="http://schemas.openxmlformats.org/spreadsheetml/2006/main" id="9" name="Calves" displayName="Calves" ref="B84:C88" headerRowCount="1" totalsRowCount="0" totalsRowShown="0">
  <autoFilter ref="B84:C88"/>
  <tableColumns count="2">
    <tableColumn id="1" name="Exercise"/>
    <tableColumn id="2" name="Link"/>
  </tableColumns>
</table>
</file>

<file path=xl/tables/table10.xml><?xml version="1.0" encoding="utf-8"?>
<table xmlns="http://schemas.openxmlformats.org/spreadsheetml/2006/main" id="10" name="Calves48" displayName="Calves48" ref="B86:C90" headerRowCount="1" totalsRowCount="0" totalsRowShown="0">
  <autoFilter ref="B86:C90"/>
  <tableColumns count="2">
    <tableColumn id="1" name="Exercise"/>
    <tableColumn id="2" name="Link"/>
  </tableColumns>
</table>
</file>

<file path=xl/tables/table11.xml><?xml version="1.0" encoding="utf-8"?>
<table xmlns="http://schemas.openxmlformats.org/spreadsheetml/2006/main" id="11" name="Calves72" displayName="Calves72" ref="B79:C83" headerRowCount="1" totalsRowCount="0" totalsRowShown="0">
  <autoFilter ref="B79:C83"/>
  <tableColumns count="2">
    <tableColumn id="1" name="Exercise"/>
    <tableColumn id="2" name="Link"/>
  </tableColumns>
</table>
</file>

<file path=xl/tables/table12.xml><?xml version="1.0" encoding="utf-8"?>
<table xmlns="http://schemas.openxmlformats.org/spreadsheetml/2006/main" id="12" name="Calves96" displayName="Calves96" ref="B84:C88" headerRowCount="1" totalsRowCount="0" totalsRowShown="0">
  <autoFilter ref="B84:C88"/>
  <tableColumns count="2">
    <tableColumn id="1" name="Exercise"/>
    <tableColumn id="2" name="Link"/>
  </tableColumns>
</table>
</file>

<file path=xl/tables/table13.xml><?xml version="1.0" encoding="utf-8"?>
<table xmlns="http://schemas.openxmlformats.org/spreadsheetml/2006/main" id="13" name="Chest_Isolation" displayName="Chest_Isolation" ref="B193:C200" headerRowCount="1" totalsRowCount="0" totalsRowShown="0">
  <autoFilter ref="B193:C200"/>
  <tableColumns count="2">
    <tableColumn id="1" name="Exercise"/>
    <tableColumn id="2" name="Link"/>
  </tableColumns>
</table>
</file>

<file path=xl/tables/table14.xml><?xml version="1.0" encoding="utf-8"?>
<table xmlns="http://schemas.openxmlformats.org/spreadsheetml/2006/main" id="14" name="Chest_Isolation35" displayName="Chest_Isolation35" ref="B195:C202" headerRowCount="1" totalsRowCount="0" totalsRowShown="0">
  <autoFilter ref="B195:C202"/>
  <tableColumns count="2">
    <tableColumn id="1" name="Exercise"/>
    <tableColumn id="2" name="Link"/>
  </tableColumns>
</table>
</file>

<file path=xl/tables/table15.xml><?xml version="1.0" encoding="utf-8"?>
<table xmlns="http://schemas.openxmlformats.org/spreadsheetml/2006/main" id="15" name="Chest_Isolation59" displayName="Chest_Isolation59" ref="B188:C195" headerRowCount="1" totalsRowCount="0" totalsRowShown="0">
  <autoFilter ref="B188:C195"/>
  <tableColumns count="2">
    <tableColumn id="1" name="Exercise"/>
    <tableColumn id="2" name="Link"/>
  </tableColumns>
</table>
</file>

<file path=xl/tables/table16.xml><?xml version="1.0" encoding="utf-8"?>
<table xmlns="http://schemas.openxmlformats.org/spreadsheetml/2006/main" id="16" name="Chest_Isolation83" displayName="Chest_Isolation83" ref="B193:C200" headerRowCount="1" totalsRowCount="0" totalsRowShown="0">
  <autoFilter ref="B193:C200"/>
  <tableColumns count="2">
    <tableColumn id="1" name="Exercise"/>
    <tableColumn id="2" name="Link"/>
  </tableColumns>
</table>
</file>

<file path=xl/tables/table17.xml><?xml version="1.0" encoding="utf-8"?>
<table xmlns="http://schemas.openxmlformats.org/spreadsheetml/2006/main" id="17" name="Chest_Isolation_or_Triceps" displayName="Chest_Isolation_or_Triceps" ref="B255:C275" headerRowCount="1" totalsRowCount="0" totalsRowShown="0">
  <autoFilter ref="B255:C275"/>
  <tableColumns count="2">
    <tableColumn id="1" name="Exercise"/>
    <tableColumn id="2" name="Link"/>
  </tableColumns>
</table>
</file>

<file path=xl/tables/table18.xml><?xml version="1.0" encoding="utf-8"?>
<table xmlns="http://schemas.openxmlformats.org/spreadsheetml/2006/main" id="18" name="Chest_Isolation_or_Triceps29" displayName="Chest_Isolation_or_Triceps29" ref="B257:C277" headerRowCount="1" totalsRowCount="0" totalsRowShown="0">
  <autoFilter ref="B257:C277"/>
  <tableColumns count="2">
    <tableColumn id="1" name="Exercise"/>
    <tableColumn id="2" name="Link"/>
  </tableColumns>
</table>
</file>

<file path=xl/tables/table19.xml><?xml version="1.0" encoding="utf-8"?>
<table xmlns="http://schemas.openxmlformats.org/spreadsheetml/2006/main" id="19" name="Chest_Isolation_or_Triceps53" displayName="Chest_Isolation_or_Triceps53" ref="B250:C270" headerRowCount="1" totalsRowCount="0" totalsRowShown="0">
  <autoFilter ref="B250:C270"/>
  <tableColumns count="2">
    <tableColumn id="1" name="Exercise"/>
    <tableColumn id="2" name="Link"/>
  </tableColumns>
</table>
</file>

<file path=xl/tables/table20.xml><?xml version="1.0" encoding="utf-8"?>
<table xmlns="http://schemas.openxmlformats.org/spreadsheetml/2006/main" id="20" name="Chest_Isolation_or_Triceps77" displayName="Chest_Isolation_or_Triceps77" ref="B255:C275" headerRowCount="1" totalsRowCount="0" totalsRowShown="0">
  <autoFilter ref="B255:C275"/>
  <tableColumns count="2">
    <tableColumn id="1" name="Exercise"/>
    <tableColumn id="2" name="Link"/>
  </tableColumns>
</table>
</file>

<file path=xl/tables/table21.xml><?xml version="1.0" encoding="utf-8"?>
<table xmlns="http://schemas.openxmlformats.org/spreadsheetml/2006/main" id="21" name="Front_Delts" displayName="Front_Delts" ref="B219:C225" headerRowCount="1" totalsRowCount="0" totalsRowShown="0">
  <autoFilter ref="B219:C225"/>
  <tableColumns count="2">
    <tableColumn id="1" name="Exercise"/>
    <tableColumn id="2" name="Link"/>
  </tableColumns>
</table>
</file>

<file path=xl/tables/table22.xml><?xml version="1.0" encoding="utf-8"?>
<table xmlns="http://schemas.openxmlformats.org/spreadsheetml/2006/main" id="22" name="Front_Delts32" displayName="Front_Delts32" ref="B221:C227" headerRowCount="1" totalsRowCount="0" totalsRowShown="0">
  <autoFilter ref="B221:C227"/>
  <tableColumns count="2">
    <tableColumn id="1" name="Exercise"/>
    <tableColumn id="2" name="Link"/>
  </tableColumns>
</table>
</file>

<file path=xl/tables/table23.xml><?xml version="1.0" encoding="utf-8"?>
<table xmlns="http://schemas.openxmlformats.org/spreadsheetml/2006/main" id="23" name="Front_Delts56" displayName="Front_Delts56" ref="B214:C220" headerRowCount="1" totalsRowCount="0" totalsRowShown="0">
  <autoFilter ref="B214:C220"/>
  <tableColumns count="2">
    <tableColumn id="1" name="Exercise"/>
    <tableColumn id="2" name="Link"/>
  </tableColumns>
</table>
</file>

<file path=xl/tables/table24.xml><?xml version="1.0" encoding="utf-8"?>
<table xmlns="http://schemas.openxmlformats.org/spreadsheetml/2006/main" id="24" name="Front_Delts80" displayName="Front_Delts80" ref="B219:C225" headerRowCount="1" totalsRowCount="0" totalsRowShown="0">
  <autoFilter ref="B219:C225"/>
  <tableColumns count="2">
    <tableColumn id="1" name="Exercise"/>
    <tableColumn id="2" name="Link"/>
  </tableColumns>
</table>
</file>

<file path=xl/tables/table25.xml><?xml version="1.0" encoding="utf-8"?>
<table xmlns="http://schemas.openxmlformats.org/spreadsheetml/2006/main" id="25" name="Glutes" displayName="Glutes" ref="B172:C180" headerRowCount="1" totalsRowCount="0" totalsRowShown="0">
  <autoFilter ref="B172:C180"/>
  <tableColumns count="2">
    <tableColumn id="1" name="Exercise"/>
    <tableColumn id="2" name="Link"/>
  </tableColumns>
</table>
</file>

<file path=xl/tables/table26.xml><?xml version="1.0" encoding="utf-8"?>
<table xmlns="http://schemas.openxmlformats.org/spreadsheetml/2006/main" id="26" name="Glutes38" displayName="Glutes38" ref="B174:C182" headerRowCount="1" totalsRowCount="0" totalsRowShown="0">
  <autoFilter ref="B174:C182"/>
  <tableColumns count="2">
    <tableColumn id="1" name="Exercise"/>
    <tableColumn id="2" name="Link"/>
  </tableColumns>
</table>
</file>

<file path=xl/tables/table27.xml><?xml version="1.0" encoding="utf-8"?>
<table xmlns="http://schemas.openxmlformats.org/spreadsheetml/2006/main" id="27" name="Glutes62" displayName="Glutes62" ref="B167:C175" headerRowCount="1" totalsRowCount="0" totalsRowShown="0">
  <autoFilter ref="B167:C175"/>
  <tableColumns count="2">
    <tableColumn id="1" name="Exercise"/>
    <tableColumn id="2" name="Link"/>
  </tableColumns>
</table>
</file>

<file path=xl/tables/table28.xml><?xml version="1.0" encoding="utf-8"?>
<table xmlns="http://schemas.openxmlformats.org/spreadsheetml/2006/main" id="28" name="Glutes86" displayName="Glutes86" ref="B172:C180" headerRowCount="1" totalsRowCount="0" totalsRowShown="0">
  <autoFilter ref="B172:C180"/>
  <tableColumns count="2">
    <tableColumn id="1" name="Exercise"/>
    <tableColumn id="2" name="Link"/>
  </tableColumns>
</table>
</file>

<file path=xl/tables/table29.xml><?xml version="1.0" encoding="utf-8"?>
<table xmlns="http://schemas.openxmlformats.org/spreadsheetml/2006/main" id="29" name="Hamstrings_Hip_Hinge" displayName="Hamstrings_Hip_Hinge" ref="B182:C186" headerRowCount="1" totalsRowCount="0" totalsRowShown="0">
  <autoFilter ref="B182:C186"/>
  <tableColumns count="2">
    <tableColumn id="1" name="Exercise"/>
    <tableColumn id="2" name="Link"/>
  </tableColumns>
</table>
</file>

<file path=xl/tables/table30.xml><?xml version="1.0" encoding="utf-8"?>
<table xmlns="http://schemas.openxmlformats.org/spreadsheetml/2006/main" id="30" name="Hamstrings_Hip_Hinge37" displayName="Hamstrings_Hip_Hinge37" ref="B184:C188" headerRowCount="1" totalsRowCount="0" totalsRowShown="0">
  <autoFilter ref="B184:C188"/>
  <tableColumns count="2">
    <tableColumn id="1" name="Exercise"/>
    <tableColumn id="2" name="Link"/>
  </tableColumns>
</table>
</file>

<file path=xl/tables/table31.xml><?xml version="1.0" encoding="utf-8"?>
<table xmlns="http://schemas.openxmlformats.org/spreadsheetml/2006/main" id="31" name="Hamstrings_Hip_Hinge61" displayName="Hamstrings_Hip_Hinge61" ref="B177:C181" headerRowCount="1" totalsRowCount="0" totalsRowShown="0">
  <autoFilter ref="B177:C181"/>
  <tableColumns count="2">
    <tableColumn id="1" name="Exercise"/>
    <tableColumn id="2" name="Link"/>
  </tableColumns>
</table>
</file>

<file path=xl/tables/table32.xml><?xml version="1.0" encoding="utf-8"?>
<table xmlns="http://schemas.openxmlformats.org/spreadsheetml/2006/main" id="32" name="Hamstrings_Hip_Hinge85" displayName="Hamstrings_Hip_Hinge85" ref="B182:C186" headerRowCount="1" totalsRowCount="0" totalsRowShown="0">
  <autoFilter ref="B182:C186"/>
  <tableColumns count="2">
    <tableColumn id="1" name="Exercise"/>
    <tableColumn id="2" name="Link"/>
  </tableColumns>
</table>
</file>

<file path=xl/tables/table33.xml><?xml version="1.0" encoding="utf-8"?>
<table xmlns="http://schemas.openxmlformats.org/spreadsheetml/2006/main" id="33" name="Hamstrings_Isolation" displayName="Hamstrings_Isolation" ref="B188:C191" headerRowCount="1" totalsRowCount="0" totalsRowShown="0">
  <autoFilter ref="B188:C191"/>
  <tableColumns count="2">
    <tableColumn id="1" name="Exercise"/>
    <tableColumn id="2" name="Link"/>
  </tableColumns>
</table>
</file>

<file path=xl/tables/table34.xml><?xml version="1.0" encoding="utf-8"?>
<table xmlns="http://schemas.openxmlformats.org/spreadsheetml/2006/main" id="34" name="Hamstrings_Isolation36" displayName="Hamstrings_Isolation36" ref="B190:C193" headerRowCount="1" totalsRowCount="0" totalsRowShown="0">
  <autoFilter ref="B190:C193"/>
  <tableColumns count="2">
    <tableColumn id="1" name="Exercise"/>
    <tableColumn id="2" name="Link"/>
  </tableColumns>
</table>
</file>

<file path=xl/tables/table35.xml><?xml version="1.0" encoding="utf-8"?>
<table xmlns="http://schemas.openxmlformats.org/spreadsheetml/2006/main" id="35" name="Hamstrings_Isolation60" displayName="Hamstrings_Isolation60" ref="B183:C186" headerRowCount="1" totalsRowCount="0" totalsRowShown="0">
  <autoFilter ref="B183:C186"/>
  <tableColumns count="2">
    <tableColumn id="1" name="Exercise"/>
    <tableColumn id="2" name="Link"/>
  </tableColumns>
</table>
</file>

<file path=xl/tables/table36.xml><?xml version="1.0" encoding="utf-8"?>
<table xmlns="http://schemas.openxmlformats.org/spreadsheetml/2006/main" id="36" name="Hamstrings_Isolation84" displayName="Hamstrings_Isolation84" ref="B188:C191" headerRowCount="1" totalsRowCount="0" totalsRowShown="0">
  <autoFilter ref="B188:C191"/>
  <tableColumns count="2">
    <tableColumn id="1" name="Exercise"/>
    <tableColumn id="2" name="Link"/>
  </tableColumns>
</table>
</file>

<file path=xl/tables/table37.xml><?xml version="1.0" encoding="utf-8"?>
<table xmlns="http://schemas.openxmlformats.org/spreadsheetml/2006/main" id="37" name="Horizontal_Back" displayName="Horizontal_Back" ref="B139:C147" headerRowCount="1" totalsRowCount="0" totalsRowShown="0">
  <autoFilter ref="B139:C147"/>
  <tableColumns count="2">
    <tableColumn id="1" name="Exercise"/>
    <tableColumn id="2" name="Link"/>
  </tableColumns>
</table>
</file>

<file path=xl/tables/table38.xml><?xml version="1.0" encoding="utf-8"?>
<table xmlns="http://schemas.openxmlformats.org/spreadsheetml/2006/main" id="38" name="Horizontal_Back41" displayName="Horizontal_Back41" ref="B141:C149" headerRowCount="1" totalsRowCount="0" totalsRowShown="0">
  <autoFilter ref="B141:C149"/>
  <tableColumns count="2">
    <tableColumn id="1" name="Exercise"/>
    <tableColumn id="2" name="Link"/>
  </tableColumns>
</table>
</file>

<file path=xl/tables/table39.xml><?xml version="1.0" encoding="utf-8"?>
<table xmlns="http://schemas.openxmlformats.org/spreadsheetml/2006/main" id="39" name="Horizontal_Back65" displayName="Horizontal_Back65" ref="B134:C142" headerRowCount="1" totalsRowCount="0" totalsRowShown="0">
  <autoFilter ref="B134:C142"/>
  <tableColumns count="2">
    <tableColumn id="1" name="Exercise"/>
    <tableColumn id="2" name="Link"/>
  </tableColumns>
</table>
</file>

<file path=xl/tables/table40.xml><?xml version="1.0" encoding="utf-8"?>
<table xmlns="http://schemas.openxmlformats.org/spreadsheetml/2006/main" id="40" name="Horizontal_Back89" displayName="Horizontal_Back89" ref="B139:C147" headerRowCount="1" totalsRowCount="0" totalsRowShown="0">
  <autoFilter ref="B139:C147"/>
  <tableColumns count="2">
    <tableColumn id="1" name="Exercise"/>
    <tableColumn id="2" name="Link"/>
  </tableColumns>
</table>
</file>

<file path=xl/tables/table41.xml><?xml version="1.0" encoding="utf-8"?>
<table xmlns="http://schemas.openxmlformats.org/spreadsheetml/2006/main" id="41" name="Horizontal_Push" displayName="Horizontal_Push" ref="B202:C209" headerRowCount="1" totalsRowCount="0" totalsRowShown="0">
  <autoFilter ref="B202:C209"/>
  <tableColumns count="2">
    <tableColumn id="1" name="Exercise"/>
    <tableColumn id="2" name="Link"/>
  </tableColumns>
</table>
</file>

<file path=xl/tables/table42.xml><?xml version="1.0" encoding="utf-8"?>
<table xmlns="http://schemas.openxmlformats.org/spreadsheetml/2006/main" id="42" name="Horizontal_Push34" displayName="Horizontal_Push34" ref="B204:C211" headerRowCount="1" totalsRowCount="0" totalsRowShown="0">
  <autoFilter ref="B204:C211"/>
  <tableColumns count="2">
    <tableColumn id="1" name="Exercise"/>
    <tableColumn id="2" name="Link"/>
  </tableColumns>
</table>
</file>

<file path=xl/tables/table43.xml><?xml version="1.0" encoding="utf-8"?>
<table xmlns="http://schemas.openxmlformats.org/spreadsheetml/2006/main" id="43" name="Horizontal_Push58" displayName="Horizontal_Push58" ref="B197:C204" headerRowCount="1" totalsRowCount="0" totalsRowShown="0">
  <autoFilter ref="B197:C204"/>
  <tableColumns count="2">
    <tableColumn id="1" name="Exercise"/>
    <tableColumn id="2" name="Link"/>
  </tableColumns>
</table>
</file>

<file path=xl/tables/table44.xml><?xml version="1.0" encoding="utf-8"?>
<table xmlns="http://schemas.openxmlformats.org/spreadsheetml/2006/main" id="44" name="Horizontal_Push82" displayName="Horizontal_Push82" ref="B202:C209" headerRowCount="1" totalsRowCount="0" totalsRowShown="0">
  <autoFilter ref="B202:C209"/>
  <tableColumns count="2">
    <tableColumn id="1" name="Exercise"/>
    <tableColumn id="2" name="Link"/>
  </tableColumns>
</table>
</file>

<file path=xl/tables/table45.xml><?xml version="1.0" encoding="utf-8"?>
<table xmlns="http://schemas.openxmlformats.org/spreadsheetml/2006/main" id="45" name="Horizontal_Triceps" displayName="Horizontal_Triceps" ref="B122:C130" headerRowCount="1" totalsRowCount="0" totalsRowShown="0">
  <autoFilter ref="B122:C130"/>
  <tableColumns count="2">
    <tableColumn id="1" name="Exercise"/>
    <tableColumn id="2" name="Link"/>
  </tableColumns>
</table>
</file>

<file path=xl/tables/table46.xml><?xml version="1.0" encoding="utf-8"?>
<table xmlns="http://schemas.openxmlformats.org/spreadsheetml/2006/main" id="46" name="Horizontal_Triceps43" displayName="Horizontal_Triceps43" ref="B124:C132" headerRowCount="1" totalsRowCount="0" totalsRowShown="0">
  <autoFilter ref="B124:C132"/>
  <tableColumns count="2">
    <tableColumn id="1" name="Exercise"/>
    <tableColumn id="2" name="Link"/>
  </tableColumns>
</table>
</file>

<file path=xl/tables/table47.xml><?xml version="1.0" encoding="utf-8"?>
<table xmlns="http://schemas.openxmlformats.org/spreadsheetml/2006/main" id="47" name="Horizontal_Triceps67" displayName="Horizontal_Triceps67" ref="B117:C125" headerRowCount="1" totalsRowCount="0" totalsRowShown="0">
  <autoFilter ref="B117:C125"/>
  <tableColumns count="2">
    <tableColumn id="1" name="Exercise"/>
    <tableColumn id="2" name="Link"/>
  </tableColumns>
</table>
</file>

<file path=xl/tables/table48.xml><?xml version="1.0" encoding="utf-8"?>
<table xmlns="http://schemas.openxmlformats.org/spreadsheetml/2006/main" id="48" name="Horizontal_Triceps91" displayName="Horizontal_Triceps91" ref="B122:C130" headerRowCount="1" totalsRowCount="0" totalsRowShown="0">
  <autoFilter ref="B122:C130"/>
  <tableColumns count="2">
    <tableColumn id="1" name="Exercise"/>
    <tableColumn id="2" name="Link"/>
  </tableColumns>
</table>
</file>

<file path=xl/tables/table49.xml><?xml version="1.0" encoding="utf-8"?>
<table xmlns="http://schemas.openxmlformats.org/spreadsheetml/2006/main" id="49" name="Incline_Push" displayName="Incline_Push" ref="B211:C217" headerRowCount="1" totalsRowCount="0" totalsRowShown="0">
  <autoFilter ref="B211:C217"/>
  <tableColumns count="2">
    <tableColumn id="1" name="Exercise"/>
    <tableColumn id="2" name="Link"/>
  </tableColumns>
</table>
</file>

<file path=xl/tables/table50.xml><?xml version="1.0" encoding="utf-8"?>
<table xmlns="http://schemas.openxmlformats.org/spreadsheetml/2006/main" id="50" name="Incline_Push33" displayName="Incline_Push33" ref="B213:C219" headerRowCount="1" totalsRowCount="0" totalsRowShown="0">
  <autoFilter ref="B213:C219"/>
  <tableColumns count="2">
    <tableColumn id="1" name="Exercise"/>
    <tableColumn id="2" name="Link"/>
  </tableColumns>
</table>
</file>

<file path=xl/tables/table51.xml><?xml version="1.0" encoding="utf-8"?>
<table xmlns="http://schemas.openxmlformats.org/spreadsheetml/2006/main" id="51" name="Incline_Push57" displayName="Incline_Push57" ref="B206:C212" headerRowCount="1" totalsRowCount="0" totalsRowShown="0">
  <autoFilter ref="B206:C212"/>
  <tableColumns count="2">
    <tableColumn id="1" name="Exercise"/>
    <tableColumn id="2" name="Link"/>
  </tableColumns>
</table>
</file>

<file path=xl/tables/table52.xml><?xml version="1.0" encoding="utf-8"?>
<table xmlns="http://schemas.openxmlformats.org/spreadsheetml/2006/main" id="52" name="Incline_Push81" displayName="Incline_Push81" ref="B211:C217" headerRowCount="1" totalsRowCount="0" totalsRowShown="0">
  <autoFilter ref="B211:C217"/>
  <tableColumns count="2">
    <tableColumn id="1" name="Exercise"/>
    <tableColumn id="2" name="Link"/>
  </tableColumns>
</table>
</file>

<file path=xl/tables/table53.xml><?xml version="1.0" encoding="utf-8"?>
<table xmlns="http://schemas.openxmlformats.org/spreadsheetml/2006/main" id="53" name="Incline_Push_or_front_Delts" displayName="Incline_Push_or_front_Delts" ref="B242:C254" headerRowCount="1" totalsRowCount="0" totalsRowShown="0">
  <autoFilter ref="B242:C254"/>
  <tableColumns count="2">
    <tableColumn id="1" name="Exercise"/>
    <tableColumn id="2" name="Link"/>
  </tableColumns>
</table>
</file>

<file path=xl/tables/table54.xml><?xml version="1.0" encoding="utf-8"?>
<table xmlns="http://schemas.openxmlformats.org/spreadsheetml/2006/main" id="54" name="Incline_Push_or_front_Delts30" displayName="Incline_Push_or_front_Delts30" ref="B244:C256" headerRowCount="1" totalsRowCount="0" totalsRowShown="0">
  <autoFilter ref="B244:C256"/>
  <tableColumns count="2">
    <tableColumn id="1" name="Exercise"/>
    <tableColumn id="2" name="Link"/>
  </tableColumns>
</table>
</file>

<file path=xl/tables/table55.xml><?xml version="1.0" encoding="utf-8"?>
<table xmlns="http://schemas.openxmlformats.org/spreadsheetml/2006/main" id="55" name="Incline_Push_or_front_Delts54" displayName="Incline_Push_or_front_Delts54" ref="B237:C249" headerRowCount="1" totalsRowCount="0" totalsRowShown="0">
  <autoFilter ref="B237:C249"/>
  <tableColumns count="2">
    <tableColumn id="1" name="Exercise"/>
    <tableColumn id="2" name="Link"/>
  </tableColumns>
</table>
</file>

<file path=xl/tables/table56.xml><?xml version="1.0" encoding="utf-8"?>
<table xmlns="http://schemas.openxmlformats.org/spreadsheetml/2006/main" id="56" name="Incline_Push_or_front_Delts78" displayName="Incline_Push_or_front_Delts78" ref="B242:C254" headerRowCount="1" totalsRowCount="0" totalsRowShown="0">
  <autoFilter ref="B242:C254"/>
  <tableColumns count="2">
    <tableColumn id="1" name="Exercise"/>
    <tableColumn id="2" name="Link"/>
  </tableColumns>
</table>
</file>

<file path=xl/tables/table57.xml><?xml version="1.0" encoding="utf-8"?>
<table xmlns="http://schemas.openxmlformats.org/spreadsheetml/2006/main" id="57" name="Links" displayName="Links" ref="B312:D482" headerRowCount="1" totalsRowCount="0" totalsRowShown="0">
  <autoFilter ref="B312:D482"/>
  <tableColumns count="3">
    <tableColumn id="1" name="Exercise"/>
    <tableColumn id="2" name="Link"/>
    <tableColumn id="3" name="Category"/>
  </tableColumns>
</table>
</file>

<file path=xl/tables/table58.xml><?xml version="1.0" encoding="utf-8"?>
<table xmlns="http://schemas.openxmlformats.org/spreadsheetml/2006/main" id="58" name="Links49" displayName="Links49" ref="B314:D484" headerRowCount="1" totalsRowCount="0" totalsRowShown="0">
  <autoFilter ref="B314:D484"/>
  <tableColumns count="3">
    <tableColumn id="1" name="Exercise"/>
    <tableColumn id="2" name="Link"/>
    <tableColumn id="3" name="Category"/>
  </tableColumns>
</table>
</file>

<file path=xl/tables/table59.xml><?xml version="1.0" encoding="utf-8"?>
<table xmlns="http://schemas.openxmlformats.org/spreadsheetml/2006/main" id="59" name="Links73" displayName="Links73" ref="B307:D477" headerRowCount="1" totalsRowCount="0" totalsRowShown="0">
  <autoFilter ref="B307:D477"/>
  <tableColumns count="3">
    <tableColumn id="1" name="Exercise"/>
    <tableColumn id="2" name="Link"/>
    <tableColumn id="3" name="Category"/>
  </tableColumns>
</table>
</file>

<file path=xl/tables/table60.xml><?xml version="1.0" encoding="utf-8"?>
<table xmlns="http://schemas.openxmlformats.org/spreadsheetml/2006/main" id="60" name="Links97" displayName="Links97" ref="B312:D482" headerRowCount="1" totalsRowCount="0" totalsRowShown="0">
  <autoFilter ref="B312:D482"/>
  <tableColumns count="3">
    <tableColumn id="1" name="Exercise"/>
    <tableColumn id="2" name="Link"/>
    <tableColumn id="3" name="Category"/>
  </tableColumns>
</table>
</file>

<file path=xl/tables/table61.xml><?xml version="1.0" encoding="utf-8"?>
<table xmlns="http://schemas.openxmlformats.org/spreadsheetml/2006/main" id="61" name="Quads" displayName="Quads" ref="B163:C170" headerRowCount="1" totalsRowCount="0" totalsRowShown="0">
  <autoFilter ref="B163:C170"/>
  <tableColumns count="2">
    <tableColumn id="1" name="Exercise"/>
    <tableColumn id="2" name="Link"/>
  </tableColumns>
</table>
</file>

<file path=xl/tables/table62.xml><?xml version="1.0" encoding="utf-8"?>
<table xmlns="http://schemas.openxmlformats.org/spreadsheetml/2006/main" id="62" name="Quads39" displayName="Quads39" ref="B165:C172" headerRowCount="1" totalsRowCount="0" totalsRowShown="0">
  <autoFilter ref="B165:C172"/>
  <tableColumns count="2">
    <tableColumn id="1" name="Exercise"/>
    <tableColumn id="2" name="Link"/>
  </tableColumns>
</table>
</file>

<file path=xl/tables/table63.xml><?xml version="1.0" encoding="utf-8"?>
<table xmlns="http://schemas.openxmlformats.org/spreadsheetml/2006/main" id="63" name="Quads63" displayName="Quads63" ref="B158:C165" headerRowCount="1" totalsRowCount="0" totalsRowShown="0">
  <autoFilter ref="B158:C165"/>
  <tableColumns count="2">
    <tableColumn id="1" name="Exercise"/>
    <tableColumn id="2" name="Link"/>
  </tableColumns>
</table>
</file>

<file path=xl/tables/table64.xml><?xml version="1.0" encoding="utf-8"?>
<table xmlns="http://schemas.openxmlformats.org/spreadsheetml/2006/main" id="64" name="Quads87" displayName="Quads87" ref="B163:C170" headerRowCount="1" totalsRowCount="0" totalsRowShown="0">
  <autoFilter ref="B163:C170"/>
  <tableColumns count="2">
    <tableColumn id="1" name="Exercise"/>
    <tableColumn id="2" name="Link"/>
  </tableColumns>
</table>
</file>

<file path=xl/tables/table65.xml><?xml version="1.0" encoding="utf-8"?>
<table xmlns="http://schemas.openxmlformats.org/spreadsheetml/2006/main" id="65" name="Rear_Delts" displayName="Rear_Delts" ref="B103:C107" headerRowCount="1" totalsRowCount="0" totalsRowShown="0">
  <autoFilter ref="B103:C107"/>
  <tableColumns count="2">
    <tableColumn id="1" name="Exercise"/>
    <tableColumn id="2" name="Link"/>
  </tableColumns>
</table>
</file>

<file path=xl/tables/table66.xml><?xml version="1.0" encoding="utf-8"?>
<table xmlns="http://schemas.openxmlformats.org/spreadsheetml/2006/main" id="66" name="Rear_Delts46" displayName="Rear_Delts46" ref="B105:C109" headerRowCount="1" totalsRowCount="0" totalsRowShown="0">
  <autoFilter ref="B105:C109"/>
  <tableColumns count="2">
    <tableColumn id="1" name="Exercise"/>
    <tableColumn id="2" name="Link"/>
  </tableColumns>
</table>
</file>

<file path=xl/tables/table67.xml><?xml version="1.0" encoding="utf-8"?>
<table xmlns="http://schemas.openxmlformats.org/spreadsheetml/2006/main" id="67" name="Rear_Delts70" displayName="Rear_Delts70" ref="B98:C102" headerRowCount="1" totalsRowCount="0" totalsRowShown="0">
  <autoFilter ref="B98:C102"/>
  <tableColumns count="2">
    <tableColumn id="1" name="Exercise"/>
    <tableColumn id="2" name="Link"/>
  </tableColumns>
</table>
</file>

<file path=xl/tables/table68.xml><?xml version="1.0" encoding="utf-8"?>
<table xmlns="http://schemas.openxmlformats.org/spreadsheetml/2006/main" id="68" name="Rear_Delts94" displayName="Rear_Delts94" ref="B103:C107" headerRowCount="1" totalsRowCount="0" totalsRowShown="0">
  <autoFilter ref="B103:C107"/>
  <tableColumns count="2">
    <tableColumn id="1" name="Exercise"/>
    <tableColumn id="2" name="Link"/>
  </tableColumns>
</table>
</file>

<file path=xl/tables/table69.xml><?xml version="1.0" encoding="utf-8"?>
<table xmlns="http://schemas.openxmlformats.org/spreadsheetml/2006/main" id="69" name="Rear_or_Side_Delts" displayName="Rear_or_Side_Delts" ref="B277:C286" headerRowCount="1" totalsRowCount="0" totalsRowShown="0">
  <autoFilter ref="B277:C286"/>
  <tableColumns count="2">
    <tableColumn id="1" name="Exercise"/>
    <tableColumn id="2" name="Link"/>
  </tableColumns>
</table>
</file>

<file path=xl/tables/table70.xml><?xml version="1.0" encoding="utf-8"?>
<table xmlns="http://schemas.openxmlformats.org/spreadsheetml/2006/main" id="70" name="Rear_or_Side_Delts27" displayName="Rear_or_Side_Delts27" ref="B279:C288" headerRowCount="1" totalsRowCount="0" totalsRowShown="0">
  <autoFilter ref="B279:C288"/>
  <tableColumns count="2">
    <tableColumn id="1" name="Exercise"/>
    <tableColumn id="2" name="Link"/>
  </tableColumns>
</table>
</file>

<file path=xl/tables/table71.xml><?xml version="1.0" encoding="utf-8"?>
<table xmlns="http://schemas.openxmlformats.org/spreadsheetml/2006/main" id="71" name="Rear_or_Side_Delts51" displayName="Rear_or_Side_Delts51" ref="B272:C281" headerRowCount="1" totalsRowCount="0" totalsRowShown="0">
  <autoFilter ref="B272:C281"/>
  <tableColumns count="2">
    <tableColumn id="1" name="Exercise"/>
    <tableColumn id="2" name="Link"/>
  </tableColumns>
</table>
</file>

<file path=xl/tables/table72.xml><?xml version="1.0" encoding="utf-8"?>
<table xmlns="http://schemas.openxmlformats.org/spreadsheetml/2006/main" id="72" name="Rear_or_Side_Delts75" displayName="Rear_or_Side_Delts75" ref="B277:C286" headerRowCount="1" totalsRowCount="0" totalsRowShown="0">
  <autoFilter ref="B277:C286"/>
  <tableColumns count="2">
    <tableColumn id="1" name="Exercise"/>
    <tableColumn id="2" name="Link"/>
  </tableColumns>
</table>
</file>

<file path=xl/tables/table73.xml><?xml version="1.0" encoding="utf-8"?>
<table xmlns="http://schemas.openxmlformats.org/spreadsheetml/2006/main" id="73" name="Side_Delts" displayName="Side_Delts" ref="B109:C114" headerRowCount="1" totalsRowCount="0" totalsRowShown="0">
  <autoFilter ref="B109:C114"/>
  <tableColumns count="2">
    <tableColumn id="1" name="Exercise"/>
    <tableColumn id="2" name="Link"/>
  </tableColumns>
</table>
</file>

<file path=xl/tables/table74.xml><?xml version="1.0" encoding="utf-8"?>
<table xmlns="http://schemas.openxmlformats.org/spreadsheetml/2006/main" id="74" name="Side_Delts45" displayName="Side_Delts45" ref="B111:C116" headerRowCount="1" totalsRowCount="0" totalsRowShown="0">
  <autoFilter ref="B111:C116"/>
  <tableColumns count="2">
    <tableColumn id="1" name="Exercise"/>
    <tableColumn id="2" name="Link"/>
  </tableColumns>
</table>
</file>

<file path=xl/tables/table75.xml><?xml version="1.0" encoding="utf-8"?>
<table xmlns="http://schemas.openxmlformats.org/spreadsheetml/2006/main" id="75" name="Side_Delts69" displayName="Side_Delts69" ref="B104:C109" headerRowCount="1" totalsRowCount="0" totalsRowShown="0">
  <autoFilter ref="B104:C109"/>
  <tableColumns count="2">
    <tableColumn id="1" name="Exercise"/>
    <tableColumn id="2" name="Link"/>
  </tableColumns>
</table>
</file>

<file path=xl/tables/table76.xml><?xml version="1.0" encoding="utf-8"?>
<table xmlns="http://schemas.openxmlformats.org/spreadsheetml/2006/main" id="76" name="Side_Delts93" displayName="Side_Delts93" ref="B109:C114" headerRowCount="1" totalsRowCount="0" totalsRowShown="0">
  <autoFilter ref="B109:C114"/>
  <tableColumns count="2">
    <tableColumn id="1" name="Exercise"/>
    <tableColumn id="2" name="Link"/>
  </tableColumns>
</table>
</file>

<file path=xl/tables/table77.xml><?xml version="1.0" encoding="utf-8"?>
<table xmlns="http://schemas.openxmlformats.org/spreadsheetml/2006/main" id="77" name="Table_Name" displayName="Table_Name" ref="B288:E310" headerRowCount="1" totalsRowCount="0" totalsRowShown="0">
  <autoFilter ref="B288:E310"/>
  <tableColumns count="4">
    <tableColumn id="1" name="Category"/>
    <tableColumn id="2" name="Table name"/>
    <tableColumn id="3" name="Name List"/>
    <tableColumn id="4" name="Link List"/>
  </tableColumns>
</table>
</file>

<file path=xl/tables/table78.xml><?xml version="1.0" encoding="utf-8"?>
<table xmlns="http://schemas.openxmlformats.org/spreadsheetml/2006/main" id="78" name="Table_Name28" displayName="Table_Name28" ref="B290:E312" headerRowCount="1" totalsRowCount="0" totalsRowShown="0">
  <autoFilter ref="B290:E312"/>
  <tableColumns count="4">
    <tableColumn id="1" name="Category"/>
    <tableColumn id="2" name="Table name"/>
    <tableColumn id="3" name="Name List"/>
    <tableColumn id="4" name="Link List"/>
  </tableColumns>
</table>
</file>

<file path=xl/tables/table79.xml><?xml version="1.0" encoding="utf-8"?>
<table xmlns="http://schemas.openxmlformats.org/spreadsheetml/2006/main" id="79" name="Table_Name52" displayName="Table_Name52" ref="B283:E305" headerRowCount="1" totalsRowCount="0" totalsRowShown="0">
  <autoFilter ref="B283:E305"/>
  <tableColumns count="4">
    <tableColumn id="1" name="Category"/>
    <tableColumn id="2" name="Table name"/>
    <tableColumn id="3" name="Name List"/>
    <tableColumn id="4" name="Link List"/>
  </tableColumns>
</table>
</file>

<file path=xl/tables/table80.xml><?xml version="1.0" encoding="utf-8"?>
<table xmlns="http://schemas.openxmlformats.org/spreadsheetml/2006/main" id="80" name="Table_Name76" displayName="Table_Name76" ref="B288:E310" headerRowCount="1" totalsRowCount="0" totalsRowShown="0">
  <autoFilter ref="B288:E310"/>
  <tableColumns count="4">
    <tableColumn id="1" name="Category"/>
    <tableColumn id="2" name="Table name"/>
    <tableColumn id="3" name="Name List"/>
    <tableColumn id="4" name="Link List"/>
  </tableColumns>
</table>
</file>

<file path=xl/tables/table81.xml><?xml version="1.0" encoding="utf-8"?>
<table xmlns="http://schemas.openxmlformats.org/spreadsheetml/2006/main" id="81" name="Traps" displayName="Traps" ref="B116:C120" headerRowCount="1" totalsRowCount="0" totalsRowShown="0">
  <autoFilter ref="B116:C120"/>
  <tableColumns count="2">
    <tableColumn id="1" name="Exercise"/>
    <tableColumn id="2" name="Link"/>
  </tableColumns>
</table>
</file>

<file path=xl/tables/table82.xml><?xml version="1.0" encoding="utf-8"?>
<table xmlns="http://schemas.openxmlformats.org/spreadsheetml/2006/main" id="82" name="Traps44" displayName="Traps44" ref="B118:C122" headerRowCount="1" totalsRowCount="0" totalsRowShown="0">
  <autoFilter ref="B118:C122"/>
  <tableColumns count="2">
    <tableColumn id="1" name="Exercise"/>
    <tableColumn id="2" name="Link"/>
  </tableColumns>
</table>
</file>

<file path=xl/tables/table83.xml><?xml version="1.0" encoding="utf-8"?>
<table xmlns="http://schemas.openxmlformats.org/spreadsheetml/2006/main" id="83" name="Traps68" displayName="Traps68" ref="B111:C115" headerRowCount="1" totalsRowCount="0" totalsRowShown="0">
  <autoFilter ref="B111:C115"/>
  <tableColumns count="2">
    <tableColumn id="1" name="Exercise"/>
    <tableColumn id="2" name="Link"/>
  </tableColumns>
</table>
</file>

<file path=xl/tables/table84.xml><?xml version="1.0" encoding="utf-8"?>
<table xmlns="http://schemas.openxmlformats.org/spreadsheetml/2006/main" id="84" name="Traps92" displayName="Traps92" ref="B116:C120" headerRowCount="1" totalsRowCount="0" totalsRowShown="0">
  <autoFilter ref="B116:C120"/>
  <tableColumns count="2">
    <tableColumn id="1" name="Exercise"/>
    <tableColumn id="2" name="Link"/>
  </tableColumns>
</table>
</file>

<file path=xl/tables/table85.xml><?xml version="1.0" encoding="utf-8"?>
<table xmlns="http://schemas.openxmlformats.org/spreadsheetml/2006/main" id="85" name="Triceps" displayName="Triceps" ref="B228:C241" headerRowCount="1" totalsRowCount="0" totalsRowShown="0">
  <autoFilter ref="B228:C241"/>
  <tableColumns count="2">
    <tableColumn id="1" name="Exercise"/>
    <tableColumn id="2" name="Link"/>
  </tableColumns>
</table>
</file>

<file path=xl/tables/table86.xml><?xml version="1.0" encoding="utf-8"?>
<table xmlns="http://schemas.openxmlformats.org/spreadsheetml/2006/main" id="86" name="Triceps31" displayName="Triceps31" ref="B230:C243" headerRowCount="1" totalsRowCount="0" totalsRowShown="0">
  <autoFilter ref="B230:C243"/>
  <tableColumns count="2">
    <tableColumn id="1" name="Exercise"/>
    <tableColumn id="2" name="Link"/>
  </tableColumns>
</table>
</file>

<file path=xl/tables/table87.xml><?xml version="1.0" encoding="utf-8"?>
<table xmlns="http://schemas.openxmlformats.org/spreadsheetml/2006/main" id="87" name="Triceps55" displayName="Triceps55" ref="B223:C236" headerRowCount="1" totalsRowCount="0" totalsRowShown="0">
  <autoFilter ref="B223:C236"/>
  <tableColumns count="2">
    <tableColumn id="1" name="Exercise"/>
    <tableColumn id="2" name="Link"/>
  </tableColumns>
</table>
</file>

<file path=xl/tables/table88.xml><?xml version="1.0" encoding="utf-8"?>
<table xmlns="http://schemas.openxmlformats.org/spreadsheetml/2006/main" id="88" name="Triceps79" displayName="Triceps79" ref="B228:C241" headerRowCount="1" totalsRowCount="0" totalsRowShown="0">
  <autoFilter ref="B228:C241"/>
  <tableColumns count="2">
    <tableColumn id="1" name="Exercise"/>
    <tableColumn id="2" name="Link"/>
  </tableColumns>
</table>
</file>

<file path=xl/tables/table89.xml><?xml version="1.0" encoding="utf-8"?>
<table xmlns="http://schemas.openxmlformats.org/spreadsheetml/2006/main" id="89" name="Vertical_Back" displayName="Vertical_Back" ref="B149:C161" headerRowCount="1" totalsRowCount="0" totalsRowShown="0">
  <autoFilter ref="B149:C161"/>
  <tableColumns count="2">
    <tableColumn id="1" name="Exercise"/>
    <tableColumn id="2" name="Link"/>
  </tableColumns>
</table>
</file>

<file path=xl/tables/table90.xml><?xml version="1.0" encoding="utf-8"?>
<table xmlns="http://schemas.openxmlformats.org/spreadsheetml/2006/main" id="90" name="Vertical_Back40" displayName="Vertical_Back40" ref="B151:C163" headerRowCount="1" totalsRowCount="0" totalsRowShown="0">
  <autoFilter ref="B151:C163"/>
  <tableColumns count="2">
    <tableColumn id="1" name="Exercise"/>
    <tableColumn id="2" name="Link"/>
  </tableColumns>
</table>
</file>

<file path=xl/tables/table91.xml><?xml version="1.0" encoding="utf-8"?>
<table xmlns="http://schemas.openxmlformats.org/spreadsheetml/2006/main" id="91" name="Vertical_Back64" displayName="Vertical_Back64" ref="B144:C156" headerRowCount="1" totalsRowCount="0" totalsRowShown="0">
  <autoFilter ref="B144:C156"/>
  <tableColumns count="2">
    <tableColumn id="1" name="Exercise"/>
    <tableColumn id="2" name="Link"/>
  </tableColumns>
</table>
</file>

<file path=xl/tables/table92.xml><?xml version="1.0" encoding="utf-8"?>
<table xmlns="http://schemas.openxmlformats.org/spreadsheetml/2006/main" id="92" name="Vertical_Back88" displayName="Vertical_Back88" ref="B149:C161" headerRowCount="1" totalsRowCount="0" totalsRowShown="0">
  <autoFilter ref="B149:C161"/>
  <tableColumns count="2">
    <tableColumn id="1" name="Exercise"/>
    <tableColumn id="2" name="Link"/>
  </tableColumns>
</table>
</file>

<file path=xl/tables/table93.xml><?xml version="1.0" encoding="utf-8"?>
<table xmlns="http://schemas.openxmlformats.org/spreadsheetml/2006/main" id="93" name="Vertical_Triceps" displayName="Vertical_Triceps" ref="B132:C137" headerRowCount="1" totalsRowCount="0" totalsRowShown="0">
  <autoFilter ref="B132:C137"/>
  <tableColumns count="2">
    <tableColumn id="1" name="Exercise"/>
    <tableColumn id="2" name="Link"/>
  </tableColumns>
</table>
</file>

<file path=xl/tables/table94.xml><?xml version="1.0" encoding="utf-8"?>
<table xmlns="http://schemas.openxmlformats.org/spreadsheetml/2006/main" id="94" name="Vertical_Triceps42" displayName="Vertical_Triceps42" ref="B134:C139" headerRowCount="1" totalsRowCount="0" totalsRowShown="0">
  <autoFilter ref="B134:C139"/>
  <tableColumns count="2">
    <tableColumn id="1" name="Exercise"/>
    <tableColumn id="2" name="Link"/>
  </tableColumns>
</table>
</file>

<file path=xl/tables/table95.xml><?xml version="1.0" encoding="utf-8"?>
<table xmlns="http://schemas.openxmlformats.org/spreadsheetml/2006/main" id="95" name="Vertical_Triceps66" displayName="Vertical_Triceps66" ref="B127:C132" headerRowCount="1" totalsRowCount="0" totalsRowShown="0">
  <autoFilter ref="B127:C132"/>
  <tableColumns count="2">
    <tableColumn id="1" name="Exercise"/>
    <tableColumn id="2" name="Link"/>
  </tableColumns>
</table>
</file>

<file path=xl/tables/table96.xml><?xml version="1.0" encoding="utf-8"?>
<table xmlns="http://schemas.openxmlformats.org/spreadsheetml/2006/main" id="96" name="Vertical_Triceps90" displayName="Vertical_Triceps90" ref="B132:C137" headerRowCount="1" totalsRowCount="0" totalsRowShown="0">
  <autoFilter ref="B132:C137"/>
  <tableColumns count="2">
    <tableColumn id="1" name="Exercise"/>
    <tableColumn id="2" name="Link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GWeVF2aVk8g" TargetMode="External"/><Relationship Id="rId2" Type="http://schemas.openxmlformats.org/officeDocument/2006/relationships/hyperlink" Target="https://youtu.be/JYiWXFIikW4" TargetMode="External"/><Relationship Id="rId3" Type="http://schemas.openxmlformats.org/officeDocument/2006/relationships/hyperlink" Target="https://youtu.be/ENaZCLrz8_c" TargetMode="External"/><Relationship Id="rId4" Type="http://schemas.openxmlformats.org/officeDocument/2006/relationships/hyperlink" Target="https://youtu.be/vz97voWk3jU" TargetMode="External"/><Relationship Id="rId5" Type="http://schemas.openxmlformats.org/officeDocument/2006/relationships/hyperlink" Target="https://youtu.be/sPIBL43Ds48" TargetMode="External"/><Relationship Id="rId6" Type="http://schemas.openxmlformats.org/officeDocument/2006/relationships/hyperlink" Target="https://youtu.be/sPIBL43Ds48" TargetMode="External"/><Relationship Id="rId7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5p-vP_XyNaA" TargetMode="External"/><Relationship Id="rId9" Type="http://schemas.openxmlformats.org/officeDocument/2006/relationships/hyperlink" Target="https://youtu.be/wrPN51LyOUE" TargetMode="External"/><Relationship Id="rId10" Type="http://schemas.openxmlformats.org/officeDocument/2006/relationships/hyperlink" Target="https://youtu.be/mucRuC4sEjQ" TargetMode="External"/><Relationship Id="rId11" Type="http://schemas.openxmlformats.org/officeDocument/2006/relationships/hyperlink" Target="https://youtu.be/oRRs1bGzimM" TargetMode="External"/><Relationship Id="rId12" Type="http://schemas.openxmlformats.org/officeDocument/2006/relationships/hyperlink" Target="https://youtu.be/IkrC1u5e-RQ" TargetMode="External"/><Relationship Id="rId13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MCjBeB844rU" TargetMode="External"/><Relationship Id="rId15" Type="http://schemas.openxmlformats.org/officeDocument/2006/relationships/hyperlink" Target="https://youtu.be/GztM7atVgd8" TargetMode="External"/><Relationship Id="rId16" Type="http://schemas.openxmlformats.org/officeDocument/2006/relationships/hyperlink" Target="https://youtu.be/yYB76DOBPsM" TargetMode="External"/><Relationship Id="rId17" Type="http://schemas.openxmlformats.org/officeDocument/2006/relationships/hyperlink" Target="https://youtu.be/nW7w5vG6IIc" TargetMode="External"/><Relationship Id="rId18" Type="http://schemas.openxmlformats.org/officeDocument/2006/relationships/hyperlink" Target="https://youtu.be/2jsTYbOkx1U" TargetMode="External"/><Relationship Id="rId19" Type="http://schemas.openxmlformats.org/officeDocument/2006/relationships/hyperlink" Target="https://youtu.be/DcRJ3bLJuVw" TargetMode="External"/><Relationship Id="rId20" Type="http://schemas.openxmlformats.org/officeDocument/2006/relationships/hyperlink" Target="https://youtu.be/xsOm9xn83-8" TargetMode="External"/><Relationship Id="rId21" Type="http://schemas.openxmlformats.org/officeDocument/2006/relationships/hyperlink" Target="https://youtu.be/y_GK6fn7raU" TargetMode="External"/><Relationship Id="rId22" Type="http://schemas.openxmlformats.org/officeDocument/2006/relationships/hyperlink" Target="https://youtu.be/y_GK6fn7raU" TargetMode="External"/><Relationship Id="rId23" Type="http://schemas.openxmlformats.org/officeDocument/2006/relationships/hyperlink" Target="https://youtu.be/S97e09rLmEU" TargetMode="External"/><Relationship Id="rId24" Type="http://schemas.openxmlformats.org/officeDocument/2006/relationships/hyperlink" Target="https://youtu.be/sR_EdrSruyQ" TargetMode="External"/><Relationship Id="rId25" Type="http://schemas.openxmlformats.org/officeDocument/2006/relationships/hyperlink" Target="https://youtu.be/BvX7g1yr1pY" TargetMode="External"/><Relationship Id="rId26" Type="http://schemas.openxmlformats.org/officeDocument/2006/relationships/hyperlink" Target="https://youtu.be/d90AskSQcDc" TargetMode="External"/><Relationship Id="rId27" Type="http://schemas.openxmlformats.org/officeDocument/2006/relationships/hyperlink" Target="https://youtu.be/Ana4dJbCvxE" TargetMode="External"/><Relationship Id="rId28" Type="http://schemas.openxmlformats.org/officeDocument/2006/relationships/hyperlink" Target="https://youtu.be/c32OxRaEhxM" TargetMode="External"/><Relationship Id="rId29" Type="http://schemas.openxmlformats.org/officeDocument/2006/relationships/hyperlink" Target="https://youtu.be/fbFISuP7Ezk" TargetMode="External"/><Relationship Id="rId30" Type="http://schemas.openxmlformats.org/officeDocument/2006/relationships/hyperlink" Target="https://youtu.be/KkpCTyjGlZo" TargetMode="External"/><Relationship Id="rId31" Type="http://schemas.openxmlformats.org/officeDocument/2006/relationships/hyperlink" Target="https://youtu.be/FoZM6vuuKBc" TargetMode="External"/><Relationship Id="rId32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7P2LTF73EOM" TargetMode="External"/><Relationship Id="rId34" Type="http://schemas.openxmlformats.org/officeDocument/2006/relationships/hyperlink" Target="https://youtu.be/hR8aOS5LZjU" TargetMode="External"/><Relationship Id="rId35" Type="http://schemas.openxmlformats.org/officeDocument/2006/relationships/hyperlink" Target="https://youtu.be/6DiJh6_jeoo" TargetMode="External"/><Relationship Id="rId36" Type="http://schemas.openxmlformats.org/officeDocument/2006/relationships/hyperlink" Target="https://youtu.be/z3yCDRGrQTM" TargetMode="External"/><Relationship Id="rId37" Type="http://schemas.openxmlformats.org/officeDocument/2006/relationships/hyperlink" Target="https://youtu.be/S3NIBLmlKaU" TargetMode="External"/><Relationship Id="rId38" Type="http://schemas.openxmlformats.org/officeDocument/2006/relationships/hyperlink" Target="https://youtu.be/hJLXuvZd05w" TargetMode="External"/><Relationship Id="rId39" Type="http://schemas.openxmlformats.org/officeDocument/2006/relationships/hyperlink" Target="https://youtu.be/daSL236nYZs" TargetMode="External"/><Relationship Id="rId40" Type="http://schemas.openxmlformats.org/officeDocument/2006/relationships/hyperlink" Target="https://youtu.be/B48xWtzMHxk" TargetMode="External"/><Relationship Id="rId41" Type="http://schemas.openxmlformats.org/officeDocument/2006/relationships/hyperlink" Target="https://youtu.be/a5_JKN7j7Ug" TargetMode="External"/><Relationship Id="rId42" Type="http://schemas.openxmlformats.org/officeDocument/2006/relationships/hyperlink" Target="https://youtu.be/TtXlapucVxM" TargetMode="External"/><Relationship Id="rId43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tu2Q82-HMg0" TargetMode="External"/><Relationship Id="rId45" Type="http://schemas.openxmlformats.org/officeDocument/2006/relationships/hyperlink" Target="https://youtu.be/gYbmiluG5Ho" TargetMode="External"/><Relationship Id="rId46" Type="http://schemas.openxmlformats.org/officeDocument/2006/relationships/hyperlink" Target="https://youtu.be/U3SkMY6jw5M" TargetMode="External"/><Relationship Id="rId47" Type="http://schemas.openxmlformats.org/officeDocument/2006/relationships/hyperlink" Target="https://youtu.be/He-GN_4MAY4" TargetMode="External"/><Relationship Id="rId4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aNzU6AYZiEs" TargetMode="External"/><Relationship Id="rId50" Type="http://schemas.openxmlformats.org/officeDocument/2006/relationships/hyperlink" Target="https://youtu.be/B21LHpkamJM" TargetMode="External"/><Relationship Id="rId51" Type="http://schemas.openxmlformats.org/officeDocument/2006/relationships/hyperlink" Target="https://youtu.be/o2qSVwxiFk4" TargetMode="External"/><Relationship Id="rId52" Type="http://schemas.openxmlformats.org/officeDocument/2006/relationships/hyperlink" Target="https://youtu.be/ROIrNQJBKZ0" TargetMode="External"/><Relationship Id="rId53" Type="http://schemas.openxmlformats.org/officeDocument/2006/relationships/hyperlink" Target="https://youtu.be/tRT-cLlXJZ0" TargetMode="External"/><Relationship Id="rId54" Type="http://schemas.openxmlformats.org/officeDocument/2006/relationships/hyperlink" Target="https://youtu.be/Wdv_3ojsPhU" TargetMode="External"/><Relationship Id="rId55" Type="http://schemas.openxmlformats.org/officeDocument/2006/relationships/hyperlink" Target="https://youtu.be/4Idz7uwm3OU" TargetMode="External"/><Relationship Id="rId56" Type="http://schemas.openxmlformats.org/officeDocument/2006/relationships/hyperlink" Target="https://youtu.be/J44yAQ_LXXU" TargetMode="External"/><Relationship Id="rId57" Type="http://schemas.openxmlformats.org/officeDocument/2006/relationships/hyperlink" Target="https://youtu.be/o1yPuXatVRs" TargetMode="External"/><Relationship Id="rId58" Type="http://schemas.openxmlformats.org/officeDocument/2006/relationships/hyperlink" Target="https://youtu.be/y47HOtqxZkg" TargetMode="External"/><Relationship Id="rId59" Type="http://schemas.openxmlformats.org/officeDocument/2006/relationships/hyperlink" Target="https://youtu.be/NF4nbNsqreQ" TargetMode="External"/><Relationship Id="rId60" Type="http://schemas.openxmlformats.org/officeDocument/2006/relationships/hyperlink" Target="https://youtu.be/lFyDmuDjRts" TargetMode="External"/><Relationship Id="rId61" Type="http://schemas.openxmlformats.org/officeDocument/2006/relationships/hyperlink" Target="https://youtu.be/SmRa30Jci54" TargetMode="External"/><Relationship Id="rId6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ghHW6sETs-I" TargetMode="External"/><Relationship Id="rId64" Type="http://schemas.openxmlformats.org/officeDocument/2006/relationships/hyperlink" Target="https://youtu.be/UNo4yBbidG4" TargetMode="External"/><Relationship Id="rId65" Type="http://schemas.openxmlformats.org/officeDocument/2006/relationships/hyperlink" Target="https://youtu.be/UNo4yBbidG4" TargetMode="External"/><Relationship Id="rId66" Type="http://schemas.openxmlformats.org/officeDocument/2006/relationships/hyperlink" Target="https://youtu.be/2PC8eYTte5w" TargetMode="External"/><Relationship Id="rId67" Type="http://schemas.openxmlformats.org/officeDocument/2006/relationships/hyperlink" Target="https://youtu.be/2PC8eYTte5w" TargetMode="External"/><Relationship Id="rId6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uMjeHo2_EwM" TargetMode="External"/><Relationship Id="rId70" Type="http://schemas.openxmlformats.org/officeDocument/2006/relationships/hyperlink" Target="https://youtu.be/uMjeHo2_EwM" TargetMode="External"/><Relationship Id="rId71" Type="http://schemas.openxmlformats.org/officeDocument/2006/relationships/hyperlink" Target="https://youtu.be/bxfHw1LvH24" TargetMode="External"/><Relationship Id="rId72" Type="http://schemas.openxmlformats.org/officeDocument/2006/relationships/hyperlink" Target="https://youtu.be/bxfHw1LvH24" TargetMode="External"/><Relationship Id="rId73" Type="http://schemas.openxmlformats.org/officeDocument/2006/relationships/hyperlink" Target="https://youtu.be/xyoFXl-k644" TargetMode="External"/><Relationship Id="rId74" Type="http://schemas.openxmlformats.org/officeDocument/2006/relationships/hyperlink" Target="https://youtu.be/QzjjwxZOVdE" TargetMode="External"/><Relationship Id="rId75" Type="http://schemas.openxmlformats.org/officeDocument/2006/relationships/hyperlink" Target="https://youtu.be/QzjjwxZOVdE" TargetMode="External"/><Relationship Id="rId76" Type="http://schemas.openxmlformats.org/officeDocument/2006/relationships/hyperlink" Target="https://youtu.be/2-o_-HTPhv8" TargetMode="External"/><Relationship Id="rId77" Type="http://schemas.openxmlformats.org/officeDocument/2006/relationships/hyperlink" Target="https://youtu.be/ppluAD4MHK8" TargetMode="External"/><Relationship Id="rId78" Type="http://schemas.openxmlformats.org/officeDocument/2006/relationships/hyperlink" Target="https://youtu.be/SYji94GabJg" TargetMode="External"/><Relationship Id="rId79" Type="http://schemas.openxmlformats.org/officeDocument/2006/relationships/hyperlink" Target="https://youtu.be/mJSsWpuyiCM" TargetMode="External"/><Relationship Id="rId80" Type="http://schemas.openxmlformats.org/officeDocument/2006/relationships/hyperlink" Target="https://youtu.be/SOyO4LHjhX4" TargetMode="External"/><Relationship Id="rId81" Type="http://schemas.openxmlformats.org/officeDocument/2006/relationships/hyperlink" Target="https://youtu.be/lNYA35p8XJQ" TargetMode="External"/><Relationship Id="rId82" Type="http://schemas.openxmlformats.org/officeDocument/2006/relationships/hyperlink" Target="https://youtu.be/uFEPuNtHoOU" TargetMode="External"/><Relationship Id="rId83" Type="http://schemas.openxmlformats.org/officeDocument/2006/relationships/hyperlink" Target="https://youtu.be/vNgwqFsVstY" TargetMode="External"/><Relationship Id="rId84" Type="http://schemas.openxmlformats.org/officeDocument/2006/relationships/hyperlink" Target="https://youtu.be/LRgZFHceZGo" TargetMode="External"/><Relationship Id="rId85" Type="http://schemas.openxmlformats.org/officeDocument/2006/relationships/hyperlink" Target="https://youtu.be/wjw-4R5VR20" TargetMode="External"/><Relationship Id="rId86" Type="http://schemas.openxmlformats.org/officeDocument/2006/relationships/hyperlink" Target="https://youtu.be/WWS1rPFPyiQ" TargetMode="External"/><Relationship Id="rId87" Type="http://schemas.openxmlformats.org/officeDocument/2006/relationships/hyperlink" Target="https://youtu.be/7If7L0lAur8" TargetMode="External"/><Relationship Id="rId88" Type="http://schemas.openxmlformats.org/officeDocument/2006/relationships/hyperlink" Target="https://youtu.be/xp1IeyTOB4U" TargetMode="External"/><Relationship Id="rId89" Type="http://schemas.openxmlformats.org/officeDocument/2006/relationships/hyperlink" Target="https://youtu.be/euEPxA3gsDo" TargetMode="External"/><Relationship Id="rId90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zbYgjREbdb0" TargetMode="External"/><Relationship Id="rId9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hzHJugCcT6g" TargetMode="External"/><Relationship Id="rId94" Type="http://schemas.openxmlformats.org/officeDocument/2006/relationships/hyperlink" Target="https://youtu.be/OMUGU1Vh8Ao" TargetMode="External"/><Relationship Id="rId95" Type="http://schemas.openxmlformats.org/officeDocument/2006/relationships/hyperlink" Target="https://youtu.be/m4KB9-Uo4Kc" TargetMode="External"/><Relationship Id="rId9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SMln-yOUKSA" TargetMode="External"/><Relationship Id="rId98" Type="http://schemas.openxmlformats.org/officeDocument/2006/relationships/hyperlink" Target="https://youtu.be/t2Kk-TOhq14" TargetMode="External"/><Relationship Id="rId99" Type="http://schemas.openxmlformats.org/officeDocument/2006/relationships/hyperlink" Target="https://youtu.be/_GBEHrc_V5U" TargetMode="External"/><Relationship Id="rId100" Type="http://schemas.openxmlformats.org/officeDocument/2006/relationships/hyperlink" Target="https://youtu.be/60Ai9_c60xg" TargetMode="External"/><Relationship Id="rId101" Type="http://schemas.openxmlformats.org/officeDocument/2006/relationships/hyperlink" Target="https://youtu.be/ipoTKasbDyQ" TargetMode="External"/><Relationship Id="rId102" Type="http://schemas.openxmlformats.org/officeDocument/2006/relationships/hyperlink" Target="https://youtu.be/6L7xI3jO_GU" TargetMode="External"/><Relationship Id="rId103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ZYM1mNayaeI" TargetMode="External"/><Relationship Id="rId105" Type="http://schemas.openxmlformats.org/officeDocument/2006/relationships/hyperlink" Target="https://youtu.be/Dl-by6_vATQ" TargetMode="External"/><Relationship Id="rId106" Type="http://schemas.openxmlformats.org/officeDocument/2006/relationships/hyperlink" Target="https://youtu.be/ILToidt_G0U" TargetMode="External"/><Relationship Id="rId107" Type="http://schemas.openxmlformats.org/officeDocument/2006/relationships/hyperlink" Target="https://youtu.be/20_pP7oaH34" TargetMode="External"/><Relationship Id="rId108" Type="http://schemas.openxmlformats.org/officeDocument/2006/relationships/hyperlink" Target="https://youtu.be/3s_QUA4HcxI" TargetMode="External"/><Relationship Id="rId109" Type="http://schemas.openxmlformats.org/officeDocument/2006/relationships/hyperlink" Target="https://youtu.be/cg4tsxQ1BP4" TargetMode="External"/><Relationship Id="rId110" Type="http://schemas.openxmlformats.org/officeDocument/2006/relationships/hyperlink" Target="https://youtu.be/TM_PeJIdQwE" TargetMode="External"/><Relationship Id="rId111" Type="http://schemas.openxmlformats.org/officeDocument/2006/relationships/hyperlink" Target="https://youtu.be/PFtO-p5VLO0" TargetMode="External"/><Relationship Id="rId112" Type="http://schemas.openxmlformats.org/officeDocument/2006/relationships/hyperlink" Target="https://youtu.be/zWRCV_td3I8" TargetMode="External"/><Relationship Id="rId113" Type="http://schemas.openxmlformats.org/officeDocument/2006/relationships/hyperlink" Target="https://youtu.be/zWRCV_td3I8" TargetMode="External"/><Relationship Id="rId114" Type="http://schemas.openxmlformats.org/officeDocument/2006/relationships/hyperlink" Target="https://youtu.be/MDuOnEyof1w" TargetMode="External"/><Relationship Id="rId115" Type="http://schemas.openxmlformats.org/officeDocument/2006/relationships/hyperlink" Target="https://youtu.be/efDlxayx234" TargetMode="External"/><Relationship Id="rId116" Type="http://schemas.openxmlformats.org/officeDocument/2006/relationships/hyperlink" Target="https://youtu.be/LYZDsNv8kJ8" TargetMode="External"/><Relationship Id="rId117" Type="http://schemas.openxmlformats.org/officeDocument/2006/relationships/hyperlink" Target="https://youtu.be/2JIPv1E5a0I" TargetMode="External"/><Relationship Id="rId118" Type="http://schemas.openxmlformats.org/officeDocument/2006/relationships/hyperlink" Target="https://youtu.be/eaI0E6ZcwM4" TargetMode="External"/><Relationship Id="rId119" Type="http://schemas.openxmlformats.org/officeDocument/2006/relationships/hyperlink" Target="https://youtu.be/n9RZ6FEthGU" TargetMode="External"/><Relationship Id="rId120" Type="http://schemas.openxmlformats.org/officeDocument/2006/relationships/hyperlink" Target="https://youtu.be/dF9Pm_-2zmg" TargetMode="External"/><Relationship Id="rId121" Type="http://schemas.openxmlformats.org/officeDocument/2006/relationships/hyperlink" Target="https://youtu.be/RGFdTZznnRs" TargetMode="External"/><Relationship Id="rId122" Type="http://schemas.openxmlformats.org/officeDocument/2006/relationships/hyperlink" Target="https://youtu.be/YIqmLutlM1g" TargetMode="External"/><Relationship Id="rId123" Type="http://schemas.openxmlformats.org/officeDocument/2006/relationships/hyperlink" Target="https://youtu.be/W6kJbZeFssU" TargetMode="External"/><Relationship Id="rId124" Type="http://schemas.openxmlformats.org/officeDocument/2006/relationships/hyperlink" Target="https://youtu.be/Ax_6UXGQo7o" TargetMode="External"/><Relationship Id="rId125" Type="http://schemas.openxmlformats.org/officeDocument/2006/relationships/hyperlink" Target="https://youtu.be/hJLXuvZd05w" TargetMode="External"/><Relationship Id="rId126" Type="http://schemas.openxmlformats.org/officeDocument/2006/relationships/hyperlink" Target="https://youtu.be/U3SkMY6jw5M" TargetMode="External"/><Relationship Id="rId127" Type="http://schemas.openxmlformats.org/officeDocument/2006/relationships/hyperlink" Target="https://youtu.be/daSL236nYZs" TargetMode="External"/><Relationship Id="rId128" Type="http://schemas.openxmlformats.org/officeDocument/2006/relationships/hyperlink" Target="https://youtu.be/He-GN_4MAY4" TargetMode="External"/><Relationship Id="rId129" Type="http://schemas.openxmlformats.org/officeDocument/2006/relationships/hyperlink" Target="https://youtu.be/B48xWtzMHxk" TargetMode="External"/><Relationship Id="rId130" Type="http://schemas.openxmlformats.org/officeDocument/2006/relationships/hyperlink" Target="https://youtu.be/pOX1m37rOWo" TargetMode="External"/><Relationship Id="rId131" Type="http://schemas.openxmlformats.org/officeDocument/2006/relationships/hyperlink" Target="https://youtu.be/a5_JKN7j7Ug" TargetMode="External"/><Relationship Id="rId132" Type="http://schemas.openxmlformats.org/officeDocument/2006/relationships/hyperlink" Target="https://youtu.be/aNzU6AYZiEs" TargetMode="External"/><Relationship Id="rId133" Type="http://schemas.openxmlformats.org/officeDocument/2006/relationships/hyperlink" Target="https://youtu.be/TtXlapucVxM" TargetMode="External"/><Relationship Id="rId134" Type="http://schemas.openxmlformats.org/officeDocument/2006/relationships/hyperlink" Target="https://youtu.be/B21LHpkamJM" TargetMode="External"/><Relationship Id="rId135" Type="http://schemas.openxmlformats.org/officeDocument/2006/relationships/hyperlink" Target="https://youtu.be/B33bKk_r5PU" TargetMode="External"/><Relationship Id="rId136" Type="http://schemas.openxmlformats.org/officeDocument/2006/relationships/hyperlink" Target="https://youtu.be/tu2Q82-HMg0" TargetMode="External"/><Relationship Id="rId137" Type="http://schemas.openxmlformats.org/officeDocument/2006/relationships/hyperlink" Target="https://youtu.be/gYbmiluG5Ho" TargetMode="External"/><Relationship Id="rId138" Type="http://schemas.openxmlformats.org/officeDocument/2006/relationships/hyperlink" Target="https://youtu.be/zWRCV_td3I8" TargetMode="External"/><Relationship Id="rId139" Type="http://schemas.openxmlformats.org/officeDocument/2006/relationships/hyperlink" Target="https://youtu.be/zWRCV_td3I8" TargetMode="External"/><Relationship Id="rId140" Type="http://schemas.openxmlformats.org/officeDocument/2006/relationships/hyperlink" Target="https://youtu.be/n9RZ6FEthGU" TargetMode="External"/><Relationship Id="rId141" Type="http://schemas.openxmlformats.org/officeDocument/2006/relationships/hyperlink" Target="https://youtu.be/MDuOnEyof1w" TargetMode="External"/><Relationship Id="rId142" Type="http://schemas.openxmlformats.org/officeDocument/2006/relationships/hyperlink" Target="https://youtu.be/dF9Pm_-2zmg" TargetMode="External"/><Relationship Id="rId143" Type="http://schemas.openxmlformats.org/officeDocument/2006/relationships/hyperlink" Target="https://youtu.be/efDlxayx234" TargetMode="External"/><Relationship Id="rId144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LYZDsNv8kJ8" TargetMode="External"/><Relationship Id="rId146" Type="http://schemas.openxmlformats.org/officeDocument/2006/relationships/hyperlink" Target="https://youtu.be/YIqmLutlM1g" TargetMode="External"/><Relationship Id="rId147" Type="http://schemas.openxmlformats.org/officeDocument/2006/relationships/hyperlink" Target="https://youtu.be/2JIPv1E5a0I" TargetMode="External"/><Relationship Id="rId148" Type="http://schemas.openxmlformats.org/officeDocument/2006/relationships/hyperlink" Target="https://youtu.be/W6kJbZeFssU" TargetMode="External"/><Relationship Id="rId149" Type="http://schemas.openxmlformats.org/officeDocument/2006/relationships/hyperlink" Target="https://youtu.be/eaI0E6ZcwM4" TargetMode="External"/><Relationship Id="rId150" Type="http://schemas.openxmlformats.org/officeDocument/2006/relationships/hyperlink" Target="https://youtu.be/Ax_6UXGQo7o" TargetMode="External"/><Relationship Id="rId151" Type="http://schemas.openxmlformats.org/officeDocument/2006/relationships/hyperlink" Target="https://youtu.be/t2Kk-TOhq14" TargetMode="External"/><Relationship Id="rId152" Type="http://schemas.openxmlformats.org/officeDocument/2006/relationships/hyperlink" Target="https://youtu.be/hJLXuvZd05w" TargetMode="External"/><Relationship Id="rId153" Type="http://schemas.openxmlformats.org/officeDocument/2006/relationships/hyperlink" Target="https://youtu.be/_GBEHrc_V5U" TargetMode="External"/><Relationship Id="rId154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60Ai9_c60xg" TargetMode="External"/><Relationship Id="rId156" Type="http://schemas.openxmlformats.org/officeDocument/2006/relationships/hyperlink" Target="https://youtu.be/daSL236nYZs" TargetMode="External"/><Relationship Id="rId157" Type="http://schemas.openxmlformats.org/officeDocument/2006/relationships/hyperlink" Target="https://youtu.be/ipoTKasbDyQ" TargetMode="External"/><Relationship Id="rId158" Type="http://schemas.openxmlformats.org/officeDocument/2006/relationships/hyperlink" Target="https://youtu.be/He-GN_4MAY4" TargetMode="External"/><Relationship Id="rId159" Type="http://schemas.openxmlformats.org/officeDocument/2006/relationships/hyperlink" Target="https://youtu.be/6L7xI3jO_GU" TargetMode="External"/><Relationship Id="rId160" Type="http://schemas.openxmlformats.org/officeDocument/2006/relationships/hyperlink" Target="https://youtu.be/B48xWtzMHxk" TargetMode="External"/><Relationship Id="rId161" Type="http://schemas.openxmlformats.org/officeDocument/2006/relationships/hyperlink" Target="https://youtu.be/UPGRju60F60" TargetMode="External"/><Relationship Id="rId162" Type="http://schemas.openxmlformats.org/officeDocument/2006/relationships/hyperlink" Target="https://youtu.be/pOX1m37rOWo" TargetMode="External"/><Relationship Id="rId163" Type="http://schemas.openxmlformats.org/officeDocument/2006/relationships/hyperlink" Target="https://youtu.be/ZYM1mNayaeI" TargetMode="External"/><Relationship Id="rId164" Type="http://schemas.openxmlformats.org/officeDocument/2006/relationships/hyperlink" Target="https://youtu.be/a5_JKN7j7Ug" TargetMode="External"/><Relationship Id="rId165" Type="http://schemas.openxmlformats.org/officeDocument/2006/relationships/hyperlink" Target="https://youtu.be/aNzU6AYZiEs" TargetMode="External"/><Relationship Id="rId166" Type="http://schemas.openxmlformats.org/officeDocument/2006/relationships/hyperlink" Target="https://youtu.be/TtXlapucVxM" TargetMode="External"/><Relationship Id="rId167" Type="http://schemas.openxmlformats.org/officeDocument/2006/relationships/hyperlink" Target="https://youtu.be/B21LHpkamJM" TargetMode="External"/><Relationship Id="rId168" Type="http://schemas.openxmlformats.org/officeDocument/2006/relationships/hyperlink" Target="https://youtu.be/B33bKk_r5PU" TargetMode="External"/><Relationship Id="rId169" Type="http://schemas.openxmlformats.org/officeDocument/2006/relationships/hyperlink" Target="https://youtu.be/tu2Q82-HMg0" TargetMode="External"/><Relationship Id="rId170" Type="http://schemas.openxmlformats.org/officeDocument/2006/relationships/hyperlink" Target="https://youtu.be/gYbmiluG5Ho" TargetMode="External"/><Relationship Id="rId171" Type="http://schemas.openxmlformats.org/officeDocument/2006/relationships/hyperlink" Target="https://youtu.be/BvX7g1yr1pY" TargetMode="External"/><Relationship Id="rId172" Type="http://schemas.openxmlformats.org/officeDocument/2006/relationships/hyperlink" Target="https://youtu.be/fbFISuP7Ezk" TargetMode="External"/><Relationship Id="rId173" Type="http://schemas.openxmlformats.org/officeDocument/2006/relationships/hyperlink" Target="https://youtu.be/d90AskSQcDc" TargetMode="External"/><Relationship Id="rId174" Type="http://schemas.openxmlformats.org/officeDocument/2006/relationships/hyperlink" Target="https://youtu.be/KkpCTyjGlZo" TargetMode="External"/><Relationship Id="rId175" Type="http://schemas.openxmlformats.org/officeDocument/2006/relationships/hyperlink" Target="https://youtu.be/Ana4dJbCvxE" TargetMode="External"/><Relationship Id="rId176" Type="http://schemas.openxmlformats.org/officeDocument/2006/relationships/hyperlink" Target="https://youtu.be/FoZM6vuuKBc" TargetMode="External"/><Relationship Id="rId177" Type="http://schemas.openxmlformats.org/officeDocument/2006/relationships/hyperlink" Target="https://youtu.be/c32OxRaEhxM" TargetMode="External"/><Relationship Id="rId178" Type="http://schemas.openxmlformats.org/officeDocument/2006/relationships/hyperlink" Target="https://youtu.be/pg3hz43P09w" TargetMode="External"/><Relationship Id="rId179" Type="http://schemas.openxmlformats.org/officeDocument/2006/relationships/hyperlink" Target="https://youtu.be/7P2LTF73EOM" TargetMode="External"/><Relationship Id="rId180" Type="http://schemas.openxmlformats.org/officeDocument/2006/relationships/drawing" Target="../drawings/drawing1.xml"/><Relationship Id="rId181" Type="http://schemas.openxmlformats.org/officeDocument/2006/relationships/table" Target="../tables/table1.xml"/><Relationship Id="rId182" Type="http://schemas.openxmlformats.org/officeDocument/2006/relationships/table" Target="../tables/table5.xml"/><Relationship Id="rId183" Type="http://schemas.openxmlformats.org/officeDocument/2006/relationships/table" Target="../tables/table9.xml"/><Relationship Id="rId184" Type="http://schemas.openxmlformats.org/officeDocument/2006/relationships/table" Target="../tables/table13.xml"/><Relationship Id="rId185" Type="http://schemas.openxmlformats.org/officeDocument/2006/relationships/table" Target="../tables/table17.xml"/><Relationship Id="rId186" Type="http://schemas.openxmlformats.org/officeDocument/2006/relationships/table" Target="../tables/table21.xml"/><Relationship Id="rId187" Type="http://schemas.openxmlformats.org/officeDocument/2006/relationships/table" Target="../tables/table25.xml"/><Relationship Id="rId188" Type="http://schemas.openxmlformats.org/officeDocument/2006/relationships/table" Target="../tables/table29.xml"/><Relationship Id="rId189" Type="http://schemas.openxmlformats.org/officeDocument/2006/relationships/table" Target="../tables/table33.xml"/><Relationship Id="rId190" Type="http://schemas.openxmlformats.org/officeDocument/2006/relationships/table" Target="../tables/table37.xml"/><Relationship Id="rId191" Type="http://schemas.openxmlformats.org/officeDocument/2006/relationships/table" Target="../tables/table41.xml"/><Relationship Id="rId192" Type="http://schemas.openxmlformats.org/officeDocument/2006/relationships/table" Target="../tables/table45.xml"/><Relationship Id="rId193" Type="http://schemas.openxmlformats.org/officeDocument/2006/relationships/table" Target="../tables/table49.xml"/><Relationship Id="rId194" Type="http://schemas.openxmlformats.org/officeDocument/2006/relationships/table" Target="../tables/table53.xml"/><Relationship Id="rId195" Type="http://schemas.openxmlformats.org/officeDocument/2006/relationships/table" Target="../tables/table57.xml"/><Relationship Id="rId196" Type="http://schemas.openxmlformats.org/officeDocument/2006/relationships/table" Target="../tables/table61.xml"/><Relationship Id="rId197" Type="http://schemas.openxmlformats.org/officeDocument/2006/relationships/table" Target="../tables/table65.xml"/><Relationship Id="rId198" Type="http://schemas.openxmlformats.org/officeDocument/2006/relationships/table" Target="../tables/table69.xml"/><Relationship Id="rId199" Type="http://schemas.openxmlformats.org/officeDocument/2006/relationships/table" Target="../tables/table73.xml"/><Relationship Id="rId200" Type="http://schemas.openxmlformats.org/officeDocument/2006/relationships/table" Target="../tables/table77.xml"/><Relationship Id="rId201" Type="http://schemas.openxmlformats.org/officeDocument/2006/relationships/table" Target="../tables/table81.xml"/><Relationship Id="rId202" Type="http://schemas.openxmlformats.org/officeDocument/2006/relationships/table" Target="../tables/table85.xml"/><Relationship Id="rId203" Type="http://schemas.openxmlformats.org/officeDocument/2006/relationships/table" Target="../tables/table89.xml"/><Relationship Id="rId204" Type="http://schemas.openxmlformats.org/officeDocument/2006/relationships/table" Target="../tables/table9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youtu.be/GWeVF2aVk8g" TargetMode="External"/><Relationship Id="rId2" Type="http://schemas.openxmlformats.org/officeDocument/2006/relationships/hyperlink" Target="https://youtu.be/JYiWXFIikW4" TargetMode="External"/><Relationship Id="rId3" Type="http://schemas.openxmlformats.org/officeDocument/2006/relationships/hyperlink" Target="https://youtu.be/ENaZCLrz8_c" TargetMode="External"/><Relationship Id="rId4" Type="http://schemas.openxmlformats.org/officeDocument/2006/relationships/hyperlink" Target="https://youtu.be/vz97voWk3jU" TargetMode="External"/><Relationship Id="rId5" Type="http://schemas.openxmlformats.org/officeDocument/2006/relationships/hyperlink" Target="https://youtu.be/sPIBL43Ds48" TargetMode="External"/><Relationship Id="rId6" Type="http://schemas.openxmlformats.org/officeDocument/2006/relationships/hyperlink" Target="https://youtu.be/sPIBL43Ds48" TargetMode="External"/><Relationship Id="rId7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5p-vP_XyNaA" TargetMode="External"/><Relationship Id="rId9" Type="http://schemas.openxmlformats.org/officeDocument/2006/relationships/hyperlink" Target="https://youtu.be/wrPN51LyOUE" TargetMode="External"/><Relationship Id="rId10" Type="http://schemas.openxmlformats.org/officeDocument/2006/relationships/hyperlink" Target="https://youtu.be/mucRuC4sEjQ" TargetMode="External"/><Relationship Id="rId11" Type="http://schemas.openxmlformats.org/officeDocument/2006/relationships/hyperlink" Target="https://youtu.be/oRRs1bGzimM" TargetMode="External"/><Relationship Id="rId12" Type="http://schemas.openxmlformats.org/officeDocument/2006/relationships/hyperlink" Target="https://youtu.be/IkrC1u5e-RQ" TargetMode="External"/><Relationship Id="rId13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MCjBeB844rU" TargetMode="External"/><Relationship Id="rId15" Type="http://schemas.openxmlformats.org/officeDocument/2006/relationships/hyperlink" Target="https://youtu.be/GztM7atVgd8" TargetMode="External"/><Relationship Id="rId16" Type="http://schemas.openxmlformats.org/officeDocument/2006/relationships/hyperlink" Target="https://youtu.be/yYB76DOBPsM" TargetMode="External"/><Relationship Id="rId17" Type="http://schemas.openxmlformats.org/officeDocument/2006/relationships/hyperlink" Target="https://youtu.be/nW7w5vG6IIc" TargetMode="External"/><Relationship Id="rId18" Type="http://schemas.openxmlformats.org/officeDocument/2006/relationships/hyperlink" Target="https://youtu.be/2jsTYbOkx1U" TargetMode="External"/><Relationship Id="rId19" Type="http://schemas.openxmlformats.org/officeDocument/2006/relationships/hyperlink" Target="https://youtu.be/DcRJ3bLJuVw" TargetMode="External"/><Relationship Id="rId20" Type="http://schemas.openxmlformats.org/officeDocument/2006/relationships/hyperlink" Target="https://youtu.be/xsOm9xn83-8" TargetMode="External"/><Relationship Id="rId21" Type="http://schemas.openxmlformats.org/officeDocument/2006/relationships/hyperlink" Target="https://youtu.be/y_GK6fn7raU" TargetMode="External"/><Relationship Id="rId22" Type="http://schemas.openxmlformats.org/officeDocument/2006/relationships/hyperlink" Target="https://youtu.be/y_GK6fn7raU" TargetMode="External"/><Relationship Id="rId23" Type="http://schemas.openxmlformats.org/officeDocument/2006/relationships/hyperlink" Target="https://youtu.be/S97e09rLmEU" TargetMode="External"/><Relationship Id="rId24" Type="http://schemas.openxmlformats.org/officeDocument/2006/relationships/hyperlink" Target="https://youtu.be/sR_EdrSruyQ" TargetMode="External"/><Relationship Id="rId25" Type="http://schemas.openxmlformats.org/officeDocument/2006/relationships/hyperlink" Target="https://youtu.be/BvX7g1yr1pY" TargetMode="External"/><Relationship Id="rId26" Type="http://schemas.openxmlformats.org/officeDocument/2006/relationships/hyperlink" Target="https://youtu.be/d90AskSQcDc" TargetMode="External"/><Relationship Id="rId27" Type="http://schemas.openxmlformats.org/officeDocument/2006/relationships/hyperlink" Target="https://youtu.be/Ana4dJbCvxE" TargetMode="External"/><Relationship Id="rId28" Type="http://schemas.openxmlformats.org/officeDocument/2006/relationships/hyperlink" Target="https://youtu.be/c32OxRaEhxM" TargetMode="External"/><Relationship Id="rId29" Type="http://schemas.openxmlformats.org/officeDocument/2006/relationships/hyperlink" Target="https://youtu.be/fbFISuP7Ezk" TargetMode="External"/><Relationship Id="rId30" Type="http://schemas.openxmlformats.org/officeDocument/2006/relationships/hyperlink" Target="https://youtu.be/KkpCTyjGlZo" TargetMode="External"/><Relationship Id="rId31" Type="http://schemas.openxmlformats.org/officeDocument/2006/relationships/hyperlink" Target="https://youtu.be/FoZM6vuuKBc" TargetMode="External"/><Relationship Id="rId32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7P2LTF73EOM" TargetMode="External"/><Relationship Id="rId34" Type="http://schemas.openxmlformats.org/officeDocument/2006/relationships/hyperlink" Target="https://youtu.be/hR8aOS5LZjU" TargetMode="External"/><Relationship Id="rId35" Type="http://schemas.openxmlformats.org/officeDocument/2006/relationships/hyperlink" Target="https://youtu.be/6DiJh6_jeoo" TargetMode="External"/><Relationship Id="rId36" Type="http://schemas.openxmlformats.org/officeDocument/2006/relationships/hyperlink" Target="https://youtu.be/z3yCDRGrQTM" TargetMode="External"/><Relationship Id="rId37" Type="http://schemas.openxmlformats.org/officeDocument/2006/relationships/hyperlink" Target="https://youtu.be/S3NIBLmlKaU" TargetMode="External"/><Relationship Id="rId38" Type="http://schemas.openxmlformats.org/officeDocument/2006/relationships/hyperlink" Target="https://youtu.be/hJLXuvZd05w" TargetMode="External"/><Relationship Id="rId39" Type="http://schemas.openxmlformats.org/officeDocument/2006/relationships/hyperlink" Target="https://youtu.be/daSL236nYZs" TargetMode="External"/><Relationship Id="rId40" Type="http://schemas.openxmlformats.org/officeDocument/2006/relationships/hyperlink" Target="https://youtu.be/B48xWtzMHxk" TargetMode="External"/><Relationship Id="rId41" Type="http://schemas.openxmlformats.org/officeDocument/2006/relationships/hyperlink" Target="https://youtu.be/a5_JKN7j7Ug" TargetMode="External"/><Relationship Id="rId42" Type="http://schemas.openxmlformats.org/officeDocument/2006/relationships/hyperlink" Target="https://youtu.be/TtXlapucVxM" TargetMode="External"/><Relationship Id="rId43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tu2Q82-HMg0" TargetMode="External"/><Relationship Id="rId45" Type="http://schemas.openxmlformats.org/officeDocument/2006/relationships/hyperlink" Target="https://youtu.be/gYbmiluG5Ho" TargetMode="External"/><Relationship Id="rId46" Type="http://schemas.openxmlformats.org/officeDocument/2006/relationships/hyperlink" Target="https://youtu.be/U3SkMY6jw5M" TargetMode="External"/><Relationship Id="rId47" Type="http://schemas.openxmlformats.org/officeDocument/2006/relationships/hyperlink" Target="https://youtu.be/He-GN_4MAY4" TargetMode="External"/><Relationship Id="rId4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aNzU6AYZiEs" TargetMode="External"/><Relationship Id="rId50" Type="http://schemas.openxmlformats.org/officeDocument/2006/relationships/hyperlink" Target="https://youtu.be/B21LHpkamJM" TargetMode="External"/><Relationship Id="rId51" Type="http://schemas.openxmlformats.org/officeDocument/2006/relationships/hyperlink" Target="https://youtu.be/o2qSVwxiFk4" TargetMode="External"/><Relationship Id="rId52" Type="http://schemas.openxmlformats.org/officeDocument/2006/relationships/hyperlink" Target="https://youtu.be/ROIrNQJBKZ0" TargetMode="External"/><Relationship Id="rId53" Type="http://schemas.openxmlformats.org/officeDocument/2006/relationships/hyperlink" Target="https://youtu.be/tRT-cLlXJZ0" TargetMode="External"/><Relationship Id="rId54" Type="http://schemas.openxmlformats.org/officeDocument/2006/relationships/hyperlink" Target="https://youtu.be/Wdv_3ojsPhU" TargetMode="External"/><Relationship Id="rId55" Type="http://schemas.openxmlformats.org/officeDocument/2006/relationships/hyperlink" Target="https://youtu.be/4Idz7uwm3OU" TargetMode="External"/><Relationship Id="rId56" Type="http://schemas.openxmlformats.org/officeDocument/2006/relationships/hyperlink" Target="https://youtu.be/J44yAQ_LXXU" TargetMode="External"/><Relationship Id="rId57" Type="http://schemas.openxmlformats.org/officeDocument/2006/relationships/hyperlink" Target="https://youtu.be/o1yPuXatVRs" TargetMode="External"/><Relationship Id="rId58" Type="http://schemas.openxmlformats.org/officeDocument/2006/relationships/hyperlink" Target="https://youtu.be/y47HOtqxZkg" TargetMode="External"/><Relationship Id="rId59" Type="http://schemas.openxmlformats.org/officeDocument/2006/relationships/hyperlink" Target="https://youtu.be/NF4nbNsqreQ" TargetMode="External"/><Relationship Id="rId60" Type="http://schemas.openxmlformats.org/officeDocument/2006/relationships/hyperlink" Target="https://youtu.be/lFyDmuDjRts" TargetMode="External"/><Relationship Id="rId61" Type="http://schemas.openxmlformats.org/officeDocument/2006/relationships/hyperlink" Target="https://youtu.be/SmRa30Jci54" TargetMode="External"/><Relationship Id="rId6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ghHW6sETs-I" TargetMode="External"/><Relationship Id="rId64" Type="http://schemas.openxmlformats.org/officeDocument/2006/relationships/hyperlink" Target="https://youtu.be/UNo4yBbidG4" TargetMode="External"/><Relationship Id="rId65" Type="http://schemas.openxmlformats.org/officeDocument/2006/relationships/hyperlink" Target="https://youtu.be/UNo4yBbidG4" TargetMode="External"/><Relationship Id="rId66" Type="http://schemas.openxmlformats.org/officeDocument/2006/relationships/hyperlink" Target="https://youtu.be/2PC8eYTte5w" TargetMode="External"/><Relationship Id="rId67" Type="http://schemas.openxmlformats.org/officeDocument/2006/relationships/hyperlink" Target="https://youtu.be/2PC8eYTte5w" TargetMode="External"/><Relationship Id="rId6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uMjeHo2_EwM" TargetMode="External"/><Relationship Id="rId70" Type="http://schemas.openxmlformats.org/officeDocument/2006/relationships/hyperlink" Target="https://youtu.be/uMjeHo2_EwM" TargetMode="External"/><Relationship Id="rId71" Type="http://schemas.openxmlformats.org/officeDocument/2006/relationships/hyperlink" Target="https://youtu.be/bxfHw1LvH24" TargetMode="External"/><Relationship Id="rId72" Type="http://schemas.openxmlformats.org/officeDocument/2006/relationships/hyperlink" Target="https://youtu.be/bxfHw1LvH24" TargetMode="External"/><Relationship Id="rId73" Type="http://schemas.openxmlformats.org/officeDocument/2006/relationships/hyperlink" Target="https://youtu.be/xyoFXl-k644" TargetMode="External"/><Relationship Id="rId74" Type="http://schemas.openxmlformats.org/officeDocument/2006/relationships/hyperlink" Target="https://youtu.be/QzjjwxZOVdE" TargetMode="External"/><Relationship Id="rId75" Type="http://schemas.openxmlformats.org/officeDocument/2006/relationships/hyperlink" Target="https://youtu.be/QzjjwxZOVdE" TargetMode="External"/><Relationship Id="rId76" Type="http://schemas.openxmlformats.org/officeDocument/2006/relationships/hyperlink" Target="https://youtu.be/2-o_-HTPhv8" TargetMode="External"/><Relationship Id="rId77" Type="http://schemas.openxmlformats.org/officeDocument/2006/relationships/hyperlink" Target="https://youtu.be/ppluAD4MHK8" TargetMode="External"/><Relationship Id="rId78" Type="http://schemas.openxmlformats.org/officeDocument/2006/relationships/hyperlink" Target="https://youtu.be/SYji94GabJg" TargetMode="External"/><Relationship Id="rId79" Type="http://schemas.openxmlformats.org/officeDocument/2006/relationships/hyperlink" Target="https://youtu.be/mJSsWpuyiCM" TargetMode="External"/><Relationship Id="rId80" Type="http://schemas.openxmlformats.org/officeDocument/2006/relationships/hyperlink" Target="https://youtu.be/SOyO4LHjhX4" TargetMode="External"/><Relationship Id="rId81" Type="http://schemas.openxmlformats.org/officeDocument/2006/relationships/hyperlink" Target="https://youtu.be/lNYA35p8XJQ" TargetMode="External"/><Relationship Id="rId82" Type="http://schemas.openxmlformats.org/officeDocument/2006/relationships/hyperlink" Target="https://youtu.be/uFEPuNtHoOU" TargetMode="External"/><Relationship Id="rId83" Type="http://schemas.openxmlformats.org/officeDocument/2006/relationships/hyperlink" Target="https://youtu.be/vNgwqFsVstY" TargetMode="External"/><Relationship Id="rId84" Type="http://schemas.openxmlformats.org/officeDocument/2006/relationships/hyperlink" Target="https://youtu.be/LRgZFHceZGo" TargetMode="External"/><Relationship Id="rId85" Type="http://schemas.openxmlformats.org/officeDocument/2006/relationships/hyperlink" Target="https://youtu.be/wjw-4R5VR20" TargetMode="External"/><Relationship Id="rId86" Type="http://schemas.openxmlformats.org/officeDocument/2006/relationships/hyperlink" Target="https://youtu.be/WWS1rPFPyiQ" TargetMode="External"/><Relationship Id="rId87" Type="http://schemas.openxmlformats.org/officeDocument/2006/relationships/hyperlink" Target="https://youtu.be/7If7L0lAur8" TargetMode="External"/><Relationship Id="rId88" Type="http://schemas.openxmlformats.org/officeDocument/2006/relationships/hyperlink" Target="https://youtu.be/xp1IeyTOB4U" TargetMode="External"/><Relationship Id="rId89" Type="http://schemas.openxmlformats.org/officeDocument/2006/relationships/hyperlink" Target="https://youtu.be/euEPxA3gsDo" TargetMode="External"/><Relationship Id="rId90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zbYgjREbdb0" TargetMode="External"/><Relationship Id="rId9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hzHJugCcT6g" TargetMode="External"/><Relationship Id="rId94" Type="http://schemas.openxmlformats.org/officeDocument/2006/relationships/hyperlink" Target="https://youtu.be/OMUGU1Vh8Ao" TargetMode="External"/><Relationship Id="rId95" Type="http://schemas.openxmlformats.org/officeDocument/2006/relationships/hyperlink" Target="https://youtu.be/m4KB9-Uo4Kc" TargetMode="External"/><Relationship Id="rId9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SMln-yOUKSA" TargetMode="External"/><Relationship Id="rId98" Type="http://schemas.openxmlformats.org/officeDocument/2006/relationships/hyperlink" Target="https://youtu.be/t2Kk-TOhq14" TargetMode="External"/><Relationship Id="rId99" Type="http://schemas.openxmlformats.org/officeDocument/2006/relationships/hyperlink" Target="https://youtu.be/_GBEHrc_V5U" TargetMode="External"/><Relationship Id="rId100" Type="http://schemas.openxmlformats.org/officeDocument/2006/relationships/hyperlink" Target="https://youtu.be/60Ai9_c60xg" TargetMode="External"/><Relationship Id="rId101" Type="http://schemas.openxmlformats.org/officeDocument/2006/relationships/hyperlink" Target="https://youtu.be/ipoTKasbDyQ" TargetMode="External"/><Relationship Id="rId102" Type="http://schemas.openxmlformats.org/officeDocument/2006/relationships/hyperlink" Target="https://youtu.be/6L7xI3jO_GU" TargetMode="External"/><Relationship Id="rId103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ZYM1mNayaeI" TargetMode="External"/><Relationship Id="rId105" Type="http://schemas.openxmlformats.org/officeDocument/2006/relationships/hyperlink" Target="https://youtu.be/Dl-by6_vATQ" TargetMode="External"/><Relationship Id="rId106" Type="http://schemas.openxmlformats.org/officeDocument/2006/relationships/hyperlink" Target="https://youtu.be/ILToidt_G0U" TargetMode="External"/><Relationship Id="rId107" Type="http://schemas.openxmlformats.org/officeDocument/2006/relationships/hyperlink" Target="https://youtu.be/20_pP7oaH34" TargetMode="External"/><Relationship Id="rId108" Type="http://schemas.openxmlformats.org/officeDocument/2006/relationships/hyperlink" Target="https://youtu.be/3s_QUA4HcxI" TargetMode="External"/><Relationship Id="rId109" Type="http://schemas.openxmlformats.org/officeDocument/2006/relationships/hyperlink" Target="https://youtu.be/cg4tsxQ1BP4" TargetMode="External"/><Relationship Id="rId110" Type="http://schemas.openxmlformats.org/officeDocument/2006/relationships/hyperlink" Target="https://youtu.be/TM_PeJIdQwE" TargetMode="External"/><Relationship Id="rId111" Type="http://schemas.openxmlformats.org/officeDocument/2006/relationships/hyperlink" Target="https://youtu.be/PFtO-p5VLO0" TargetMode="External"/><Relationship Id="rId112" Type="http://schemas.openxmlformats.org/officeDocument/2006/relationships/hyperlink" Target="https://youtu.be/zWRCV_td3I8" TargetMode="External"/><Relationship Id="rId113" Type="http://schemas.openxmlformats.org/officeDocument/2006/relationships/hyperlink" Target="https://youtu.be/zWRCV_td3I8" TargetMode="External"/><Relationship Id="rId114" Type="http://schemas.openxmlformats.org/officeDocument/2006/relationships/hyperlink" Target="https://youtu.be/MDuOnEyof1w" TargetMode="External"/><Relationship Id="rId115" Type="http://schemas.openxmlformats.org/officeDocument/2006/relationships/hyperlink" Target="https://youtu.be/efDlxayx234" TargetMode="External"/><Relationship Id="rId116" Type="http://schemas.openxmlformats.org/officeDocument/2006/relationships/hyperlink" Target="https://youtu.be/LYZDsNv8kJ8" TargetMode="External"/><Relationship Id="rId117" Type="http://schemas.openxmlformats.org/officeDocument/2006/relationships/hyperlink" Target="https://youtu.be/2JIPv1E5a0I" TargetMode="External"/><Relationship Id="rId118" Type="http://schemas.openxmlformats.org/officeDocument/2006/relationships/hyperlink" Target="https://youtu.be/eaI0E6ZcwM4" TargetMode="External"/><Relationship Id="rId119" Type="http://schemas.openxmlformats.org/officeDocument/2006/relationships/hyperlink" Target="https://youtu.be/n9RZ6FEthGU" TargetMode="External"/><Relationship Id="rId120" Type="http://schemas.openxmlformats.org/officeDocument/2006/relationships/hyperlink" Target="https://youtu.be/dF9Pm_-2zmg" TargetMode="External"/><Relationship Id="rId121" Type="http://schemas.openxmlformats.org/officeDocument/2006/relationships/hyperlink" Target="https://youtu.be/RGFdTZznnRs" TargetMode="External"/><Relationship Id="rId122" Type="http://schemas.openxmlformats.org/officeDocument/2006/relationships/hyperlink" Target="https://youtu.be/YIqmLutlM1g" TargetMode="External"/><Relationship Id="rId123" Type="http://schemas.openxmlformats.org/officeDocument/2006/relationships/hyperlink" Target="https://youtu.be/W6kJbZeFssU" TargetMode="External"/><Relationship Id="rId124" Type="http://schemas.openxmlformats.org/officeDocument/2006/relationships/hyperlink" Target="https://youtu.be/Ax_6UXGQo7o" TargetMode="External"/><Relationship Id="rId125" Type="http://schemas.openxmlformats.org/officeDocument/2006/relationships/hyperlink" Target="https://youtu.be/hJLXuvZd05w" TargetMode="External"/><Relationship Id="rId126" Type="http://schemas.openxmlformats.org/officeDocument/2006/relationships/hyperlink" Target="https://youtu.be/U3SkMY6jw5M" TargetMode="External"/><Relationship Id="rId127" Type="http://schemas.openxmlformats.org/officeDocument/2006/relationships/hyperlink" Target="https://youtu.be/daSL236nYZs" TargetMode="External"/><Relationship Id="rId128" Type="http://schemas.openxmlformats.org/officeDocument/2006/relationships/hyperlink" Target="https://youtu.be/He-GN_4MAY4" TargetMode="External"/><Relationship Id="rId129" Type="http://schemas.openxmlformats.org/officeDocument/2006/relationships/hyperlink" Target="https://youtu.be/B48xWtzMHxk" TargetMode="External"/><Relationship Id="rId130" Type="http://schemas.openxmlformats.org/officeDocument/2006/relationships/hyperlink" Target="https://youtu.be/pOX1m37rOWo" TargetMode="External"/><Relationship Id="rId131" Type="http://schemas.openxmlformats.org/officeDocument/2006/relationships/hyperlink" Target="https://youtu.be/a5_JKN7j7Ug" TargetMode="External"/><Relationship Id="rId132" Type="http://schemas.openxmlformats.org/officeDocument/2006/relationships/hyperlink" Target="https://youtu.be/aNzU6AYZiEs" TargetMode="External"/><Relationship Id="rId133" Type="http://schemas.openxmlformats.org/officeDocument/2006/relationships/hyperlink" Target="https://youtu.be/TtXlapucVxM" TargetMode="External"/><Relationship Id="rId134" Type="http://schemas.openxmlformats.org/officeDocument/2006/relationships/hyperlink" Target="https://youtu.be/B21LHpkamJM" TargetMode="External"/><Relationship Id="rId135" Type="http://schemas.openxmlformats.org/officeDocument/2006/relationships/hyperlink" Target="https://youtu.be/B33bKk_r5PU" TargetMode="External"/><Relationship Id="rId136" Type="http://schemas.openxmlformats.org/officeDocument/2006/relationships/hyperlink" Target="https://youtu.be/tu2Q82-HMg0" TargetMode="External"/><Relationship Id="rId137" Type="http://schemas.openxmlformats.org/officeDocument/2006/relationships/hyperlink" Target="https://youtu.be/gYbmiluG5Ho" TargetMode="External"/><Relationship Id="rId138" Type="http://schemas.openxmlformats.org/officeDocument/2006/relationships/hyperlink" Target="https://youtu.be/zWRCV_td3I8" TargetMode="External"/><Relationship Id="rId139" Type="http://schemas.openxmlformats.org/officeDocument/2006/relationships/hyperlink" Target="https://youtu.be/zWRCV_td3I8" TargetMode="External"/><Relationship Id="rId140" Type="http://schemas.openxmlformats.org/officeDocument/2006/relationships/hyperlink" Target="https://youtu.be/n9RZ6FEthGU" TargetMode="External"/><Relationship Id="rId141" Type="http://schemas.openxmlformats.org/officeDocument/2006/relationships/hyperlink" Target="https://youtu.be/MDuOnEyof1w" TargetMode="External"/><Relationship Id="rId142" Type="http://schemas.openxmlformats.org/officeDocument/2006/relationships/hyperlink" Target="https://youtu.be/dF9Pm_-2zmg" TargetMode="External"/><Relationship Id="rId143" Type="http://schemas.openxmlformats.org/officeDocument/2006/relationships/hyperlink" Target="https://youtu.be/efDlxayx234" TargetMode="External"/><Relationship Id="rId144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LYZDsNv8kJ8" TargetMode="External"/><Relationship Id="rId146" Type="http://schemas.openxmlformats.org/officeDocument/2006/relationships/hyperlink" Target="https://youtu.be/YIqmLutlM1g" TargetMode="External"/><Relationship Id="rId147" Type="http://schemas.openxmlformats.org/officeDocument/2006/relationships/hyperlink" Target="https://youtu.be/2JIPv1E5a0I" TargetMode="External"/><Relationship Id="rId148" Type="http://schemas.openxmlformats.org/officeDocument/2006/relationships/hyperlink" Target="https://youtu.be/W6kJbZeFssU" TargetMode="External"/><Relationship Id="rId149" Type="http://schemas.openxmlformats.org/officeDocument/2006/relationships/hyperlink" Target="https://youtu.be/eaI0E6ZcwM4" TargetMode="External"/><Relationship Id="rId150" Type="http://schemas.openxmlformats.org/officeDocument/2006/relationships/hyperlink" Target="https://youtu.be/Ax_6UXGQo7o" TargetMode="External"/><Relationship Id="rId151" Type="http://schemas.openxmlformats.org/officeDocument/2006/relationships/hyperlink" Target="https://youtu.be/t2Kk-TOhq14" TargetMode="External"/><Relationship Id="rId152" Type="http://schemas.openxmlformats.org/officeDocument/2006/relationships/hyperlink" Target="https://youtu.be/hJLXuvZd05w" TargetMode="External"/><Relationship Id="rId153" Type="http://schemas.openxmlformats.org/officeDocument/2006/relationships/hyperlink" Target="https://youtu.be/_GBEHrc_V5U" TargetMode="External"/><Relationship Id="rId154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60Ai9_c60xg" TargetMode="External"/><Relationship Id="rId156" Type="http://schemas.openxmlformats.org/officeDocument/2006/relationships/hyperlink" Target="https://youtu.be/daSL236nYZs" TargetMode="External"/><Relationship Id="rId157" Type="http://schemas.openxmlformats.org/officeDocument/2006/relationships/hyperlink" Target="https://youtu.be/ipoTKasbDyQ" TargetMode="External"/><Relationship Id="rId158" Type="http://schemas.openxmlformats.org/officeDocument/2006/relationships/hyperlink" Target="https://youtu.be/He-GN_4MAY4" TargetMode="External"/><Relationship Id="rId159" Type="http://schemas.openxmlformats.org/officeDocument/2006/relationships/hyperlink" Target="https://youtu.be/6L7xI3jO_GU" TargetMode="External"/><Relationship Id="rId160" Type="http://schemas.openxmlformats.org/officeDocument/2006/relationships/hyperlink" Target="https://youtu.be/B48xWtzMHxk" TargetMode="External"/><Relationship Id="rId161" Type="http://schemas.openxmlformats.org/officeDocument/2006/relationships/hyperlink" Target="https://youtu.be/UPGRju60F60" TargetMode="External"/><Relationship Id="rId162" Type="http://schemas.openxmlformats.org/officeDocument/2006/relationships/hyperlink" Target="https://youtu.be/pOX1m37rOWo" TargetMode="External"/><Relationship Id="rId163" Type="http://schemas.openxmlformats.org/officeDocument/2006/relationships/hyperlink" Target="https://youtu.be/ZYM1mNayaeI" TargetMode="External"/><Relationship Id="rId164" Type="http://schemas.openxmlformats.org/officeDocument/2006/relationships/hyperlink" Target="https://youtu.be/a5_JKN7j7Ug" TargetMode="External"/><Relationship Id="rId165" Type="http://schemas.openxmlformats.org/officeDocument/2006/relationships/hyperlink" Target="https://youtu.be/aNzU6AYZiEs" TargetMode="External"/><Relationship Id="rId166" Type="http://schemas.openxmlformats.org/officeDocument/2006/relationships/hyperlink" Target="https://youtu.be/TtXlapucVxM" TargetMode="External"/><Relationship Id="rId167" Type="http://schemas.openxmlformats.org/officeDocument/2006/relationships/hyperlink" Target="https://youtu.be/B21LHpkamJM" TargetMode="External"/><Relationship Id="rId168" Type="http://schemas.openxmlformats.org/officeDocument/2006/relationships/hyperlink" Target="https://youtu.be/B33bKk_r5PU" TargetMode="External"/><Relationship Id="rId169" Type="http://schemas.openxmlformats.org/officeDocument/2006/relationships/hyperlink" Target="https://youtu.be/tu2Q82-HMg0" TargetMode="External"/><Relationship Id="rId170" Type="http://schemas.openxmlformats.org/officeDocument/2006/relationships/hyperlink" Target="https://youtu.be/gYbmiluG5Ho" TargetMode="External"/><Relationship Id="rId171" Type="http://schemas.openxmlformats.org/officeDocument/2006/relationships/hyperlink" Target="https://youtu.be/BvX7g1yr1pY" TargetMode="External"/><Relationship Id="rId172" Type="http://schemas.openxmlformats.org/officeDocument/2006/relationships/hyperlink" Target="https://youtu.be/fbFISuP7Ezk" TargetMode="External"/><Relationship Id="rId173" Type="http://schemas.openxmlformats.org/officeDocument/2006/relationships/hyperlink" Target="https://youtu.be/d90AskSQcDc" TargetMode="External"/><Relationship Id="rId174" Type="http://schemas.openxmlformats.org/officeDocument/2006/relationships/hyperlink" Target="https://youtu.be/KkpCTyjGlZo" TargetMode="External"/><Relationship Id="rId175" Type="http://schemas.openxmlformats.org/officeDocument/2006/relationships/hyperlink" Target="https://youtu.be/Ana4dJbCvxE" TargetMode="External"/><Relationship Id="rId176" Type="http://schemas.openxmlformats.org/officeDocument/2006/relationships/hyperlink" Target="https://youtu.be/FoZM6vuuKBc" TargetMode="External"/><Relationship Id="rId177" Type="http://schemas.openxmlformats.org/officeDocument/2006/relationships/hyperlink" Target="https://youtu.be/c32OxRaEhxM" TargetMode="External"/><Relationship Id="rId178" Type="http://schemas.openxmlformats.org/officeDocument/2006/relationships/hyperlink" Target="https://youtu.be/pg3hz43P09w" TargetMode="External"/><Relationship Id="rId179" Type="http://schemas.openxmlformats.org/officeDocument/2006/relationships/hyperlink" Target="https://youtu.be/7P2LTF73EOM" TargetMode="External"/><Relationship Id="rId180" Type="http://schemas.openxmlformats.org/officeDocument/2006/relationships/drawing" Target="../drawings/drawing2.xml"/><Relationship Id="rId181" Type="http://schemas.openxmlformats.org/officeDocument/2006/relationships/table" Target="../tables/table4.xml"/><Relationship Id="rId182" Type="http://schemas.openxmlformats.org/officeDocument/2006/relationships/table" Target="../tables/table8.xml"/><Relationship Id="rId183" Type="http://schemas.openxmlformats.org/officeDocument/2006/relationships/table" Target="../tables/table12.xml"/><Relationship Id="rId184" Type="http://schemas.openxmlformats.org/officeDocument/2006/relationships/table" Target="../tables/table16.xml"/><Relationship Id="rId185" Type="http://schemas.openxmlformats.org/officeDocument/2006/relationships/table" Target="../tables/table20.xml"/><Relationship Id="rId186" Type="http://schemas.openxmlformats.org/officeDocument/2006/relationships/table" Target="../tables/table24.xml"/><Relationship Id="rId187" Type="http://schemas.openxmlformats.org/officeDocument/2006/relationships/table" Target="../tables/table28.xml"/><Relationship Id="rId188" Type="http://schemas.openxmlformats.org/officeDocument/2006/relationships/table" Target="../tables/table32.xml"/><Relationship Id="rId189" Type="http://schemas.openxmlformats.org/officeDocument/2006/relationships/table" Target="../tables/table36.xml"/><Relationship Id="rId190" Type="http://schemas.openxmlformats.org/officeDocument/2006/relationships/table" Target="../tables/table40.xml"/><Relationship Id="rId191" Type="http://schemas.openxmlformats.org/officeDocument/2006/relationships/table" Target="../tables/table44.xml"/><Relationship Id="rId192" Type="http://schemas.openxmlformats.org/officeDocument/2006/relationships/table" Target="../tables/table48.xml"/><Relationship Id="rId193" Type="http://schemas.openxmlformats.org/officeDocument/2006/relationships/table" Target="../tables/table52.xml"/><Relationship Id="rId194" Type="http://schemas.openxmlformats.org/officeDocument/2006/relationships/table" Target="../tables/table56.xml"/><Relationship Id="rId195" Type="http://schemas.openxmlformats.org/officeDocument/2006/relationships/table" Target="../tables/table60.xml"/><Relationship Id="rId196" Type="http://schemas.openxmlformats.org/officeDocument/2006/relationships/table" Target="../tables/table64.xml"/><Relationship Id="rId197" Type="http://schemas.openxmlformats.org/officeDocument/2006/relationships/table" Target="../tables/table68.xml"/><Relationship Id="rId198" Type="http://schemas.openxmlformats.org/officeDocument/2006/relationships/table" Target="../tables/table72.xml"/><Relationship Id="rId199" Type="http://schemas.openxmlformats.org/officeDocument/2006/relationships/table" Target="../tables/table76.xml"/><Relationship Id="rId200" Type="http://schemas.openxmlformats.org/officeDocument/2006/relationships/table" Target="../tables/table80.xml"/><Relationship Id="rId201" Type="http://schemas.openxmlformats.org/officeDocument/2006/relationships/table" Target="../tables/table84.xml"/><Relationship Id="rId202" Type="http://schemas.openxmlformats.org/officeDocument/2006/relationships/table" Target="../tables/table88.xml"/><Relationship Id="rId203" Type="http://schemas.openxmlformats.org/officeDocument/2006/relationships/table" Target="../tables/table92.xml"/><Relationship Id="rId204" Type="http://schemas.openxmlformats.org/officeDocument/2006/relationships/table" Target="../tables/table9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youtu.be/GWeVF2aVk8g" TargetMode="External"/><Relationship Id="rId2" Type="http://schemas.openxmlformats.org/officeDocument/2006/relationships/hyperlink" Target="https://youtu.be/JYiWXFIikW4" TargetMode="External"/><Relationship Id="rId3" Type="http://schemas.openxmlformats.org/officeDocument/2006/relationships/hyperlink" Target="https://youtu.be/ENaZCLrz8_c" TargetMode="External"/><Relationship Id="rId4" Type="http://schemas.openxmlformats.org/officeDocument/2006/relationships/hyperlink" Target="https://youtu.be/vz97voWk3jU" TargetMode="External"/><Relationship Id="rId5" Type="http://schemas.openxmlformats.org/officeDocument/2006/relationships/hyperlink" Target="https://youtu.be/sPIBL43Ds48" TargetMode="External"/><Relationship Id="rId6" Type="http://schemas.openxmlformats.org/officeDocument/2006/relationships/hyperlink" Target="https://youtu.be/sPIBL43Ds48" TargetMode="External"/><Relationship Id="rId7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5p-vP_XyNaA" TargetMode="External"/><Relationship Id="rId9" Type="http://schemas.openxmlformats.org/officeDocument/2006/relationships/hyperlink" Target="https://youtu.be/wrPN51LyOUE" TargetMode="External"/><Relationship Id="rId10" Type="http://schemas.openxmlformats.org/officeDocument/2006/relationships/hyperlink" Target="https://youtu.be/mucRuC4sEjQ" TargetMode="External"/><Relationship Id="rId11" Type="http://schemas.openxmlformats.org/officeDocument/2006/relationships/hyperlink" Target="https://youtu.be/oRRs1bGzimM" TargetMode="External"/><Relationship Id="rId12" Type="http://schemas.openxmlformats.org/officeDocument/2006/relationships/hyperlink" Target="https://youtu.be/IkrC1u5e-RQ" TargetMode="External"/><Relationship Id="rId13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MCjBeB844rU" TargetMode="External"/><Relationship Id="rId15" Type="http://schemas.openxmlformats.org/officeDocument/2006/relationships/hyperlink" Target="https://youtu.be/GztM7atVgd8" TargetMode="External"/><Relationship Id="rId16" Type="http://schemas.openxmlformats.org/officeDocument/2006/relationships/hyperlink" Target="https://youtu.be/yYB76DOBPsM" TargetMode="External"/><Relationship Id="rId17" Type="http://schemas.openxmlformats.org/officeDocument/2006/relationships/hyperlink" Target="https://youtu.be/nW7w5vG6IIc" TargetMode="External"/><Relationship Id="rId18" Type="http://schemas.openxmlformats.org/officeDocument/2006/relationships/hyperlink" Target="https://youtu.be/2jsTYbOkx1U" TargetMode="External"/><Relationship Id="rId19" Type="http://schemas.openxmlformats.org/officeDocument/2006/relationships/hyperlink" Target="https://youtu.be/DcRJ3bLJuVw" TargetMode="External"/><Relationship Id="rId20" Type="http://schemas.openxmlformats.org/officeDocument/2006/relationships/hyperlink" Target="https://youtu.be/xsOm9xn83-8" TargetMode="External"/><Relationship Id="rId21" Type="http://schemas.openxmlformats.org/officeDocument/2006/relationships/hyperlink" Target="https://youtu.be/y_GK6fn7raU" TargetMode="External"/><Relationship Id="rId22" Type="http://schemas.openxmlformats.org/officeDocument/2006/relationships/hyperlink" Target="https://youtu.be/y_GK6fn7raU" TargetMode="External"/><Relationship Id="rId23" Type="http://schemas.openxmlformats.org/officeDocument/2006/relationships/hyperlink" Target="https://youtu.be/S97e09rLmEU" TargetMode="External"/><Relationship Id="rId24" Type="http://schemas.openxmlformats.org/officeDocument/2006/relationships/hyperlink" Target="https://youtu.be/sR_EdrSruyQ" TargetMode="External"/><Relationship Id="rId25" Type="http://schemas.openxmlformats.org/officeDocument/2006/relationships/hyperlink" Target="https://youtu.be/BvX7g1yr1pY" TargetMode="External"/><Relationship Id="rId26" Type="http://schemas.openxmlformats.org/officeDocument/2006/relationships/hyperlink" Target="https://youtu.be/d90AskSQcDc" TargetMode="External"/><Relationship Id="rId27" Type="http://schemas.openxmlformats.org/officeDocument/2006/relationships/hyperlink" Target="https://youtu.be/Ana4dJbCvxE" TargetMode="External"/><Relationship Id="rId28" Type="http://schemas.openxmlformats.org/officeDocument/2006/relationships/hyperlink" Target="https://youtu.be/c32OxRaEhxM" TargetMode="External"/><Relationship Id="rId29" Type="http://schemas.openxmlformats.org/officeDocument/2006/relationships/hyperlink" Target="https://youtu.be/fbFISuP7Ezk" TargetMode="External"/><Relationship Id="rId30" Type="http://schemas.openxmlformats.org/officeDocument/2006/relationships/hyperlink" Target="https://youtu.be/KkpCTyjGlZo" TargetMode="External"/><Relationship Id="rId31" Type="http://schemas.openxmlformats.org/officeDocument/2006/relationships/hyperlink" Target="https://youtu.be/FoZM6vuuKBc" TargetMode="External"/><Relationship Id="rId32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7P2LTF73EOM" TargetMode="External"/><Relationship Id="rId34" Type="http://schemas.openxmlformats.org/officeDocument/2006/relationships/hyperlink" Target="https://youtu.be/hR8aOS5LZjU" TargetMode="External"/><Relationship Id="rId35" Type="http://schemas.openxmlformats.org/officeDocument/2006/relationships/hyperlink" Target="https://youtu.be/6DiJh6_jeoo" TargetMode="External"/><Relationship Id="rId36" Type="http://schemas.openxmlformats.org/officeDocument/2006/relationships/hyperlink" Target="https://youtu.be/z3yCDRGrQTM" TargetMode="External"/><Relationship Id="rId37" Type="http://schemas.openxmlformats.org/officeDocument/2006/relationships/hyperlink" Target="https://youtu.be/S3NIBLmlKaU" TargetMode="External"/><Relationship Id="rId38" Type="http://schemas.openxmlformats.org/officeDocument/2006/relationships/hyperlink" Target="https://youtu.be/hJLXuvZd05w" TargetMode="External"/><Relationship Id="rId39" Type="http://schemas.openxmlformats.org/officeDocument/2006/relationships/hyperlink" Target="https://youtu.be/daSL236nYZs" TargetMode="External"/><Relationship Id="rId40" Type="http://schemas.openxmlformats.org/officeDocument/2006/relationships/hyperlink" Target="https://youtu.be/B48xWtzMHxk" TargetMode="External"/><Relationship Id="rId41" Type="http://schemas.openxmlformats.org/officeDocument/2006/relationships/hyperlink" Target="https://youtu.be/a5_JKN7j7Ug" TargetMode="External"/><Relationship Id="rId42" Type="http://schemas.openxmlformats.org/officeDocument/2006/relationships/hyperlink" Target="https://youtu.be/TtXlapucVxM" TargetMode="External"/><Relationship Id="rId43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tu2Q82-HMg0" TargetMode="External"/><Relationship Id="rId45" Type="http://schemas.openxmlformats.org/officeDocument/2006/relationships/hyperlink" Target="https://youtu.be/gYbmiluG5Ho" TargetMode="External"/><Relationship Id="rId46" Type="http://schemas.openxmlformats.org/officeDocument/2006/relationships/hyperlink" Target="https://youtu.be/U3SkMY6jw5M" TargetMode="External"/><Relationship Id="rId47" Type="http://schemas.openxmlformats.org/officeDocument/2006/relationships/hyperlink" Target="https://youtu.be/He-GN_4MAY4" TargetMode="External"/><Relationship Id="rId4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aNzU6AYZiEs" TargetMode="External"/><Relationship Id="rId50" Type="http://schemas.openxmlformats.org/officeDocument/2006/relationships/hyperlink" Target="https://youtu.be/B21LHpkamJM" TargetMode="External"/><Relationship Id="rId51" Type="http://schemas.openxmlformats.org/officeDocument/2006/relationships/hyperlink" Target="https://youtu.be/o2qSVwxiFk4" TargetMode="External"/><Relationship Id="rId52" Type="http://schemas.openxmlformats.org/officeDocument/2006/relationships/hyperlink" Target="https://youtu.be/ROIrNQJBKZ0" TargetMode="External"/><Relationship Id="rId53" Type="http://schemas.openxmlformats.org/officeDocument/2006/relationships/hyperlink" Target="https://youtu.be/tRT-cLlXJZ0" TargetMode="External"/><Relationship Id="rId54" Type="http://schemas.openxmlformats.org/officeDocument/2006/relationships/hyperlink" Target="https://youtu.be/Wdv_3ojsPhU" TargetMode="External"/><Relationship Id="rId55" Type="http://schemas.openxmlformats.org/officeDocument/2006/relationships/hyperlink" Target="https://youtu.be/4Idz7uwm3OU" TargetMode="External"/><Relationship Id="rId56" Type="http://schemas.openxmlformats.org/officeDocument/2006/relationships/hyperlink" Target="https://youtu.be/J44yAQ_LXXU" TargetMode="External"/><Relationship Id="rId57" Type="http://schemas.openxmlformats.org/officeDocument/2006/relationships/hyperlink" Target="https://youtu.be/o1yPuXatVRs" TargetMode="External"/><Relationship Id="rId58" Type="http://schemas.openxmlformats.org/officeDocument/2006/relationships/hyperlink" Target="https://youtu.be/y47HOtqxZkg" TargetMode="External"/><Relationship Id="rId59" Type="http://schemas.openxmlformats.org/officeDocument/2006/relationships/hyperlink" Target="https://youtu.be/NF4nbNsqreQ" TargetMode="External"/><Relationship Id="rId60" Type="http://schemas.openxmlformats.org/officeDocument/2006/relationships/hyperlink" Target="https://youtu.be/lFyDmuDjRts" TargetMode="External"/><Relationship Id="rId61" Type="http://schemas.openxmlformats.org/officeDocument/2006/relationships/hyperlink" Target="https://youtu.be/SmRa30Jci54" TargetMode="External"/><Relationship Id="rId6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ghHW6sETs-I" TargetMode="External"/><Relationship Id="rId64" Type="http://schemas.openxmlformats.org/officeDocument/2006/relationships/hyperlink" Target="https://youtu.be/UNo4yBbidG4" TargetMode="External"/><Relationship Id="rId65" Type="http://schemas.openxmlformats.org/officeDocument/2006/relationships/hyperlink" Target="https://youtu.be/UNo4yBbidG4" TargetMode="External"/><Relationship Id="rId66" Type="http://schemas.openxmlformats.org/officeDocument/2006/relationships/hyperlink" Target="https://youtu.be/2PC8eYTte5w" TargetMode="External"/><Relationship Id="rId67" Type="http://schemas.openxmlformats.org/officeDocument/2006/relationships/hyperlink" Target="https://youtu.be/2PC8eYTte5w" TargetMode="External"/><Relationship Id="rId6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uMjeHo2_EwM" TargetMode="External"/><Relationship Id="rId70" Type="http://schemas.openxmlformats.org/officeDocument/2006/relationships/hyperlink" Target="https://youtu.be/uMjeHo2_EwM" TargetMode="External"/><Relationship Id="rId71" Type="http://schemas.openxmlformats.org/officeDocument/2006/relationships/hyperlink" Target="https://youtu.be/bxfHw1LvH24" TargetMode="External"/><Relationship Id="rId72" Type="http://schemas.openxmlformats.org/officeDocument/2006/relationships/hyperlink" Target="https://youtu.be/bxfHw1LvH24" TargetMode="External"/><Relationship Id="rId73" Type="http://schemas.openxmlformats.org/officeDocument/2006/relationships/hyperlink" Target="https://youtu.be/xyoFXl-k644" TargetMode="External"/><Relationship Id="rId74" Type="http://schemas.openxmlformats.org/officeDocument/2006/relationships/hyperlink" Target="https://youtu.be/QzjjwxZOVdE" TargetMode="External"/><Relationship Id="rId75" Type="http://schemas.openxmlformats.org/officeDocument/2006/relationships/hyperlink" Target="https://youtu.be/QzjjwxZOVdE" TargetMode="External"/><Relationship Id="rId76" Type="http://schemas.openxmlformats.org/officeDocument/2006/relationships/hyperlink" Target="https://youtu.be/2-o_-HTPhv8" TargetMode="External"/><Relationship Id="rId77" Type="http://schemas.openxmlformats.org/officeDocument/2006/relationships/hyperlink" Target="https://youtu.be/ppluAD4MHK8" TargetMode="External"/><Relationship Id="rId78" Type="http://schemas.openxmlformats.org/officeDocument/2006/relationships/hyperlink" Target="https://youtu.be/SYji94GabJg" TargetMode="External"/><Relationship Id="rId79" Type="http://schemas.openxmlformats.org/officeDocument/2006/relationships/hyperlink" Target="https://youtu.be/mJSsWpuyiCM" TargetMode="External"/><Relationship Id="rId80" Type="http://schemas.openxmlformats.org/officeDocument/2006/relationships/hyperlink" Target="https://youtu.be/SOyO4LHjhX4" TargetMode="External"/><Relationship Id="rId81" Type="http://schemas.openxmlformats.org/officeDocument/2006/relationships/hyperlink" Target="https://youtu.be/lNYA35p8XJQ" TargetMode="External"/><Relationship Id="rId82" Type="http://schemas.openxmlformats.org/officeDocument/2006/relationships/hyperlink" Target="https://youtu.be/uFEPuNtHoOU" TargetMode="External"/><Relationship Id="rId83" Type="http://schemas.openxmlformats.org/officeDocument/2006/relationships/hyperlink" Target="https://youtu.be/vNgwqFsVstY" TargetMode="External"/><Relationship Id="rId84" Type="http://schemas.openxmlformats.org/officeDocument/2006/relationships/hyperlink" Target="https://youtu.be/LRgZFHceZGo" TargetMode="External"/><Relationship Id="rId85" Type="http://schemas.openxmlformats.org/officeDocument/2006/relationships/hyperlink" Target="https://youtu.be/wjw-4R5VR20" TargetMode="External"/><Relationship Id="rId86" Type="http://schemas.openxmlformats.org/officeDocument/2006/relationships/hyperlink" Target="https://youtu.be/WWS1rPFPyiQ" TargetMode="External"/><Relationship Id="rId87" Type="http://schemas.openxmlformats.org/officeDocument/2006/relationships/hyperlink" Target="https://youtu.be/7If7L0lAur8" TargetMode="External"/><Relationship Id="rId88" Type="http://schemas.openxmlformats.org/officeDocument/2006/relationships/hyperlink" Target="https://youtu.be/xp1IeyTOB4U" TargetMode="External"/><Relationship Id="rId89" Type="http://schemas.openxmlformats.org/officeDocument/2006/relationships/hyperlink" Target="https://youtu.be/euEPxA3gsDo" TargetMode="External"/><Relationship Id="rId90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zbYgjREbdb0" TargetMode="External"/><Relationship Id="rId9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hzHJugCcT6g" TargetMode="External"/><Relationship Id="rId94" Type="http://schemas.openxmlformats.org/officeDocument/2006/relationships/hyperlink" Target="https://youtu.be/OMUGU1Vh8Ao" TargetMode="External"/><Relationship Id="rId95" Type="http://schemas.openxmlformats.org/officeDocument/2006/relationships/hyperlink" Target="https://youtu.be/m4KB9-Uo4Kc" TargetMode="External"/><Relationship Id="rId9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SMln-yOUKSA" TargetMode="External"/><Relationship Id="rId98" Type="http://schemas.openxmlformats.org/officeDocument/2006/relationships/hyperlink" Target="https://youtu.be/t2Kk-TOhq14" TargetMode="External"/><Relationship Id="rId99" Type="http://schemas.openxmlformats.org/officeDocument/2006/relationships/hyperlink" Target="https://youtu.be/_GBEHrc_V5U" TargetMode="External"/><Relationship Id="rId100" Type="http://schemas.openxmlformats.org/officeDocument/2006/relationships/hyperlink" Target="https://youtu.be/60Ai9_c60xg" TargetMode="External"/><Relationship Id="rId101" Type="http://schemas.openxmlformats.org/officeDocument/2006/relationships/hyperlink" Target="https://youtu.be/ipoTKasbDyQ" TargetMode="External"/><Relationship Id="rId102" Type="http://schemas.openxmlformats.org/officeDocument/2006/relationships/hyperlink" Target="https://youtu.be/6L7xI3jO_GU" TargetMode="External"/><Relationship Id="rId103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ZYM1mNayaeI" TargetMode="External"/><Relationship Id="rId105" Type="http://schemas.openxmlformats.org/officeDocument/2006/relationships/hyperlink" Target="https://youtu.be/Dl-by6_vATQ" TargetMode="External"/><Relationship Id="rId106" Type="http://schemas.openxmlformats.org/officeDocument/2006/relationships/hyperlink" Target="https://youtu.be/ILToidt_G0U" TargetMode="External"/><Relationship Id="rId107" Type="http://schemas.openxmlformats.org/officeDocument/2006/relationships/hyperlink" Target="https://youtu.be/20_pP7oaH34" TargetMode="External"/><Relationship Id="rId108" Type="http://schemas.openxmlformats.org/officeDocument/2006/relationships/hyperlink" Target="https://youtu.be/3s_QUA4HcxI" TargetMode="External"/><Relationship Id="rId109" Type="http://schemas.openxmlformats.org/officeDocument/2006/relationships/hyperlink" Target="https://youtu.be/cg4tsxQ1BP4" TargetMode="External"/><Relationship Id="rId110" Type="http://schemas.openxmlformats.org/officeDocument/2006/relationships/hyperlink" Target="https://youtu.be/TM_PeJIdQwE" TargetMode="External"/><Relationship Id="rId111" Type="http://schemas.openxmlformats.org/officeDocument/2006/relationships/hyperlink" Target="https://youtu.be/PFtO-p5VLO0" TargetMode="External"/><Relationship Id="rId112" Type="http://schemas.openxmlformats.org/officeDocument/2006/relationships/hyperlink" Target="https://youtu.be/zWRCV_td3I8" TargetMode="External"/><Relationship Id="rId113" Type="http://schemas.openxmlformats.org/officeDocument/2006/relationships/hyperlink" Target="https://youtu.be/zWRCV_td3I8" TargetMode="External"/><Relationship Id="rId114" Type="http://schemas.openxmlformats.org/officeDocument/2006/relationships/hyperlink" Target="https://youtu.be/MDuOnEyof1w" TargetMode="External"/><Relationship Id="rId115" Type="http://schemas.openxmlformats.org/officeDocument/2006/relationships/hyperlink" Target="https://youtu.be/efDlxayx234" TargetMode="External"/><Relationship Id="rId116" Type="http://schemas.openxmlformats.org/officeDocument/2006/relationships/hyperlink" Target="https://youtu.be/LYZDsNv8kJ8" TargetMode="External"/><Relationship Id="rId117" Type="http://schemas.openxmlformats.org/officeDocument/2006/relationships/hyperlink" Target="https://youtu.be/2JIPv1E5a0I" TargetMode="External"/><Relationship Id="rId118" Type="http://schemas.openxmlformats.org/officeDocument/2006/relationships/hyperlink" Target="https://youtu.be/eaI0E6ZcwM4" TargetMode="External"/><Relationship Id="rId119" Type="http://schemas.openxmlformats.org/officeDocument/2006/relationships/hyperlink" Target="https://youtu.be/n9RZ6FEthGU" TargetMode="External"/><Relationship Id="rId120" Type="http://schemas.openxmlformats.org/officeDocument/2006/relationships/hyperlink" Target="https://youtu.be/dF9Pm_-2zmg" TargetMode="External"/><Relationship Id="rId121" Type="http://schemas.openxmlformats.org/officeDocument/2006/relationships/hyperlink" Target="https://youtu.be/RGFdTZznnRs" TargetMode="External"/><Relationship Id="rId122" Type="http://schemas.openxmlformats.org/officeDocument/2006/relationships/hyperlink" Target="https://youtu.be/YIqmLutlM1g" TargetMode="External"/><Relationship Id="rId123" Type="http://schemas.openxmlformats.org/officeDocument/2006/relationships/hyperlink" Target="https://youtu.be/W6kJbZeFssU" TargetMode="External"/><Relationship Id="rId124" Type="http://schemas.openxmlformats.org/officeDocument/2006/relationships/hyperlink" Target="https://youtu.be/Ax_6UXGQo7o" TargetMode="External"/><Relationship Id="rId125" Type="http://schemas.openxmlformats.org/officeDocument/2006/relationships/hyperlink" Target="https://youtu.be/hJLXuvZd05w" TargetMode="External"/><Relationship Id="rId126" Type="http://schemas.openxmlformats.org/officeDocument/2006/relationships/hyperlink" Target="https://youtu.be/U3SkMY6jw5M" TargetMode="External"/><Relationship Id="rId127" Type="http://schemas.openxmlformats.org/officeDocument/2006/relationships/hyperlink" Target="https://youtu.be/daSL236nYZs" TargetMode="External"/><Relationship Id="rId128" Type="http://schemas.openxmlformats.org/officeDocument/2006/relationships/hyperlink" Target="https://youtu.be/He-GN_4MAY4" TargetMode="External"/><Relationship Id="rId129" Type="http://schemas.openxmlformats.org/officeDocument/2006/relationships/hyperlink" Target="https://youtu.be/B48xWtzMHxk" TargetMode="External"/><Relationship Id="rId130" Type="http://schemas.openxmlformats.org/officeDocument/2006/relationships/hyperlink" Target="https://youtu.be/pOX1m37rOWo" TargetMode="External"/><Relationship Id="rId131" Type="http://schemas.openxmlformats.org/officeDocument/2006/relationships/hyperlink" Target="https://youtu.be/a5_JKN7j7Ug" TargetMode="External"/><Relationship Id="rId132" Type="http://schemas.openxmlformats.org/officeDocument/2006/relationships/hyperlink" Target="https://youtu.be/aNzU6AYZiEs" TargetMode="External"/><Relationship Id="rId133" Type="http://schemas.openxmlformats.org/officeDocument/2006/relationships/hyperlink" Target="https://youtu.be/TtXlapucVxM" TargetMode="External"/><Relationship Id="rId134" Type="http://schemas.openxmlformats.org/officeDocument/2006/relationships/hyperlink" Target="https://youtu.be/B21LHpkamJM" TargetMode="External"/><Relationship Id="rId135" Type="http://schemas.openxmlformats.org/officeDocument/2006/relationships/hyperlink" Target="https://youtu.be/B33bKk_r5PU" TargetMode="External"/><Relationship Id="rId136" Type="http://schemas.openxmlformats.org/officeDocument/2006/relationships/hyperlink" Target="https://youtu.be/tu2Q82-HMg0" TargetMode="External"/><Relationship Id="rId137" Type="http://schemas.openxmlformats.org/officeDocument/2006/relationships/hyperlink" Target="https://youtu.be/gYbmiluG5Ho" TargetMode="External"/><Relationship Id="rId138" Type="http://schemas.openxmlformats.org/officeDocument/2006/relationships/hyperlink" Target="https://youtu.be/zWRCV_td3I8" TargetMode="External"/><Relationship Id="rId139" Type="http://schemas.openxmlformats.org/officeDocument/2006/relationships/hyperlink" Target="https://youtu.be/zWRCV_td3I8" TargetMode="External"/><Relationship Id="rId140" Type="http://schemas.openxmlformats.org/officeDocument/2006/relationships/hyperlink" Target="https://youtu.be/n9RZ6FEthGU" TargetMode="External"/><Relationship Id="rId141" Type="http://schemas.openxmlformats.org/officeDocument/2006/relationships/hyperlink" Target="https://youtu.be/MDuOnEyof1w" TargetMode="External"/><Relationship Id="rId142" Type="http://schemas.openxmlformats.org/officeDocument/2006/relationships/hyperlink" Target="https://youtu.be/dF9Pm_-2zmg" TargetMode="External"/><Relationship Id="rId143" Type="http://schemas.openxmlformats.org/officeDocument/2006/relationships/hyperlink" Target="https://youtu.be/efDlxayx234" TargetMode="External"/><Relationship Id="rId144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LYZDsNv8kJ8" TargetMode="External"/><Relationship Id="rId146" Type="http://schemas.openxmlformats.org/officeDocument/2006/relationships/hyperlink" Target="https://youtu.be/YIqmLutlM1g" TargetMode="External"/><Relationship Id="rId147" Type="http://schemas.openxmlformats.org/officeDocument/2006/relationships/hyperlink" Target="https://youtu.be/2JIPv1E5a0I" TargetMode="External"/><Relationship Id="rId148" Type="http://schemas.openxmlformats.org/officeDocument/2006/relationships/hyperlink" Target="https://youtu.be/W6kJbZeFssU" TargetMode="External"/><Relationship Id="rId149" Type="http://schemas.openxmlformats.org/officeDocument/2006/relationships/hyperlink" Target="https://youtu.be/eaI0E6ZcwM4" TargetMode="External"/><Relationship Id="rId150" Type="http://schemas.openxmlformats.org/officeDocument/2006/relationships/hyperlink" Target="https://youtu.be/Ax_6UXGQo7o" TargetMode="External"/><Relationship Id="rId151" Type="http://schemas.openxmlformats.org/officeDocument/2006/relationships/hyperlink" Target="https://youtu.be/t2Kk-TOhq14" TargetMode="External"/><Relationship Id="rId152" Type="http://schemas.openxmlformats.org/officeDocument/2006/relationships/hyperlink" Target="https://youtu.be/hJLXuvZd05w" TargetMode="External"/><Relationship Id="rId153" Type="http://schemas.openxmlformats.org/officeDocument/2006/relationships/hyperlink" Target="https://youtu.be/_GBEHrc_V5U" TargetMode="External"/><Relationship Id="rId154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60Ai9_c60xg" TargetMode="External"/><Relationship Id="rId156" Type="http://schemas.openxmlformats.org/officeDocument/2006/relationships/hyperlink" Target="https://youtu.be/daSL236nYZs" TargetMode="External"/><Relationship Id="rId157" Type="http://schemas.openxmlformats.org/officeDocument/2006/relationships/hyperlink" Target="https://youtu.be/ipoTKasbDyQ" TargetMode="External"/><Relationship Id="rId158" Type="http://schemas.openxmlformats.org/officeDocument/2006/relationships/hyperlink" Target="https://youtu.be/He-GN_4MAY4" TargetMode="External"/><Relationship Id="rId159" Type="http://schemas.openxmlformats.org/officeDocument/2006/relationships/hyperlink" Target="https://youtu.be/6L7xI3jO_GU" TargetMode="External"/><Relationship Id="rId160" Type="http://schemas.openxmlformats.org/officeDocument/2006/relationships/hyperlink" Target="https://youtu.be/B48xWtzMHxk" TargetMode="External"/><Relationship Id="rId161" Type="http://schemas.openxmlformats.org/officeDocument/2006/relationships/hyperlink" Target="https://youtu.be/UPGRju60F60" TargetMode="External"/><Relationship Id="rId162" Type="http://schemas.openxmlformats.org/officeDocument/2006/relationships/hyperlink" Target="https://youtu.be/pOX1m37rOWo" TargetMode="External"/><Relationship Id="rId163" Type="http://schemas.openxmlformats.org/officeDocument/2006/relationships/hyperlink" Target="https://youtu.be/ZYM1mNayaeI" TargetMode="External"/><Relationship Id="rId164" Type="http://schemas.openxmlformats.org/officeDocument/2006/relationships/hyperlink" Target="https://youtu.be/a5_JKN7j7Ug" TargetMode="External"/><Relationship Id="rId165" Type="http://schemas.openxmlformats.org/officeDocument/2006/relationships/hyperlink" Target="https://youtu.be/aNzU6AYZiEs" TargetMode="External"/><Relationship Id="rId166" Type="http://schemas.openxmlformats.org/officeDocument/2006/relationships/hyperlink" Target="https://youtu.be/TtXlapucVxM" TargetMode="External"/><Relationship Id="rId167" Type="http://schemas.openxmlformats.org/officeDocument/2006/relationships/hyperlink" Target="https://youtu.be/B21LHpkamJM" TargetMode="External"/><Relationship Id="rId168" Type="http://schemas.openxmlformats.org/officeDocument/2006/relationships/hyperlink" Target="https://youtu.be/B33bKk_r5PU" TargetMode="External"/><Relationship Id="rId169" Type="http://schemas.openxmlformats.org/officeDocument/2006/relationships/hyperlink" Target="https://youtu.be/tu2Q82-HMg0" TargetMode="External"/><Relationship Id="rId170" Type="http://schemas.openxmlformats.org/officeDocument/2006/relationships/hyperlink" Target="https://youtu.be/gYbmiluG5Ho" TargetMode="External"/><Relationship Id="rId171" Type="http://schemas.openxmlformats.org/officeDocument/2006/relationships/hyperlink" Target="https://youtu.be/BvX7g1yr1pY" TargetMode="External"/><Relationship Id="rId172" Type="http://schemas.openxmlformats.org/officeDocument/2006/relationships/hyperlink" Target="https://youtu.be/fbFISuP7Ezk" TargetMode="External"/><Relationship Id="rId173" Type="http://schemas.openxmlformats.org/officeDocument/2006/relationships/hyperlink" Target="https://youtu.be/d90AskSQcDc" TargetMode="External"/><Relationship Id="rId174" Type="http://schemas.openxmlformats.org/officeDocument/2006/relationships/hyperlink" Target="https://youtu.be/KkpCTyjGlZo" TargetMode="External"/><Relationship Id="rId175" Type="http://schemas.openxmlformats.org/officeDocument/2006/relationships/hyperlink" Target="https://youtu.be/Ana4dJbCvxE" TargetMode="External"/><Relationship Id="rId176" Type="http://schemas.openxmlformats.org/officeDocument/2006/relationships/hyperlink" Target="https://youtu.be/FoZM6vuuKBc" TargetMode="External"/><Relationship Id="rId177" Type="http://schemas.openxmlformats.org/officeDocument/2006/relationships/hyperlink" Target="https://youtu.be/c32OxRaEhxM" TargetMode="External"/><Relationship Id="rId178" Type="http://schemas.openxmlformats.org/officeDocument/2006/relationships/hyperlink" Target="https://youtu.be/pg3hz43P09w" TargetMode="External"/><Relationship Id="rId179" Type="http://schemas.openxmlformats.org/officeDocument/2006/relationships/hyperlink" Target="https://youtu.be/7P2LTF73EOM" TargetMode="External"/><Relationship Id="rId180" Type="http://schemas.openxmlformats.org/officeDocument/2006/relationships/drawing" Target="../drawings/drawing3.xml"/><Relationship Id="rId181" Type="http://schemas.openxmlformats.org/officeDocument/2006/relationships/table" Target="../tables/table2.xml"/><Relationship Id="rId182" Type="http://schemas.openxmlformats.org/officeDocument/2006/relationships/table" Target="../tables/table6.xml"/><Relationship Id="rId183" Type="http://schemas.openxmlformats.org/officeDocument/2006/relationships/table" Target="../tables/table10.xml"/><Relationship Id="rId184" Type="http://schemas.openxmlformats.org/officeDocument/2006/relationships/table" Target="../tables/table14.xml"/><Relationship Id="rId185" Type="http://schemas.openxmlformats.org/officeDocument/2006/relationships/table" Target="../tables/table18.xml"/><Relationship Id="rId186" Type="http://schemas.openxmlformats.org/officeDocument/2006/relationships/table" Target="../tables/table22.xml"/><Relationship Id="rId187" Type="http://schemas.openxmlformats.org/officeDocument/2006/relationships/table" Target="../tables/table26.xml"/><Relationship Id="rId188" Type="http://schemas.openxmlformats.org/officeDocument/2006/relationships/table" Target="../tables/table30.xml"/><Relationship Id="rId189" Type="http://schemas.openxmlformats.org/officeDocument/2006/relationships/table" Target="../tables/table34.xml"/><Relationship Id="rId190" Type="http://schemas.openxmlformats.org/officeDocument/2006/relationships/table" Target="../tables/table38.xml"/><Relationship Id="rId191" Type="http://schemas.openxmlformats.org/officeDocument/2006/relationships/table" Target="../tables/table42.xml"/><Relationship Id="rId192" Type="http://schemas.openxmlformats.org/officeDocument/2006/relationships/table" Target="../tables/table46.xml"/><Relationship Id="rId193" Type="http://schemas.openxmlformats.org/officeDocument/2006/relationships/table" Target="../tables/table50.xml"/><Relationship Id="rId194" Type="http://schemas.openxmlformats.org/officeDocument/2006/relationships/table" Target="../tables/table54.xml"/><Relationship Id="rId195" Type="http://schemas.openxmlformats.org/officeDocument/2006/relationships/table" Target="../tables/table58.xml"/><Relationship Id="rId196" Type="http://schemas.openxmlformats.org/officeDocument/2006/relationships/table" Target="../tables/table62.xml"/><Relationship Id="rId197" Type="http://schemas.openxmlformats.org/officeDocument/2006/relationships/table" Target="../tables/table66.xml"/><Relationship Id="rId198" Type="http://schemas.openxmlformats.org/officeDocument/2006/relationships/table" Target="../tables/table70.xml"/><Relationship Id="rId199" Type="http://schemas.openxmlformats.org/officeDocument/2006/relationships/table" Target="../tables/table74.xml"/><Relationship Id="rId200" Type="http://schemas.openxmlformats.org/officeDocument/2006/relationships/table" Target="../tables/table78.xml"/><Relationship Id="rId201" Type="http://schemas.openxmlformats.org/officeDocument/2006/relationships/table" Target="../tables/table82.xml"/><Relationship Id="rId202" Type="http://schemas.openxmlformats.org/officeDocument/2006/relationships/table" Target="../tables/table86.xml"/><Relationship Id="rId203" Type="http://schemas.openxmlformats.org/officeDocument/2006/relationships/table" Target="../tables/table90.xml"/><Relationship Id="rId204" Type="http://schemas.openxmlformats.org/officeDocument/2006/relationships/table" Target="../tables/table9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youtu.be/GWeVF2aVk8g" TargetMode="External"/><Relationship Id="rId2" Type="http://schemas.openxmlformats.org/officeDocument/2006/relationships/hyperlink" Target="https://youtu.be/JYiWXFIikW4" TargetMode="External"/><Relationship Id="rId3" Type="http://schemas.openxmlformats.org/officeDocument/2006/relationships/hyperlink" Target="https://youtu.be/ENaZCLrz8_c" TargetMode="External"/><Relationship Id="rId4" Type="http://schemas.openxmlformats.org/officeDocument/2006/relationships/hyperlink" Target="https://youtu.be/vz97voWk3jU" TargetMode="External"/><Relationship Id="rId5" Type="http://schemas.openxmlformats.org/officeDocument/2006/relationships/hyperlink" Target="https://youtu.be/sPIBL43Ds48" TargetMode="External"/><Relationship Id="rId6" Type="http://schemas.openxmlformats.org/officeDocument/2006/relationships/hyperlink" Target="https://youtu.be/sPIBL43Ds48" TargetMode="External"/><Relationship Id="rId7" Type="http://schemas.openxmlformats.org/officeDocument/2006/relationships/hyperlink" Target="https://youtu.be/dmwMfjPQIP8" TargetMode="External"/><Relationship Id="rId8" Type="http://schemas.openxmlformats.org/officeDocument/2006/relationships/hyperlink" Target="https://youtu.be/5p-vP_XyNaA" TargetMode="External"/><Relationship Id="rId9" Type="http://schemas.openxmlformats.org/officeDocument/2006/relationships/hyperlink" Target="https://youtu.be/wrPN51LyOUE" TargetMode="External"/><Relationship Id="rId10" Type="http://schemas.openxmlformats.org/officeDocument/2006/relationships/hyperlink" Target="https://youtu.be/mucRuC4sEjQ" TargetMode="External"/><Relationship Id="rId11" Type="http://schemas.openxmlformats.org/officeDocument/2006/relationships/hyperlink" Target="https://youtu.be/oRRs1bGzimM" TargetMode="External"/><Relationship Id="rId12" Type="http://schemas.openxmlformats.org/officeDocument/2006/relationships/hyperlink" Target="https://youtu.be/IkrC1u5e-RQ" TargetMode="External"/><Relationship Id="rId13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MCjBeB844rU" TargetMode="External"/><Relationship Id="rId15" Type="http://schemas.openxmlformats.org/officeDocument/2006/relationships/hyperlink" Target="https://youtu.be/GztM7atVgd8" TargetMode="External"/><Relationship Id="rId16" Type="http://schemas.openxmlformats.org/officeDocument/2006/relationships/hyperlink" Target="https://youtu.be/yYB76DOBPsM" TargetMode="External"/><Relationship Id="rId17" Type="http://schemas.openxmlformats.org/officeDocument/2006/relationships/hyperlink" Target="https://youtu.be/nW7w5vG6IIc" TargetMode="External"/><Relationship Id="rId18" Type="http://schemas.openxmlformats.org/officeDocument/2006/relationships/hyperlink" Target="https://youtu.be/2jsTYbOkx1U" TargetMode="External"/><Relationship Id="rId19" Type="http://schemas.openxmlformats.org/officeDocument/2006/relationships/hyperlink" Target="https://youtu.be/DcRJ3bLJuVw" TargetMode="External"/><Relationship Id="rId20" Type="http://schemas.openxmlformats.org/officeDocument/2006/relationships/hyperlink" Target="https://youtu.be/xsOm9xn83-8" TargetMode="External"/><Relationship Id="rId21" Type="http://schemas.openxmlformats.org/officeDocument/2006/relationships/hyperlink" Target="https://youtu.be/y_GK6fn7raU" TargetMode="External"/><Relationship Id="rId22" Type="http://schemas.openxmlformats.org/officeDocument/2006/relationships/hyperlink" Target="https://youtu.be/y_GK6fn7raU" TargetMode="External"/><Relationship Id="rId23" Type="http://schemas.openxmlformats.org/officeDocument/2006/relationships/hyperlink" Target="https://youtu.be/S97e09rLmEU" TargetMode="External"/><Relationship Id="rId24" Type="http://schemas.openxmlformats.org/officeDocument/2006/relationships/hyperlink" Target="https://youtu.be/sR_EdrSruyQ" TargetMode="External"/><Relationship Id="rId25" Type="http://schemas.openxmlformats.org/officeDocument/2006/relationships/hyperlink" Target="https://youtu.be/BvX7g1yr1pY" TargetMode="External"/><Relationship Id="rId26" Type="http://schemas.openxmlformats.org/officeDocument/2006/relationships/hyperlink" Target="https://youtu.be/d90AskSQcDc" TargetMode="External"/><Relationship Id="rId27" Type="http://schemas.openxmlformats.org/officeDocument/2006/relationships/hyperlink" Target="https://youtu.be/Ana4dJbCvxE" TargetMode="External"/><Relationship Id="rId28" Type="http://schemas.openxmlformats.org/officeDocument/2006/relationships/hyperlink" Target="https://youtu.be/c32OxRaEhxM" TargetMode="External"/><Relationship Id="rId29" Type="http://schemas.openxmlformats.org/officeDocument/2006/relationships/hyperlink" Target="https://youtu.be/fbFISuP7Ezk" TargetMode="External"/><Relationship Id="rId30" Type="http://schemas.openxmlformats.org/officeDocument/2006/relationships/hyperlink" Target="https://youtu.be/KkpCTyjGlZo" TargetMode="External"/><Relationship Id="rId31" Type="http://schemas.openxmlformats.org/officeDocument/2006/relationships/hyperlink" Target="https://youtu.be/FoZM6vuuKBc" TargetMode="External"/><Relationship Id="rId32" Type="http://schemas.openxmlformats.org/officeDocument/2006/relationships/hyperlink" Target="https://youtu.be/pg3hz43P09w" TargetMode="External"/><Relationship Id="rId33" Type="http://schemas.openxmlformats.org/officeDocument/2006/relationships/hyperlink" Target="https://youtu.be/7P2LTF73EOM" TargetMode="External"/><Relationship Id="rId34" Type="http://schemas.openxmlformats.org/officeDocument/2006/relationships/hyperlink" Target="https://youtu.be/hR8aOS5LZjU" TargetMode="External"/><Relationship Id="rId35" Type="http://schemas.openxmlformats.org/officeDocument/2006/relationships/hyperlink" Target="https://youtu.be/6DiJh6_jeoo" TargetMode="External"/><Relationship Id="rId36" Type="http://schemas.openxmlformats.org/officeDocument/2006/relationships/hyperlink" Target="https://youtu.be/z3yCDRGrQTM" TargetMode="External"/><Relationship Id="rId37" Type="http://schemas.openxmlformats.org/officeDocument/2006/relationships/hyperlink" Target="https://youtu.be/S3NIBLmlKaU" TargetMode="External"/><Relationship Id="rId38" Type="http://schemas.openxmlformats.org/officeDocument/2006/relationships/hyperlink" Target="https://youtu.be/hJLXuvZd05w" TargetMode="External"/><Relationship Id="rId39" Type="http://schemas.openxmlformats.org/officeDocument/2006/relationships/hyperlink" Target="https://youtu.be/daSL236nYZs" TargetMode="External"/><Relationship Id="rId40" Type="http://schemas.openxmlformats.org/officeDocument/2006/relationships/hyperlink" Target="https://youtu.be/B48xWtzMHxk" TargetMode="External"/><Relationship Id="rId41" Type="http://schemas.openxmlformats.org/officeDocument/2006/relationships/hyperlink" Target="https://youtu.be/a5_JKN7j7Ug" TargetMode="External"/><Relationship Id="rId42" Type="http://schemas.openxmlformats.org/officeDocument/2006/relationships/hyperlink" Target="https://youtu.be/TtXlapucVxM" TargetMode="External"/><Relationship Id="rId43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tu2Q82-HMg0" TargetMode="External"/><Relationship Id="rId45" Type="http://schemas.openxmlformats.org/officeDocument/2006/relationships/hyperlink" Target="https://youtu.be/gYbmiluG5Ho" TargetMode="External"/><Relationship Id="rId46" Type="http://schemas.openxmlformats.org/officeDocument/2006/relationships/hyperlink" Target="https://youtu.be/U3SkMY6jw5M" TargetMode="External"/><Relationship Id="rId47" Type="http://schemas.openxmlformats.org/officeDocument/2006/relationships/hyperlink" Target="https://youtu.be/He-GN_4MAY4" TargetMode="External"/><Relationship Id="rId48" Type="http://schemas.openxmlformats.org/officeDocument/2006/relationships/hyperlink" Target="https://youtu.be/pOX1m37rOWo" TargetMode="External"/><Relationship Id="rId49" Type="http://schemas.openxmlformats.org/officeDocument/2006/relationships/hyperlink" Target="https://youtu.be/aNzU6AYZiEs" TargetMode="External"/><Relationship Id="rId50" Type="http://schemas.openxmlformats.org/officeDocument/2006/relationships/hyperlink" Target="https://youtu.be/B21LHpkamJM" TargetMode="External"/><Relationship Id="rId51" Type="http://schemas.openxmlformats.org/officeDocument/2006/relationships/hyperlink" Target="https://youtu.be/o2qSVwxiFk4" TargetMode="External"/><Relationship Id="rId52" Type="http://schemas.openxmlformats.org/officeDocument/2006/relationships/hyperlink" Target="https://youtu.be/ROIrNQJBKZ0" TargetMode="External"/><Relationship Id="rId53" Type="http://schemas.openxmlformats.org/officeDocument/2006/relationships/hyperlink" Target="https://youtu.be/tRT-cLlXJZ0" TargetMode="External"/><Relationship Id="rId54" Type="http://schemas.openxmlformats.org/officeDocument/2006/relationships/hyperlink" Target="https://youtu.be/Wdv_3ojsPhU" TargetMode="External"/><Relationship Id="rId55" Type="http://schemas.openxmlformats.org/officeDocument/2006/relationships/hyperlink" Target="https://youtu.be/4Idz7uwm3OU" TargetMode="External"/><Relationship Id="rId56" Type="http://schemas.openxmlformats.org/officeDocument/2006/relationships/hyperlink" Target="https://youtu.be/J44yAQ_LXXU" TargetMode="External"/><Relationship Id="rId57" Type="http://schemas.openxmlformats.org/officeDocument/2006/relationships/hyperlink" Target="https://youtu.be/o1yPuXatVRs" TargetMode="External"/><Relationship Id="rId58" Type="http://schemas.openxmlformats.org/officeDocument/2006/relationships/hyperlink" Target="https://youtu.be/y47HOtqxZkg" TargetMode="External"/><Relationship Id="rId59" Type="http://schemas.openxmlformats.org/officeDocument/2006/relationships/hyperlink" Target="https://youtu.be/NF4nbNsqreQ" TargetMode="External"/><Relationship Id="rId60" Type="http://schemas.openxmlformats.org/officeDocument/2006/relationships/hyperlink" Target="https://youtu.be/lFyDmuDjRts" TargetMode="External"/><Relationship Id="rId61" Type="http://schemas.openxmlformats.org/officeDocument/2006/relationships/hyperlink" Target="https://youtu.be/SmRa30Jci54" TargetMode="External"/><Relationship Id="rId6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ghHW6sETs-I" TargetMode="External"/><Relationship Id="rId64" Type="http://schemas.openxmlformats.org/officeDocument/2006/relationships/hyperlink" Target="https://youtu.be/UNo4yBbidG4" TargetMode="External"/><Relationship Id="rId65" Type="http://schemas.openxmlformats.org/officeDocument/2006/relationships/hyperlink" Target="https://youtu.be/UNo4yBbidG4" TargetMode="External"/><Relationship Id="rId66" Type="http://schemas.openxmlformats.org/officeDocument/2006/relationships/hyperlink" Target="https://youtu.be/2PC8eYTte5w" TargetMode="External"/><Relationship Id="rId67" Type="http://schemas.openxmlformats.org/officeDocument/2006/relationships/hyperlink" Target="https://youtu.be/2PC8eYTte5w" TargetMode="External"/><Relationship Id="rId68" Type="http://schemas.openxmlformats.org/officeDocument/2006/relationships/hyperlink" Target="https://youtu.be/gQ179IUjMsQ" TargetMode="External"/><Relationship Id="rId69" Type="http://schemas.openxmlformats.org/officeDocument/2006/relationships/hyperlink" Target="https://youtu.be/uMjeHo2_EwM" TargetMode="External"/><Relationship Id="rId70" Type="http://schemas.openxmlformats.org/officeDocument/2006/relationships/hyperlink" Target="https://youtu.be/uMjeHo2_EwM" TargetMode="External"/><Relationship Id="rId71" Type="http://schemas.openxmlformats.org/officeDocument/2006/relationships/hyperlink" Target="https://youtu.be/bxfHw1LvH24" TargetMode="External"/><Relationship Id="rId72" Type="http://schemas.openxmlformats.org/officeDocument/2006/relationships/hyperlink" Target="https://youtu.be/bxfHw1LvH24" TargetMode="External"/><Relationship Id="rId73" Type="http://schemas.openxmlformats.org/officeDocument/2006/relationships/hyperlink" Target="https://youtu.be/xyoFXl-k644" TargetMode="External"/><Relationship Id="rId74" Type="http://schemas.openxmlformats.org/officeDocument/2006/relationships/hyperlink" Target="https://youtu.be/QzjjwxZOVdE" TargetMode="External"/><Relationship Id="rId75" Type="http://schemas.openxmlformats.org/officeDocument/2006/relationships/hyperlink" Target="https://youtu.be/QzjjwxZOVdE" TargetMode="External"/><Relationship Id="rId76" Type="http://schemas.openxmlformats.org/officeDocument/2006/relationships/hyperlink" Target="https://youtu.be/2-o_-HTPhv8" TargetMode="External"/><Relationship Id="rId77" Type="http://schemas.openxmlformats.org/officeDocument/2006/relationships/hyperlink" Target="https://youtu.be/ppluAD4MHK8" TargetMode="External"/><Relationship Id="rId78" Type="http://schemas.openxmlformats.org/officeDocument/2006/relationships/hyperlink" Target="https://youtu.be/SYji94GabJg" TargetMode="External"/><Relationship Id="rId79" Type="http://schemas.openxmlformats.org/officeDocument/2006/relationships/hyperlink" Target="https://youtu.be/mJSsWpuyiCM" TargetMode="External"/><Relationship Id="rId80" Type="http://schemas.openxmlformats.org/officeDocument/2006/relationships/hyperlink" Target="https://youtu.be/SOyO4LHjhX4" TargetMode="External"/><Relationship Id="rId81" Type="http://schemas.openxmlformats.org/officeDocument/2006/relationships/hyperlink" Target="https://youtu.be/lNYA35p8XJQ" TargetMode="External"/><Relationship Id="rId82" Type="http://schemas.openxmlformats.org/officeDocument/2006/relationships/hyperlink" Target="https://youtu.be/uFEPuNtHoOU" TargetMode="External"/><Relationship Id="rId83" Type="http://schemas.openxmlformats.org/officeDocument/2006/relationships/hyperlink" Target="https://youtu.be/vNgwqFsVstY" TargetMode="External"/><Relationship Id="rId84" Type="http://schemas.openxmlformats.org/officeDocument/2006/relationships/hyperlink" Target="https://youtu.be/LRgZFHceZGo" TargetMode="External"/><Relationship Id="rId85" Type="http://schemas.openxmlformats.org/officeDocument/2006/relationships/hyperlink" Target="https://youtu.be/wjw-4R5VR20" TargetMode="External"/><Relationship Id="rId86" Type="http://schemas.openxmlformats.org/officeDocument/2006/relationships/hyperlink" Target="https://youtu.be/WWS1rPFPyiQ" TargetMode="External"/><Relationship Id="rId87" Type="http://schemas.openxmlformats.org/officeDocument/2006/relationships/hyperlink" Target="https://youtu.be/7If7L0lAur8" TargetMode="External"/><Relationship Id="rId88" Type="http://schemas.openxmlformats.org/officeDocument/2006/relationships/hyperlink" Target="https://youtu.be/xp1IeyTOB4U" TargetMode="External"/><Relationship Id="rId89" Type="http://schemas.openxmlformats.org/officeDocument/2006/relationships/hyperlink" Target="https://youtu.be/euEPxA3gsDo" TargetMode="External"/><Relationship Id="rId90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zbYgjREbdb0" TargetMode="External"/><Relationship Id="rId9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hzHJugCcT6g" TargetMode="External"/><Relationship Id="rId94" Type="http://schemas.openxmlformats.org/officeDocument/2006/relationships/hyperlink" Target="https://youtu.be/OMUGU1Vh8Ao" TargetMode="External"/><Relationship Id="rId95" Type="http://schemas.openxmlformats.org/officeDocument/2006/relationships/hyperlink" Target="https://youtu.be/m4KB9-Uo4Kc" TargetMode="External"/><Relationship Id="rId9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SMln-yOUKSA" TargetMode="External"/><Relationship Id="rId98" Type="http://schemas.openxmlformats.org/officeDocument/2006/relationships/hyperlink" Target="https://youtu.be/t2Kk-TOhq14" TargetMode="External"/><Relationship Id="rId99" Type="http://schemas.openxmlformats.org/officeDocument/2006/relationships/hyperlink" Target="https://youtu.be/_GBEHrc_V5U" TargetMode="External"/><Relationship Id="rId100" Type="http://schemas.openxmlformats.org/officeDocument/2006/relationships/hyperlink" Target="https://youtu.be/60Ai9_c60xg" TargetMode="External"/><Relationship Id="rId101" Type="http://schemas.openxmlformats.org/officeDocument/2006/relationships/hyperlink" Target="https://youtu.be/ipoTKasbDyQ" TargetMode="External"/><Relationship Id="rId102" Type="http://schemas.openxmlformats.org/officeDocument/2006/relationships/hyperlink" Target="https://youtu.be/6L7xI3jO_GU" TargetMode="External"/><Relationship Id="rId103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ZYM1mNayaeI" TargetMode="External"/><Relationship Id="rId105" Type="http://schemas.openxmlformats.org/officeDocument/2006/relationships/hyperlink" Target="https://youtu.be/Dl-by6_vATQ" TargetMode="External"/><Relationship Id="rId106" Type="http://schemas.openxmlformats.org/officeDocument/2006/relationships/hyperlink" Target="https://youtu.be/ILToidt_G0U" TargetMode="External"/><Relationship Id="rId107" Type="http://schemas.openxmlformats.org/officeDocument/2006/relationships/hyperlink" Target="https://youtu.be/20_pP7oaH34" TargetMode="External"/><Relationship Id="rId108" Type="http://schemas.openxmlformats.org/officeDocument/2006/relationships/hyperlink" Target="https://youtu.be/3s_QUA4HcxI" TargetMode="External"/><Relationship Id="rId109" Type="http://schemas.openxmlformats.org/officeDocument/2006/relationships/hyperlink" Target="https://youtu.be/cg4tsxQ1BP4" TargetMode="External"/><Relationship Id="rId110" Type="http://schemas.openxmlformats.org/officeDocument/2006/relationships/hyperlink" Target="https://youtu.be/TM_PeJIdQwE" TargetMode="External"/><Relationship Id="rId111" Type="http://schemas.openxmlformats.org/officeDocument/2006/relationships/hyperlink" Target="https://youtu.be/PFtO-p5VLO0" TargetMode="External"/><Relationship Id="rId112" Type="http://schemas.openxmlformats.org/officeDocument/2006/relationships/hyperlink" Target="https://youtu.be/zWRCV_td3I8" TargetMode="External"/><Relationship Id="rId113" Type="http://schemas.openxmlformats.org/officeDocument/2006/relationships/hyperlink" Target="https://youtu.be/zWRCV_td3I8" TargetMode="External"/><Relationship Id="rId114" Type="http://schemas.openxmlformats.org/officeDocument/2006/relationships/hyperlink" Target="https://youtu.be/MDuOnEyof1w" TargetMode="External"/><Relationship Id="rId115" Type="http://schemas.openxmlformats.org/officeDocument/2006/relationships/hyperlink" Target="https://youtu.be/efDlxayx234" TargetMode="External"/><Relationship Id="rId116" Type="http://schemas.openxmlformats.org/officeDocument/2006/relationships/hyperlink" Target="https://youtu.be/LYZDsNv8kJ8" TargetMode="External"/><Relationship Id="rId117" Type="http://schemas.openxmlformats.org/officeDocument/2006/relationships/hyperlink" Target="https://youtu.be/2JIPv1E5a0I" TargetMode="External"/><Relationship Id="rId118" Type="http://schemas.openxmlformats.org/officeDocument/2006/relationships/hyperlink" Target="https://youtu.be/eaI0E6ZcwM4" TargetMode="External"/><Relationship Id="rId119" Type="http://schemas.openxmlformats.org/officeDocument/2006/relationships/hyperlink" Target="https://youtu.be/n9RZ6FEthGU" TargetMode="External"/><Relationship Id="rId120" Type="http://schemas.openxmlformats.org/officeDocument/2006/relationships/hyperlink" Target="https://youtu.be/dF9Pm_-2zmg" TargetMode="External"/><Relationship Id="rId121" Type="http://schemas.openxmlformats.org/officeDocument/2006/relationships/hyperlink" Target="https://youtu.be/RGFdTZznnRs" TargetMode="External"/><Relationship Id="rId122" Type="http://schemas.openxmlformats.org/officeDocument/2006/relationships/hyperlink" Target="https://youtu.be/YIqmLutlM1g" TargetMode="External"/><Relationship Id="rId123" Type="http://schemas.openxmlformats.org/officeDocument/2006/relationships/hyperlink" Target="https://youtu.be/W6kJbZeFssU" TargetMode="External"/><Relationship Id="rId124" Type="http://schemas.openxmlformats.org/officeDocument/2006/relationships/hyperlink" Target="https://youtu.be/Ax_6UXGQo7o" TargetMode="External"/><Relationship Id="rId125" Type="http://schemas.openxmlformats.org/officeDocument/2006/relationships/hyperlink" Target="https://youtu.be/hJLXuvZd05w" TargetMode="External"/><Relationship Id="rId126" Type="http://schemas.openxmlformats.org/officeDocument/2006/relationships/hyperlink" Target="https://youtu.be/U3SkMY6jw5M" TargetMode="External"/><Relationship Id="rId127" Type="http://schemas.openxmlformats.org/officeDocument/2006/relationships/hyperlink" Target="https://youtu.be/daSL236nYZs" TargetMode="External"/><Relationship Id="rId128" Type="http://schemas.openxmlformats.org/officeDocument/2006/relationships/hyperlink" Target="https://youtu.be/He-GN_4MAY4" TargetMode="External"/><Relationship Id="rId129" Type="http://schemas.openxmlformats.org/officeDocument/2006/relationships/hyperlink" Target="https://youtu.be/B48xWtzMHxk" TargetMode="External"/><Relationship Id="rId130" Type="http://schemas.openxmlformats.org/officeDocument/2006/relationships/hyperlink" Target="https://youtu.be/pOX1m37rOWo" TargetMode="External"/><Relationship Id="rId131" Type="http://schemas.openxmlformats.org/officeDocument/2006/relationships/hyperlink" Target="https://youtu.be/a5_JKN7j7Ug" TargetMode="External"/><Relationship Id="rId132" Type="http://schemas.openxmlformats.org/officeDocument/2006/relationships/hyperlink" Target="https://youtu.be/aNzU6AYZiEs" TargetMode="External"/><Relationship Id="rId133" Type="http://schemas.openxmlformats.org/officeDocument/2006/relationships/hyperlink" Target="https://youtu.be/TtXlapucVxM" TargetMode="External"/><Relationship Id="rId134" Type="http://schemas.openxmlformats.org/officeDocument/2006/relationships/hyperlink" Target="https://youtu.be/B21LHpkamJM" TargetMode="External"/><Relationship Id="rId135" Type="http://schemas.openxmlformats.org/officeDocument/2006/relationships/hyperlink" Target="https://youtu.be/B33bKk_r5PU" TargetMode="External"/><Relationship Id="rId136" Type="http://schemas.openxmlformats.org/officeDocument/2006/relationships/hyperlink" Target="https://youtu.be/tu2Q82-HMg0" TargetMode="External"/><Relationship Id="rId137" Type="http://schemas.openxmlformats.org/officeDocument/2006/relationships/hyperlink" Target="https://youtu.be/gYbmiluG5Ho" TargetMode="External"/><Relationship Id="rId138" Type="http://schemas.openxmlformats.org/officeDocument/2006/relationships/hyperlink" Target="https://youtu.be/zWRCV_td3I8" TargetMode="External"/><Relationship Id="rId139" Type="http://schemas.openxmlformats.org/officeDocument/2006/relationships/hyperlink" Target="https://youtu.be/zWRCV_td3I8" TargetMode="External"/><Relationship Id="rId140" Type="http://schemas.openxmlformats.org/officeDocument/2006/relationships/hyperlink" Target="https://youtu.be/n9RZ6FEthGU" TargetMode="External"/><Relationship Id="rId141" Type="http://schemas.openxmlformats.org/officeDocument/2006/relationships/hyperlink" Target="https://youtu.be/MDuOnEyof1w" TargetMode="External"/><Relationship Id="rId142" Type="http://schemas.openxmlformats.org/officeDocument/2006/relationships/hyperlink" Target="https://youtu.be/dF9Pm_-2zmg" TargetMode="External"/><Relationship Id="rId143" Type="http://schemas.openxmlformats.org/officeDocument/2006/relationships/hyperlink" Target="https://youtu.be/efDlxayx234" TargetMode="External"/><Relationship Id="rId144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LYZDsNv8kJ8" TargetMode="External"/><Relationship Id="rId146" Type="http://schemas.openxmlformats.org/officeDocument/2006/relationships/hyperlink" Target="https://youtu.be/YIqmLutlM1g" TargetMode="External"/><Relationship Id="rId147" Type="http://schemas.openxmlformats.org/officeDocument/2006/relationships/hyperlink" Target="https://youtu.be/2JIPv1E5a0I" TargetMode="External"/><Relationship Id="rId148" Type="http://schemas.openxmlformats.org/officeDocument/2006/relationships/hyperlink" Target="https://youtu.be/W6kJbZeFssU" TargetMode="External"/><Relationship Id="rId149" Type="http://schemas.openxmlformats.org/officeDocument/2006/relationships/hyperlink" Target="https://youtu.be/eaI0E6ZcwM4" TargetMode="External"/><Relationship Id="rId150" Type="http://schemas.openxmlformats.org/officeDocument/2006/relationships/hyperlink" Target="https://youtu.be/Ax_6UXGQo7o" TargetMode="External"/><Relationship Id="rId151" Type="http://schemas.openxmlformats.org/officeDocument/2006/relationships/hyperlink" Target="https://youtu.be/t2Kk-TOhq14" TargetMode="External"/><Relationship Id="rId152" Type="http://schemas.openxmlformats.org/officeDocument/2006/relationships/hyperlink" Target="https://youtu.be/hJLXuvZd05w" TargetMode="External"/><Relationship Id="rId153" Type="http://schemas.openxmlformats.org/officeDocument/2006/relationships/hyperlink" Target="https://youtu.be/_GBEHrc_V5U" TargetMode="External"/><Relationship Id="rId154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60Ai9_c60xg" TargetMode="External"/><Relationship Id="rId156" Type="http://schemas.openxmlformats.org/officeDocument/2006/relationships/hyperlink" Target="https://youtu.be/daSL236nYZs" TargetMode="External"/><Relationship Id="rId157" Type="http://schemas.openxmlformats.org/officeDocument/2006/relationships/hyperlink" Target="https://youtu.be/ipoTKasbDyQ" TargetMode="External"/><Relationship Id="rId158" Type="http://schemas.openxmlformats.org/officeDocument/2006/relationships/hyperlink" Target="https://youtu.be/He-GN_4MAY4" TargetMode="External"/><Relationship Id="rId159" Type="http://schemas.openxmlformats.org/officeDocument/2006/relationships/hyperlink" Target="https://youtu.be/6L7xI3jO_GU" TargetMode="External"/><Relationship Id="rId160" Type="http://schemas.openxmlformats.org/officeDocument/2006/relationships/hyperlink" Target="https://youtu.be/B48xWtzMHxk" TargetMode="External"/><Relationship Id="rId161" Type="http://schemas.openxmlformats.org/officeDocument/2006/relationships/hyperlink" Target="https://youtu.be/UPGRju60F60" TargetMode="External"/><Relationship Id="rId162" Type="http://schemas.openxmlformats.org/officeDocument/2006/relationships/hyperlink" Target="https://youtu.be/pOX1m37rOWo" TargetMode="External"/><Relationship Id="rId163" Type="http://schemas.openxmlformats.org/officeDocument/2006/relationships/hyperlink" Target="https://youtu.be/ZYM1mNayaeI" TargetMode="External"/><Relationship Id="rId164" Type="http://schemas.openxmlformats.org/officeDocument/2006/relationships/hyperlink" Target="https://youtu.be/a5_JKN7j7Ug" TargetMode="External"/><Relationship Id="rId165" Type="http://schemas.openxmlformats.org/officeDocument/2006/relationships/hyperlink" Target="https://youtu.be/aNzU6AYZiEs" TargetMode="External"/><Relationship Id="rId166" Type="http://schemas.openxmlformats.org/officeDocument/2006/relationships/hyperlink" Target="https://youtu.be/TtXlapucVxM" TargetMode="External"/><Relationship Id="rId167" Type="http://schemas.openxmlformats.org/officeDocument/2006/relationships/hyperlink" Target="https://youtu.be/B21LHpkamJM" TargetMode="External"/><Relationship Id="rId168" Type="http://schemas.openxmlformats.org/officeDocument/2006/relationships/hyperlink" Target="https://youtu.be/B33bKk_r5PU" TargetMode="External"/><Relationship Id="rId169" Type="http://schemas.openxmlformats.org/officeDocument/2006/relationships/hyperlink" Target="https://youtu.be/tu2Q82-HMg0" TargetMode="External"/><Relationship Id="rId170" Type="http://schemas.openxmlformats.org/officeDocument/2006/relationships/hyperlink" Target="https://youtu.be/gYbmiluG5Ho" TargetMode="External"/><Relationship Id="rId171" Type="http://schemas.openxmlformats.org/officeDocument/2006/relationships/hyperlink" Target="https://youtu.be/BvX7g1yr1pY" TargetMode="External"/><Relationship Id="rId172" Type="http://schemas.openxmlformats.org/officeDocument/2006/relationships/hyperlink" Target="https://youtu.be/fbFISuP7Ezk" TargetMode="External"/><Relationship Id="rId173" Type="http://schemas.openxmlformats.org/officeDocument/2006/relationships/hyperlink" Target="https://youtu.be/d90AskSQcDc" TargetMode="External"/><Relationship Id="rId174" Type="http://schemas.openxmlformats.org/officeDocument/2006/relationships/hyperlink" Target="https://youtu.be/KkpCTyjGlZo" TargetMode="External"/><Relationship Id="rId175" Type="http://schemas.openxmlformats.org/officeDocument/2006/relationships/hyperlink" Target="https://youtu.be/Ana4dJbCvxE" TargetMode="External"/><Relationship Id="rId176" Type="http://schemas.openxmlformats.org/officeDocument/2006/relationships/hyperlink" Target="https://youtu.be/FoZM6vuuKBc" TargetMode="External"/><Relationship Id="rId177" Type="http://schemas.openxmlformats.org/officeDocument/2006/relationships/hyperlink" Target="https://youtu.be/c32OxRaEhxM" TargetMode="External"/><Relationship Id="rId178" Type="http://schemas.openxmlformats.org/officeDocument/2006/relationships/hyperlink" Target="https://youtu.be/pg3hz43P09w" TargetMode="External"/><Relationship Id="rId179" Type="http://schemas.openxmlformats.org/officeDocument/2006/relationships/hyperlink" Target="https://youtu.be/7P2LTF73EOM" TargetMode="External"/><Relationship Id="rId180" Type="http://schemas.openxmlformats.org/officeDocument/2006/relationships/drawing" Target="../drawings/drawing4.xml"/><Relationship Id="rId181" Type="http://schemas.openxmlformats.org/officeDocument/2006/relationships/table" Target="../tables/table3.xml"/><Relationship Id="rId182" Type="http://schemas.openxmlformats.org/officeDocument/2006/relationships/table" Target="../tables/table7.xml"/><Relationship Id="rId183" Type="http://schemas.openxmlformats.org/officeDocument/2006/relationships/table" Target="../tables/table11.xml"/><Relationship Id="rId184" Type="http://schemas.openxmlformats.org/officeDocument/2006/relationships/table" Target="../tables/table15.xml"/><Relationship Id="rId185" Type="http://schemas.openxmlformats.org/officeDocument/2006/relationships/table" Target="../tables/table19.xml"/><Relationship Id="rId186" Type="http://schemas.openxmlformats.org/officeDocument/2006/relationships/table" Target="../tables/table23.xml"/><Relationship Id="rId187" Type="http://schemas.openxmlformats.org/officeDocument/2006/relationships/table" Target="../tables/table27.xml"/><Relationship Id="rId188" Type="http://schemas.openxmlformats.org/officeDocument/2006/relationships/table" Target="../tables/table31.xml"/><Relationship Id="rId189" Type="http://schemas.openxmlformats.org/officeDocument/2006/relationships/table" Target="../tables/table35.xml"/><Relationship Id="rId190" Type="http://schemas.openxmlformats.org/officeDocument/2006/relationships/table" Target="../tables/table39.xml"/><Relationship Id="rId191" Type="http://schemas.openxmlformats.org/officeDocument/2006/relationships/table" Target="../tables/table43.xml"/><Relationship Id="rId192" Type="http://schemas.openxmlformats.org/officeDocument/2006/relationships/table" Target="../tables/table47.xml"/><Relationship Id="rId193" Type="http://schemas.openxmlformats.org/officeDocument/2006/relationships/table" Target="../tables/table51.xml"/><Relationship Id="rId194" Type="http://schemas.openxmlformats.org/officeDocument/2006/relationships/table" Target="../tables/table55.xml"/><Relationship Id="rId195" Type="http://schemas.openxmlformats.org/officeDocument/2006/relationships/table" Target="../tables/table59.xml"/><Relationship Id="rId196" Type="http://schemas.openxmlformats.org/officeDocument/2006/relationships/table" Target="../tables/table63.xml"/><Relationship Id="rId197" Type="http://schemas.openxmlformats.org/officeDocument/2006/relationships/table" Target="../tables/table67.xml"/><Relationship Id="rId198" Type="http://schemas.openxmlformats.org/officeDocument/2006/relationships/table" Target="../tables/table71.xml"/><Relationship Id="rId199" Type="http://schemas.openxmlformats.org/officeDocument/2006/relationships/table" Target="../tables/table75.xml"/><Relationship Id="rId200" Type="http://schemas.openxmlformats.org/officeDocument/2006/relationships/table" Target="../tables/table79.xml"/><Relationship Id="rId201" Type="http://schemas.openxmlformats.org/officeDocument/2006/relationships/table" Target="../tables/table83.xml"/><Relationship Id="rId202" Type="http://schemas.openxmlformats.org/officeDocument/2006/relationships/table" Target="../tables/table87.xml"/><Relationship Id="rId203" Type="http://schemas.openxmlformats.org/officeDocument/2006/relationships/table" Target="../tables/table91.xml"/><Relationship Id="rId204" Type="http://schemas.openxmlformats.org/officeDocument/2006/relationships/table" Target="../tables/table9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U4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RowHeight="14.4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35.89"/>
    <col collapsed="false" customWidth="true" hidden="false" outlineLevel="0" max="3" min="3" style="0" width="38.89"/>
    <col collapsed="false" customWidth="true" hidden="true" outlineLevel="0" max="4" min="4" style="0" width="36"/>
    <col collapsed="false" customWidth="true" hidden="true" outlineLevel="0" max="5" min="5" style="0" width="32.11"/>
    <col collapsed="false" customWidth="true" hidden="false" outlineLevel="0" max="6" min="6" style="0" width="25.33"/>
    <col collapsed="false" customWidth="true" hidden="false" outlineLevel="0" max="7" min="7" style="0" width="18.44"/>
    <col collapsed="false" customWidth="true" hidden="false" outlineLevel="0" max="8" min="8" style="0" width="36.11"/>
    <col collapsed="false" customWidth="true" hidden="false" outlineLevel="0" max="9" min="9" style="0" width="10"/>
    <col collapsed="false" customWidth="true" hidden="false" outlineLevel="0" max="10" min="10" style="0" width="7.56"/>
    <col collapsed="false" customWidth="true" hidden="false" outlineLevel="0" max="11" min="11" style="0" width="9"/>
    <col collapsed="false" customWidth="true" hidden="false" outlineLevel="0" max="12" min="12" style="0" width="11.33"/>
    <col collapsed="false" customWidth="true" hidden="false" outlineLevel="0" max="13" min="13" style="0" width="7.56"/>
    <col collapsed="false" customWidth="true" hidden="false" outlineLevel="0" max="14" min="14" style="0" width="35.66"/>
    <col collapsed="false" customWidth="true" hidden="false" outlineLevel="0" max="15" min="15" style="0" width="4.66"/>
    <col collapsed="false" customWidth="true" hidden="false" outlineLevel="0" max="16" min="16" style="0" width="7.56"/>
    <col collapsed="false" customWidth="true" hidden="false" outlineLevel="0" max="17" min="17" style="0" width="9"/>
    <col collapsed="false" customWidth="true" hidden="false" outlineLevel="0" max="18" min="18" style="0" width="11.33"/>
    <col collapsed="false" customWidth="true" hidden="false" outlineLevel="0" max="19" min="19" style="0" width="7.56"/>
    <col collapsed="false" customWidth="true" hidden="false" outlineLevel="0" max="20" min="20" style="0" width="36.33"/>
    <col collapsed="false" customWidth="true" hidden="false" outlineLevel="0" max="21" min="21" style="0" width="8.89"/>
    <col collapsed="false" customWidth="true" hidden="false" outlineLevel="0" max="22" min="22" style="0" width="7.56"/>
    <col collapsed="false" customWidth="true" hidden="false" outlineLevel="0" max="23" min="23" style="0" width="9"/>
    <col collapsed="false" customWidth="true" hidden="false" outlineLevel="0" max="24" min="24" style="0" width="11.33"/>
    <col collapsed="false" customWidth="true" hidden="false" outlineLevel="0" max="25" min="25" style="0" width="7.56"/>
    <col collapsed="false" customWidth="true" hidden="false" outlineLevel="0" max="26" min="26" style="0" width="36.33"/>
    <col collapsed="false" customWidth="true" hidden="false" outlineLevel="0" max="27" min="27" style="0" width="8.89"/>
    <col collapsed="false" customWidth="true" hidden="false" outlineLevel="0" max="28" min="28" style="0" width="7.56"/>
    <col collapsed="false" customWidth="true" hidden="false" outlineLevel="0" max="29" min="29" style="0" width="9"/>
    <col collapsed="false" customWidth="true" hidden="false" outlineLevel="0" max="30" min="30" style="0" width="11.33"/>
    <col collapsed="false" customWidth="true" hidden="false" outlineLevel="0" max="31" min="31" style="0" width="7.56"/>
    <col collapsed="false" customWidth="true" hidden="false" outlineLevel="0" max="32" min="32" style="0" width="36.33"/>
    <col collapsed="false" customWidth="true" hidden="false" outlineLevel="0" max="33" min="33" style="0" width="8.89"/>
    <col collapsed="false" customWidth="true" hidden="false" outlineLevel="0" max="34" min="34" style="0" width="7.56"/>
    <col collapsed="false" customWidth="true" hidden="false" outlineLevel="0" max="35" min="35" style="0" width="9"/>
    <col collapsed="false" customWidth="true" hidden="false" outlineLevel="0" max="36" min="36" style="0" width="11.33"/>
    <col collapsed="false" customWidth="true" hidden="false" outlineLevel="0" max="37" min="37" style="0" width="7.56"/>
    <col collapsed="false" customWidth="true" hidden="false" outlineLevel="0" max="38" min="38" style="0" width="35.33"/>
    <col collapsed="false" customWidth="true" hidden="false" outlineLevel="0" max="39" min="39" style="0" width="8.89"/>
    <col collapsed="false" customWidth="true" hidden="false" outlineLevel="0" max="40" min="40" style="0" width="7.56"/>
    <col collapsed="false" customWidth="true" hidden="false" outlineLevel="0" max="41" min="41" style="0" width="9"/>
    <col collapsed="false" customWidth="true" hidden="false" outlineLevel="0" max="42" min="42" style="0" width="11.33"/>
    <col collapsed="false" customWidth="true" hidden="false" outlineLevel="0" max="43" min="43" style="0" width="7.56"/>
    <col collapsed="false" customWidth="true" hidden="false" outlineLevel="0" max="44" min="44" style="0" width="35.44"/>
    <col collapsed="false" customWidth="true" hidden="false" outlineLevel="0" max="45" min="45" style="0" width="4.66"/>
    <col collapsed="false" customWidth="true" hidden="false" outlineLevel="0" max="46" min="46" style="0" width="7.56"/>
    <col collapsed="false" customWidth="true" hidden="false" outlineLevel="0" max="48" min="47" style="0" width="17.67"/>
    <col collapsed="false" customWidth="true" hidden="false" outlineLevel="0" max="49" min="49" style="0" width="15.11"/>
    <col collapsed="false" customWidth="true" hidden="false" outlineLevel="0" max="50" min="50" style="0" width="17.67"/>
    <col collapsed="false" customWidth="true" hidden="false" outlineLevel="0" max="1025" min="51" style="0" width="8.67"/>
  </cols>
  <sheetData>
    <row r="1" customFormat="false" ht="18.6" hidden="false" customHeight="false" outlineLevel="0" collapsed="false">
      <c r="C1" s="1" t="s">
        <v>0</v>
      </c>
      <c r="D1" s="2"/>
      <c r="E1" s="3"/>
      <c r="F1" s="4" t="s">
        <v>1</v>
      </c>
      <c r="G1" s="5" t="s">
        <v>2</v>
      </c>
      <c r="H1" s="6" t="s">
        <v>3</v>
      </c>
      <c r="I1" s="7" t="s">
        <v>4</v>
      </c>
      <c r="J1" s="8"/>
      <c r="K1" s="8"/>
      <c r="L1" s="8"/>
      <c r="M1" s="8"/>
      <c r="N1" s="8"/>
      <c r="O1" s="8"/>
      <c r="P1" s="8"/>
      <c r="Q1" s="8"/>
      <c r="R1" s="8"/>
      <c r="S1" s="8"/>
      <c r="T1" s="9"/>
      <c r="U1" s="10" t="s">
        <v>5</v>
      </c>
      <c r="V1" s="11"/>
      <c r="W1" s="12"/>
      <c r="X1" s="12"/>
      <c r="Y1" s="12"/>
      <c r="Z1" s="12"/>
      <c r="AA1" s="13"/>
      <c r="AB1" s="12"/>
      <c r="AC1" s="12"/>
      <c r="AD1" s="12"/>
      <c r="AE1" s="12"/>
      <c r="AF1" s="12"/>
      <c r="AG1" s="13"/>
      <c r="AH1" s="12"/>
      <c r="AI1" s="12"/>
      <c r="AJ1" s="12"/>
      <c r="AK1" s="12"/>
      <c r="AL1" s="12"/>
      <c r="AM1" s="14"/>
      <c r="AN1" s="15"/>
      <c r="AO1" s="15"/>
      <c r="AP1" s="15"/>
      <c r="AQ1" s="15"/>
      <c r="AR1" s="15"/>
      <c r="AS1" s="16"/>
      <c r="AT1" s="17"/>
    </row>
    <row r="2" customFormat="false" ht="18.6" hidden="false" customHeight="false" outlineLevel="0" collapsed="false">
      <c r="F2" s="18" t="s">
        <v>6</v>
      </c>
      <c r="G2" s="19" t="s">
        <v>7</v>
      </c>
      <c r="H2" s="20" t="s">
        <v>8</v>
      </c>
      <c r="I2" s="21" t="s">
        <v>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4" t="s">
        <v>10</v>
      </c>
      <c r="V2" s="25"/>
      <c r="W2" s="26"/>
      <c r="X2" s="26"/>
      <c r="Y2" s="26"/>
      <c r="Z2" s="26"/>
      <c r="AA2" s="25"/>
      <c r="AB2" s="25"/>
      <c r="AC2" s="26"/>
      <c r="AD2" s="26"/>
      <c r="AE2" s="26"/>
      <c r="AF2" s="26"/>
      <c r="AG2" s="25"/>
      <c r="AH2" s="25"/>
      <c r="AI2" s="26"/>
      <c r="AJ2" s="26"/>
      <c r="AK2" s="26"/>
      <c r="AL2" s="26"/>
      <c r="AM2" s="25"/>
      <c r="AN2" s="27"/>
      <c r="AO2" s="28"/>
    </row>
    <row r="3" customFormat="false" ht="18.6" hidden="false" customHeight="false" outlineLevel="0" collapsed="false">
      <c r="C3" s="0" t="s">
        <v>11</v>
      </c>
      <c r="F3" s="29" t="s">
        <v>12</v>
      </c>
      <c r="G3" s="30" t="s">
        <v>13</v>
      </c>
      <c r="H3" s="31" t="s">
        <v>14</v>
      </c>
      <c r="I3" s="21" t="s">
        <v>15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Y3" s="28"/>
      <c r="Z3" s="28"/>
      <c r="AA3" s="28"/>
      <c r="AB3" s="28"/>
      <c r="AC3" s="28"/>
      <c r="AD3" s="28"/>
      <c r="AE3" s="28"/>
      <c r="AF3" s="28"/>
      <c r="AG3" s="28"/>
      <c r="AN3" s="28"/>
      <c r="AO3" s="28"/>
    </row>
    <row r="4" customFormat="false" ht="14.4" hidden="false" customHeight="false" outlineLevel="0" collapsed="false">
      <c r="G4" s="0" t="s">
        <v>11</v>
      </c>
      <c r="I4" s="21" t="s">
        <v>16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customFormat="false" ht="14.4" hidden="false" customHeight="false" outlineLevel="0" collapsed="false">
      <c r="I5" s="21" t="s">
        <v>17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Y5" s="28"/>
      <c r="Z5" s="28"/>
      <c r="AA5" s="28"/>
      <c r="AB5" s="28"/>
      <c r="AC5" s="28"/>
      <c r="AD5" s="28"/>
      <c r="AE5" s="28"/>
      <c r="AF5" s="28"/>
      <c r="AG5" s="28"/>
    </row>
    <row r="6" customFormat="false" ht="15" hidden="false" customHeight="false" outlineLevel="0" collapsed="false">
      <c r="I6" s="32" t="s">
        <v>18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Y6" s="28"/>
      <c r="Z6" s="28"/>
      <c r="AA6" s="28"/>
      <c r="AB6" s="28"/>
      <c r="AC6" s="28"/>
      <c r="AD6" s="28"/>
      <c r="AE6" s="28"/>
      <c r="AF6" s="28"/>
      <c r="AG6" s="28"/>
    </row>
    <row r="9" customFormat="false" ht="15" hidden="false" customHeight="false" outlineLevel="0" collapsed="false"/>
    <row r="10" customFormat="false" ht="18.6" hidden="false" customHeight="false" outlineLevel="0" collapsed="false">
      <c r="G10" s="35" t="s">
        <v>19</v>
      </c>
      <c r="H10" s="36" t="s">
        <v>20</v>
      </c>
      <c r="I10" s="36"/>
      <c r="J10" s="36"/>
      <c r="K10" s="36"/>
      <c r="L10" s="36"/>
      <c r="M10" s="36"/>
      <c r="N10" s="37" t="s">
        <v>21</v>
      </c>
      <c r="O10" s="37"/>
      <c r="P10" s="37"/>
      <c r="Q10" s="37"/>
      <c r="R10" s="37"/>
      <c r="S10" s="37"/>
      <c r="T10" s="38" t="s">
        <v>22</v>
      </c>
      <c r="U10" s="38"/>
      <c r="V10" s="38"/>
      <c r="W10" s="38"/>
      <c r="X10" s="38"/>
      <c r="Y10" s="38"/>
      <c r="Z10" s="38" t="s">
        <v>23</v>
      </c>
      <c r="AA10" s="38"/>
      <c r="AB10" s="38"/>
      <c r="AC10" s="38"/>
      <c r="AD10" s="38"/>
      <c r="AE10" s="38"/>
      <c r="AF10" s="38" t="s">
        <v>24</v>
      </c>
      <c r="AG10" s="38"/>
      <c r="AH10" s="38"/>
      <c r="AI10" s="38"/>
      <c r="AJ10" s="38"/>
      <c r="AK10" s="38"/>
      <c r="AL10" s="39" t="s">
        <v>25</v>
      </c>
      <c r="AM10" s="39"/>
      <c r="AN10" s="39"/>
      <c r="AO10" s="39"/>
      <c r="AP10" s="39"/>
      <c r="AQ10" s="39"/>
      <c r="AR10" s="40" t="s">
        <v>26</v>
      </c>
      <c r="AS10" s="40"/>
      <c r="AT10" s="40"/>
      <c r="AU10" s="40"/>
    </row>
    <row r="11" customFormat="false" ht="15" hidden="false" customHeight="false" outlineLevel="0" collapsed="false">
      <c r="B11" s="41"/>
      <c r="C11" s="41" t="s">
        <v>27</v>
      </c>
      <c r="D11" s="41"/>
      <c r="E11" s="41"/>
      <c r="F11" s="41"/>
      <c r="G11" s="42" t="s">
        <v>28</v>
      </c>
      <c r="H11" s="43" t="s">
        <v>29</v>
      </c>
      <c r="I11" s="44" t="s">
        <v>30</v>
      </c>
      <c r="J11" s="45" t="s">
        <v>31</v>
      </c>
      <c r="K11" s="46" t="s">
        <v>32</v>
      </c>
      <c r="L11" s="46" t="s">
        <v>33</v>
      </c>
      <c r="M11" s="47" t="s">
        <v>34</v>
      </c>
      <c r="N11" s="48" t="s">
        <v>29</v>
      </c>
      <c r="O11" s="48" t="s">
        <v>30</v>
      </c>
      <c r="P11" s="45" t="s">
        <v>31</v>
      </c>
      <c r="Q11" s="46" t="s">
        <v>32</v>
      </c>
      <c r="R11" s="46" t="s">
        <v>33</v>
      </c>
      <c r="S11" s="47" t="s">
        <v>34</v>
      </c>
      <c r="T11" s="48" t="s">
        <v>29</v>
      </c>
      <c r="U11" s="48" t="s">
        <v>30</v>
      </c>
      <c r="V11" s="45" t="s">
        <v>31</v>
      </c>
      <c r="W11" s="46" t="s">
        <v>32</v>
      </c>
      <c r="X11" s="46" t="s">
        <v>33</v>
      </c>
      <c r="Y11" s="47" t="s">
        <v>34</v>
      </c>
      <c r="Z11" s="48" t="s">
        <v>29</v>
      </c>
      <c r="AA11" s="48" t="s">
        <v>30</v>
      </c>
      <c r="AB11" s="45" t="s">
        <v>31</v>
      </c>
      <c r="AC11" s="46" t="s">
        <v>32</v>
      </c>
      <c r="AD11" s="46" t="s">
        <v>33</v>
      </c>
      <c r="AE11" s="47" t="s">
        <v>34</v>
      </c>
      <c r="AF11" s="48" t="s">
        <v>29</v>
      </c>
      <c r="AG11" s="48" t="s">
        <v>30</v>
      </c>
      <c r="AH11" s="45" t="s">
        <v>31</v>
      </c>
      <c r="AI11" s="46" t="s">
        <v>32</v>
      </c>
      <c r="AJ11" s="46" t="s">
        <v>33</v>
      </c>
      <c r="AK11" s="47" t="s">
        <v>34</v>
      </c>
      <c r="AL11" s="48" t="s">
        <v>29</v>
      </c>
      <c r="AM11" s="48" t="s">
        <v>30</v>
      </c>
      <c r="AN11" s="45" t="s">
        <v>31</v>
      </c>
      <c r="AO11" s="46" t="s">
        <v>32</v>
      </c>
      <c r="AP11" s="46" t="s">
        <v>33</v>
      </c>
      <c r="AQ11" s="47" t="s">
        <v>34</v>
      </c>
      <c r="AR11" s="48" t="s">
        <v>29</v>
      </c>
      <c r="AS11" s="48" t="s">
        <v>30</v>
      </c>
      <c r="AT11" s="45" t="s">
        <v>31</v>
      </c>
      <c r="AU11" s="49" t="s">
        <v>32</v>
      </c>
    </row>
    <row r="12" customFormat="false" ht="15" hidden="false" customHeight="false" outlineLevel="0" collapsed="false">
      <c r="B12" s="50" t="s">
        <v>35</v>
      </c>
      <c r="C12" s="51" t="s">
        <v>36</v>
      </c>
      <c r="D12" s="52"/>
      <c r="E12" s="52"/>
      <c r="F12" s="51" t="s">
        <v>37</v>
      </c>
      <c r="G12" s="51" t="s">
        <v>38</v>
      </c>
      <c r="H12" s="46" t="s">
        <v>36</v>
      </c>
      <c r="I12" s="53"/>
      <c r="J12" s="53"/>
      <c r="K12" s="53"/>
      <c r="L12" s="53"/>
      <c r="M12" s="54"/>
      <c r="N12" s="43" t="s">
        <v>36</v>
      </c>
      <c r="O12" s="53"/>
      <c r="P12" s="53"/>
      <c r="Q12" s="53"/>
      <c r="R12" s="53"/>
      <c r="S12" s="54"/>
      <c r="T12" s="43" t="s">
        <v>36</v>
      </c>
      <c r="U12" s="53"/>
      <c r="V12" s="53"/>
      <c r="W12" s="53"/>
      <c r="X12" s="53"/>
      <c r="Y12" s="54"/>
      <c r="Z12" s="43" t="s">
        <v>36</v>
      </c>
      <c r="AA12" s="53"/>
      <c r="AB12" s="53"/>
      <c r="AC12" s="53"/>
      <c r="AD12" s="53"/>
      <c r="AE12" s="54"/>
      <c r="AF12" s="43" t="s">
        <v>36</v>
      </c>
      <c r="AG12" s="53"/>
      <c r="AH12" s="53"/>
      <c r="AI12" s="53"/>
      <c r="AJ12" s="53"/>
      <c r="AK12" s="54"/>
      <c r="AL12" s="43" t="s">
        <v>36</v>
      </c>
      <c r="AM12" s="53"/>
      <c r="AN12" s="53"/>
      <c r="AO12" s="53"/>
      <c r="AP12" s="53"/>
      <c r="AQ12" s="53"/>
      <c r="AR12" s="43" t="s">
        <v>36</v>
      </c>
      <c r="AS12" s="53"/>
      <c r="AT12" s="53"/>
      <c r="AU12" s="54"/>
    </row>
    <row r="13" customFormat="false" ht="15" hidden="false" customHeight="false" outlineLevel="0" collapsed="false">
      <c r="B13" s="55" t="s">
        <v>39</v>
      </c>
      <c r="C13" s="56" t="s">
        <v>40</v>
      </c>
      <c r="D13" s="57" t="str">
        <f aca="false" t="array" ref="D13:D13">INDEX(Table_Name[Name List],MATCH(B13,Table_Name[Category],0))</f>
        <v>Incline_Push[Exercise]</v>
      </c>
      <c r="E13" s="58" t="str">
        <f aca="false" t="array" ref="E13:E13">INDEX(Links[Link],MATCH(C13,Links[Exercise],0))</f>
        <v>https://youtu.be/2JIPv1E5a0I</v>
      </c>
      <c r="F13" s="59" t="str">
        <f aca="false">HYPERLINK(E13,"Video")</f>
        <v>Video</v>
      </c>
      <c r="G13" s="60"/>
      <c r="H13" s="61" t="str">
        <f aca="false">C13</f>
        <v>Incline Close Grip Bench Press</v>
      </c>
      <c r="I13" s="62" t="n">
        <v>2</v>
      </c>
      <c r="J13" s="62" t="n">
        <f aca="false">MROUND(((G13)*0.85),5)</f>
        <v>0</v>
      </c>
      <c r="K13" s="62" t="s">
        <v>41</v>
      </c>
      <c r="L13" s="62"/>
      <c r="M13" s="42"/>
      <c r="N13" s="63" t="str">
        <f aca="false">C13</f>
        <v>Incline Close Grip Bench Press</v>
      </c>
      <c r="O13" s="62" t="n">
        <f aca="false">I13+(M37)</f>
        <v>2</v>
      </c>
      <c r="P13" s="62" t="n">
        <f aca="false">MROUND((J13*1.02),5)</f>
        <v>0</v>
      </c>
      <c r="Q13" s="62" t="s">
        <v>41</v>
      </c>
      <c r="R13" s="62"/>
      <c r="S13" s="64"/>
      <c r="T13" s="65" t="str">
        <f aca="false">C13</f>
        <v>Incline Close Grip Bench Press</v>
      </c>
      <c r="U13" s="62" t="n">
        <f aca="false">O13+(S37)</f>
        <v>2</v>
      </c>
      <c r="V13" s="62" t="n">
        <f aca="false">MROUND((J13*1.04),5)</f>
        <v>0</v>
      </c>
      <c r="W13" s="62" t="s">
        <v>42</v>
      </c>
      <c r="X13" s="62"/>
      <c r="Y13" s="64"/>
      <c r="Z13" s="66" t="str">
        <f aca="false">C13</f>
        <v>Incline Close Grip Bench Press</v>
      </c>
      <c r="AA13" s="62" t="n">
        <f aca="false">U13+(Y37)</f>
        <v>2</v>
      </c>
      <c r="AB13" s="62" t="n">
        <f aca="false">MROUND((P13*1.04),5)</f>
        <v>0</v>
      </c>
      <c r="AC13" s="62" t="s">
        <v>42</v>
      </c>
      <c r="AD13" s="62"/>
      <c r="AE13" s="64"/>
      <c r="AF13" s="66" t="str">
        <f aca="false">C13</f>
        <v>Incline Close Grip Bench Press</v>
      </c>
      <c r="AG13" s="62" t="n">
        <f aca="false">AA13+(AE37)</f>
        <v>2</v>
      </c>
      <c r="AH13" s="62" t="n">
        <f aca="false">MROUND((V13*1.04),5)</f>
        <v>0</v>
      </c>
      <c r="AI13" s="62" t="s">
        <v>42</v>
      </c>
      <c r="AJ13" s="62"/>
      <c r="AK13" s="64"/>
      <c r="AL13" s="63" t="str">
        <f aca="false">C13</f>
        <v>Incline Close Grip Bench Press</v>
      </c>
      <c r="AM13" s="62" t="n">
        <f aca="false">AG13+(AK37)</f>
        <v>2</v>
      </c>
      <c r="AN13" s="62" t="n">
        <f aca="false">MROUND((J13*1.1),5)</f>
        <v>0</v>
      </c>
      <c r="AO13" s="62" t="s">
        <v>43</v>
      </c>
      <c r="AP13" s="62"/>
      <c r="AQ13" s="64"/>
      <c r="AR13" s="63" t="str">
        <f aca="false">C13</f>
        <v>Incline Close Grip Bench Press</v>
      </c>
      <c r="AS13" s="62" t="n">
        <v>2</v>
      </c>
      <c r="AT13" s="67" t="n">
        <f aca="false">J13</f>
        <v>0</v>
      </c>
      <c r="AU13" s="42" t="s">
        <v>44</v>
      </c>
    </row>
    <row r="14" customFormat="false" ht="15" hidden="false" customHeight="false" outlineLevel="0" collapsed="false">
      <c r="B14" s="68" t="s">
        <v>45</v>
      </c>
      <c r="C14" s="69" t="s">
        <v>46</v>
      </c>
      <c r="D14" s="70" t="str">
        <f aca="false" t="array" ref="D14:D14">INDEX(Table_Name[Name List],MATCH(B14,Table_Name[Category],0))</f>
        <v>Chest_Isolation_or_Triceps[Exercise]</v>
      </c>
      <c r="E14" s="71" t="str">
        <f aca="false" t="array" ref="E14:E14">INDEX(Links[Link],MATCH(C14,Links[Exercise],0))</f>
        <v>https://youtu.be/daSL236nYZs</v>
      </c>
      <c r="F14" s="72" t="str">
        <f aca="false">HYPERLINK(E14,"Video")</f>
        <v>Video</v>
      </c>
      <c r="G14" s="73"/>
      <c r="H14" s="61" t="str">
        <f aca="false">C14</f>
        <v>JM Press</v>
      </c>
      <c r="I14" s="62" t="n">
        <v>2</v>
      </c>
      <c r="J14" s="62" t="n">
        <f aca="false">MROUND(((G14)*0.85),5)</f>
        <v>0</v>
      </c>
      <c r="K14" s="62" t="s">
        <v>41</v>
      </c>
      <c r="L14" s="62"/>
      <c r="M14" s="42"/>
      <c r="N14" s="63" t="str">
        <f aca="false">C14</f>
        <v>JM Press</v>
      </c>
      <c r="O14" s="62" t="n">
        <f aca="false">I14+(M36)</f>
        <v>2</v>
      </c>
      <c r="P14" s="62" t="n">
        <f aca="false">MROUND((J14*1.02),5)</f>
        <v>0</v>
      </c>
      <c r="Q14" s="62" t="s">
        <v>41</v>
      </c>
      <c r="R14" s="62"/>
      <c r="S14" s="64"/>
      <c r="T14" s="65" t="str">
        <f aca="false">C14</f>
        <v>JM Press</v>
      </c>
      <c r="U14" s="62" t="n">
        <f aca="false">O14+(S36)</f>
        <v>2</v>
      </c>
      <c r="V14" s="62" t="n">
        <f aca="false">MROUND((J14*1.04),5)</f>
        <v>0</v>
      </c>
      <c r="W14" s="62" t="s">
        <v>42</v>
      </c>
      <c r="X14" s="62"/>
      <c r="Y14" s="64"/>
      <c r="Z14" s="66" t="str">
        <f aca="false">C14</f>
        <v>JM Press</v>
      </c>
      <c r="AA14" s="62" t="n">
        <f aca="false">U14+(Y36)</f>
        <v>2</v>
      </c>
      <c r="AB14" s="62" t="n">
        <f aca="false">MROUND((P14*1.04),5)</f>
        <v>0</v>
      </c>
      <c r="AC14" s="62" t="s">
        <v>42</v>
      </c>
      <c r="AD14" s="62"/>
      <c r="AE14" s="64"/>
      <c r="AF14" s="66" t="str">
        <f aca="false">C14</f>
        <v>JM Press</v>
      </c>
      <c r="AG14" s="62" t="n">
        <f aca="false">AA14+(AE36)</f>
        <v>2</v>
      </c>
      <c r="AH14" s="62" t="n">
        <f aca="false">MROUND((V14*1.04),5)</f>
        <v>0</v>
      </c>
      <c r="AI14" s="62" t="s">
        <v>42</v>
      </c>
      <c r="AJ14" s="62"/>
      <c r="AK14" s="64"/>
      <c r="AL14" s="63" t="str">
        <f aca="false">C14</f>
        <v>JM Press</v>
      </c>
      <c r="AM14" s="62" t="n">
        <f aca="false">AG14+(AK36)</f>
        <v>2</v>
      </c>
      <c r="AN14" s="62" t="n">
        <f aca="false">MROUND((J14*1.1),5)</f>
        <v>0</v>
      </c>
      <c r="AO14" s="62" t="s">
        <v>43</v>
      </c>
      <c r="AP14" s="62"/>
      <c r="AQ14" s="64"/>
      <c r="AR14" s="63" t="str">
        <f aca="false">C14</f>
        <v>JM Press</v>
      </c>
      <c r="AS14" s="62" t="n">
        <v>2</v>
      </c>
      <c r="AT14" s="67" t="n">
        <f aca="false">J14</f>
        <v>0</v>
      </c>
      <c r="AU14" s="42" t="s">
        <v>44</v>
      </c>
    </row>
    <row r="15" customFormat="false" ht="15" hidden="false" customHeight="false" outlineLevel="0" collapsed="false">
      <c r="B15" s="68" t="s">
        <v>47</v>
      </c>
      <c r="C15" s="69" t="s">
        <v>48</v>
      </c>
      <c r="D15" s="70" t="str">
        <f aca="false" t="array" ref="D15:D15">INDEX(Table_Name[Name List],MATCH(B15,Table_Name[Category],0))</f>
        <v>Horizontal_Push[Exercise]</v>
      </c>
      <c r="E15" s="71" t="str">
        <f aca="false" t="array" ref="E15:E15">INDEX(Links[Link],MATCH(C15,Links[Exercise],0))</f>
        <v>https://youtu.be/Dl-by6_vATQ</v>
      </c>
      <c r="F15" s="72" t="str">
        <f aca="false">HYPERLINK(E15,"Video")</f>
        <v>Video</v>
      </c>
      <c r="G15" s="73"/>
      <c r="H15" s="61" t="str">
        <f aca="false">C15</f>
        <v>Medium Grip Bench Press</v>
      </c>
      <c r="I15" s="62" t="n">
        <v>2</v>
      </c>
      <c r="J15" s="62" t="n">
        <f aca="false">MROUND(((G15)*0.85),5)</f>
        <v>0</v>
      </c>
      <c r="K15" s="62" t="s">
        <v>41</v>
      </c>
      <c r="L15" s="62"/>
      <c r="M15" s="42"/>
      <c r="N15" s="63" t="str">
        <f aca="false">C15</f>
        <v>Medium Grip Bench Press</v>
      </c>
      <c r="O15" s="62" t="n">
        <f aca="false">I15+(M36)</f>
        <v>2</v>
      </c>
      <c r="P15" s="62" t="n">
        <f aca="false">MROUND((J15*1.02),5)</f>
        <v>0</v>
      </c>
      <c r="Q15" s="62" t="s">
        <v>41</v>
      </c>
      <c r="R15" s="62"/>
      <c r="S15" s="64"/>
      <c r="T15" s="65" t="str">
        <f aca="false">C15</f>
        <v>Medium Grip Bench Press</v>
      </c>
      <c r="U15" s="62" t="n">
        <f aca="false">O15+(S36)</f>
        <v>2</v>
      </c>
      <c r="V15" s="62" t="n">
        <f aca="false">MROUND((J15*1.04),5)</f>
        <v>0</v>
      </c>
      <c r="W15" s="62" t="s">
        <v>42</v>
      </c>
      <c r="X15" s="62"/>
      <c r="Y15" s="64"/>
      <c r="Z15" s="66" t="str">
        <f aca="false">C15</f>
        <v>Medium Grip Bench Press</v>
      </c>
      <c r="AA15" s="62" t="n">
        <f aca="false">U15+(Y36)</f>
        <v>2</v>
      </c>
      <c r="AB15" s="62" t="n">
        <f aca="false">MROUND((P15*1.04),5)</f>
        <v>0</v>
      </c>
      <c r="AC15" s="62" t="s">
        <v>42</v>
      </c>
      <c r="AD15" s="62"/>
      <c r="AE15" s="64"/>
      <c r="AF15" s="66" t="str">
        <f aca="false">C15</f>
        <v>Medium Grip Bench Press</v>
      </c>
      <c r="AG15" s="62" t="n">
        <f aca="false">AA15+(AE36)</f>
        <v>2</v>
      </c>
      <c r="AH15" s="62" t="n">
        <f aca="false">MROUND((V15*1.04),5)</f>
        <v>0</v>
      </c>
      <c r="AI15" s="62" t="s">
        <v>42</v>
      </c>
      <c r="AJ15" s="62"/>
      <c r="AK15" s="64"/>
      <c r="AL15" s="63" t="str">
        <f aca="false">C15</f>
        <v>Medium Grip Bench Press</v>
      </c>
      <c r="AM15" s="62" t="n">
        <f aca="false">AG15+(AK36)</f>
        <v>2</v>
      </c>
      <c r="AN15" s="62" t="n">
        <f aca="false">MROUND((J15*1.1),5)</f>
        <v>0</v>
      </c>
      <c r="AO15" s="62" t="s">
        <v>43</v>
      </c>
      <c r="AP15" s="62"/>
      <c r="AQ15" s="64"/>
      <c r="AR15" s="63" t="str">
        <f aca="false">C15</f>
        <v>Medium Grip Bench Press</v>
      </c>
      <c r="AS15" s="62" t="n">
        <v>2</v>
      </c>
      <c r="AT15" s="67" t="n">
        <f aca="false">J15</f>
        <v>0</v>
      </c>
      <c r="AU15" s="42" t="s">
        <v>44</v>
      </c>
    </row>
    <row r="16" customFormat="false" ht="15" hidden="false" customHeight="false" outlineLevel="0" collapsed="false">
      <c r="B16" s="68" t="s">
        <v>49</v>
      </c>
      <c r="C16" s="69" t="s">
        <v>50</v>
      </c>
      <c r="D16" s="70" t="str">
        <f aca="false" t="array" ref="D16:D16">INDEX(Table_Name[Name List],MATCH(B16,Table_Name[Category],0))</f>
        <v>Horizontal_Back[Exercise]</v>
      </c>
      <c r="E16" s="71" t="str">
        <f aca="false" t="array" ref="E16:E16">INDEX(Links[Link],MATCH(C16,Links[Exercise],0))</f>
        <v>https://youtu.be/o2qSVwxiFk4</v>
      </c>
      <c r="F16" s="72" t="str">
        <f aca="false">HYPERLINK(E16,"Video")</f>
        <v>Video</v>
      </c>
      <c r="G16" s="73"/>
      <c r="H16" s="61" t="str">
        <f aca="false">C16</f>
        <v>Barbell Bent Over Row</v>
      </c>
      <c r="I16" s="62" t="n">
        <v>2</v>
      </c>
      <c r="J16" s="62" t="n">
        <f aca="false">MROUND(((G16)*0.85),5)</f>
        <v>0</v>
      </c>
      <c r="K16" s="62" t="s">
        <v>41</v>
      </c>
      <c r="L16" s="62"/>
      <c r="M16" s="42"/>
      <c r="N16" s="63" t="str">
        <f aca="false">C16</f>
        <v>Barbell Bent Over Row</v>
      </c>
      <c r="O16" s="62" t="n">
        <f aca="false">I16+(M34)</f>
        <v>2</v>
      </c>
      <c r="P16" s="62" t="n">
        <f aca="false">MROUND((J16*1.02),5)</f>
        <v>0</v>
      </c>
      <c r="Q16" s="62" t="s">
        <v>41</v>
      </c>
      <c r="R16" s="62"/>
      <c r="S16" s="64"/>
      <c r="T16" s="65" t="str">
        <f aca="false">C16</f>
        <v>Barbell Bent Over Row</v>
      </c>
      <c r="U16" s="62" t="n">
        <f aca="false">O16+(S34)</f>
        <v>2</v>
      </c>
      <c r="V16" s="62" t="n">
        <f aca="false">MROUND((J16*1.04),5)</f>
        <v>0</v>
      </c>
      <c r="W16" s="62" t="s">
        <v>42</v>
      </c>
      <c r="X16" s="62"/>
      <c r="Y16" s="64"/>
      <c r="Z16" s="66" t="str">
        <f aca="false">C16</f>
        <v>Barbell Bent Over Row</v>
      </c>
      <c r="AA16" s="62" t="n">
        <f aca="false">U16+(Y34)</f>
        <v>2</v>
      </c>
      <c r="AB16" s="62" t="n">
        <f aca="false">MROUND((P16*1.04),5)</f>
        <v>0</v>
      </c>
      <c r="AC16" s="62" t="s">
        <v>42</v>
      </c>
      <c r="AD16" s="62"/>
      <c r="AE16" s="64"/>
      <c r="AF16" s="66" t="str">
        <f aca="false">C16</f>
        <v>Barbell Bent Over Row</v>
      </c>
      <c r="AG16" s="62" t="n">
        <f aca="false">AA16+(AE34)</f>
        <v>2</v>
      </c>
      <c r="AH16" s="62" t="n">
        <f aca="false">MROUND((V16*1.04),5)</f>
        <v>0</v>
      </c>
      <c r="AI16" s="62" t="s">
        <v>42</v>
      </c>
      <c r="AJ16" s="62"/>
      <c r="AK16" s="64"/>
      <c r="AL16" s="63" t="str">
        <f aca="false">C16</f>
        <v>Barbell Bent Over Row</v>
      </c>
      <c r="AM16" s="62" t="n">
        <f aca="false">AG16+(AK34)</f>
        <v>2</v>
      </c>
      <c r="AN16" s="62" t="n">
        <f aca="false">MROUND((J16*1.1),5)</f>
        <v>0</v>
      </c>
      <c r="AO16" s="62" t="s">
        <v>43</v>
      </c>
      <c r="AP16" s="62"/>
      <c r="AQ16" s="64"/>
      <c r="AR16" s="63" t="str">
        <f aca="false">C16</f>
        <v>Barbell Bent Over Row</v>
      </c>
      <c r="AS16" s="62" t="n">
        <v>2</v>
      </c>
      <c r="AT16" s="67" t="n">
        <f aca="false">J16</f>
        <v>0</v>
      </c>
      <c r="AU16" s="42" t="s">
        <v>44</v>
      </c>
    </row>
    <row r="17" customFormat="false" ht="15" hidden="false" customHeight="false" outlineLevel="0" collapsed="false">
      <c r="B17" s="68" t="s">
        <v>51</v>
      </c>
      <c r="C17" s="69" t="s">
        <v>52</v>
      </c>
      <c r="D17" s="70" t="str">
        <f aca="false" t="array" ref="D17:D17">INDEX(Table_Name[Name List],MATCH(B17,Table_Name[Category],0))</f>
        <v>Vertical_Back[Exercise]</v>
      </c>
      <c r="E17" s="71" t="str">
        <f aca="false" t="array" ref="E17:E17">INDEX(Links[Link],MATCH(C17,Links[Exercise],0))</f>
        <v>https://youtu.be/gQ179IUjMsQ</v>
      </c>
      <c r="F17" s="72" t="str">
        <f aca="false">HYPERLINK(E17,"Video")</f>
        <v>Video</v>
      </c>
      <c r="G17" s="73"/>
      <c r="H17" s="61" t="str">
        <f aca="false">C17</f>
        <v>Normal Grip Pulldown</v>
      </c>
      <c r="I17" s="62" t="n">
        <v>2</v>
      </c>
      <c r="J17" s="62" t="n">
        <f aca="false">MROUND(((G17)*0.85),5)</f>
        <v>0</v>
      </c>
      <c r="K17" s="62" t="s">
        <v>41</v>
      </c>
      <c r="L17" s="62"/>
      <c r="M17" s="42"/>
      <c r="N17" s="63" t="str">
        <f aca="false">C17</f>
        <v>Normal Grip Pulldown</v>
      </c>
      <c r="O17" s="62" t="n">
        <f aca="false">I17+(M32)</f>
        <v>2</v>
      </c>
      <c r="P17" s="62" t="n">
        <f aca="false">MROUND((J17*1.02),5)</f>
        <v>0</v>
      </c>
      <c r="Q17" s="62" t="s">
        <v>41</v>
      </c>
      <c r="R17" s="62"/>
      <c r="S17" s="64"/>
      <c r="T17" s="65" t="str">
        <f aca="false">C17</f>
        <v>Normal Grip Pulldown</v>
      </c>
      <c r="U17" s="62" t="n">
        <f aca="false">O17+(S32)</f>
        <v>2</v>
      </c>
      <c r="V17" s="62" t="n">
        <f aca="false">MROUND((J17*1.04),5)</f>
        <v>0</v>
      </c>
      <c r="W17" s="62" t="s">
        <v>42</v>
      </c>
      <c r="X17" s="62"/>
      <c r="Y17" s="64"/>
      <c r="Z17" s="66" t="str">
        <f aca="false">C17</f>
        <v>Normal Grip Pulldown</v>
      </c>
      <c r="AA17" s="62" t="n">
        <f aca="false">U17+(Y32)</f>
        <v>2</v>
      </c>
      <c r="AB17" s="62" t="n">
        <f aca="false">MROUND((P17*1.04),5)</f>
        <v>0</v>
      </c>
      <c r="AC17" s="62" t="s">
        <v>42</v>
      </c>
      <c r="AD17" s="62"/>
      <c r="AE17" s="64"/>
      <c r="AF17" s="66" t="str">
        <f aca="false">C17</f>
        <v>Normal Grip Pulldown</v>
      </c>
      <c r="AG17" s="62" t="n">
        <f aca="false">AA17+(AE32)</f>
        <v>2</v>
      </c>
      <c r="AH17" s="62" t="n">
        <f aca="false">MROUND((V17*1.04),5)</f>
        <v>0</v>
      </c>
      <c r="AI17" s="62" t="s">
        <v>42</v>
      </c>
      <c r="AJ17" s="62"/>
      <c r="AK17" s="64"/>
      <c r="AL17" s="63" t="str">
        <f aca="false">C17</f>
        <v>Normal Grip Pulldown</v>
      </c>
      <c r="AM17" s="62" t="n">
        <f aca="false">AG17+(AK32)</f>
        <v>2</v>
      </c>
      <c r="AN17" s="62" t="n">
        <f aca="false">MROUND((J17*1.1),5)</f>
        <v>0</v>
      </c>
      <c r="AO17" s="62" t="s">
        <v>43</v>
      </c>
      <c r="AP17" s="62"/>
      <c r="AQ17" s="64"/>
      <c r="AR17" s="63" t="str">
        <f aca="false">C17</f>
        <v>Normal Grip Pulldown</v>
      </c>
      <c r="AS17" s="62" t="n">
        <v>2</v>
      </c>
      <c r="AT17" s="67" t="n">
        <f aca="false">J17</f>
        <v>0</v>
      </c>
      <c r="AU17" s="42" t="s">
        <v>44</v>
      </c>
    </row>
    <row r="18" customFormat="false" ht="15" hidden="false" customHeight="false" outlineLevel="0" collapsed="false">
      <c r="B18" s="68" t="s">
        <v>53</v>
      </c>
      <c r="C18" s="69" t="s">
        <v>54</v>
      </c>
      <c r="D18" s="70" t="str">
        <f aca="false" t="array" ref="D18:D18">INDEX(Table_Name[Name List],MATCH(B18,Table_Name[Category],0))</f>
        <v>Side_Delts[Exercise]</v>
      </c>
      <c r="E18" s="71" t="str">
        <f aca="false" t="array" ref="E18:E18">INDEX(Links[Link],MATCH(C18,Links[Exercise],0))</f>
        <v>https://youtu.be/pg3hz43P09w</v>
      </c>
      <c r="F18" s="72" t="str">
        <f aca="false">HYPERLINK(E18,"Video")</f>
        <v>Video</v>
      </c>
      <c r="G18" s="73"/>
      <c r="H18" s="61" t="str">
        <f aca="false">C18</f>
        <v>Dumbbell Side Lateral Raise</v>
      </c>
      <c r="I18" s="62" t="n">
        <v>3</v>
      </c>
      <c r="J18" s="62" t="n">
        <f aca="false">MROUND(((G18)*0.85),5)</f>
        <v>0</v>
      </c>
      <c r="K18" s="62" t="s">
        <v>41</v>
      </c>
      <c r="L18" s="62" t="s">
        <v>11</v>
      </c>
      <c r="M18" s="42"/>
      <c r="N18" s="63" t="str">
        <f aca="false">C18</f>
        <v>Dumbbell Side Lateral Raise</v>
      </c>
      <c r="O18" s="62" t="n">
        <f aca="false">I18+(M35)</f>
        <v>3</v>
      </c>
      <c r="P18" s="62" t="n">
        <f aca="false">MROUND((J18*1.02),5)</f>
        <v>0</v>
      </c>
      <c r="Q18" s="62" t="s">
        <v>41</v>
      </c>
      <c r="R18" s="62"/>
      <c r="S18" s="64"/>
      <c r="T18" s="65" t="str">
        <f aca="false">C18</f>
        <v>Dumbbell Side Lateral Raise</v>
      </c>
      <c r="U18" s="62" t="n">
        <f aca="false">O18+(S35)</f>
        <v>3</v>
      </c>
      <c r="V18" s="62" t="n">
        <f aca="false">MROUND((J18*1.04),5)</f>
        <v>0</v>
      </c>
      <c r="W18" s="62" t="s">
        <v>42</v>
      </c>
      <c r="X18" s="62"/>
      <c r="Y18" s="64"/>
      <c r="Z18" s="66" t="str">
        <f aca="false">C18</f>
        <v>Dumbbell Side Lateral Raise</v>
      </c>
      <c r="AA18" s="62" t="n">
        <f aca="false">U18+(Y35)</f>
        <v>3</v>
      </c>
      <c r="AB18" s="62" t="n">
        <f aca="false">MROUND((P18*1.04),5)</f>
        <v>0</v>
      </c>
      <c r="AC18" s="62" t="s">
        <v>42</v>
      </c>
      <c r="AD18" s="62"/>
      <c r="AE18" s="64"/>
      <c r="AF18" s="66" t="str">
        <f aca="false">C18</f>
        <v>Dumbbell Side Lateral Raise</v>
      </c>
      <c r="AG18" s="62" t="n">
        <f aca="false">AA18+(AE35)</f>
        <v>3</v>
      </c>
      <c r="AH18" s="62" t="n">
        <f aca="false">MROUND((V18*1.04),5)</f>
        <v>0</v>
      </c>
      <c r="AI18" s="62" t="s">
        <v>42</v>
      </c>
      <c r="AJ18" s="62"/>
      <c r="AK18" s="64"/>
      <c r="AL18" s="63" t="str">
        <f aca="false">C18</f>
        <v>Dumbbell Side Lateral Raise</v>
      </c>
      <c r="AM18" s="62" t="n">
        <f aca="false">AG18+(AK35)</f>
        <v>3</v>
      </c>
      <c r="AN18" s="62" t="n">
        <f aca="false">MROUND((J18*1.1),5)</f>
        <v>0</v>
      </c>
      <c r="AO18" s="62" t="s">
        <v>43</v>
      </c>
      <c r="AP18" s="62"/>
      <c r="AQ18" s="64"/>
      <c r="AR18" s="63" t="str">
        <f aca="false">C18</f>
        <v>Dumbbell Side Lateral Raise</v>
      </c>
      <c r="AS18" s="62" t="n">
        <v>2</v>
      </c>
      <c r="AT18" s="67" t="n">
        <f aca="false">J18</f>
        <v>0</v>
      </c>
      <c r="AU18" s="42" t="s">
        <v>44</v>
      </c>
    </row>
    <row r="19" customFormat="false" ht="15" hidden="false" customHeight="false" outlineLevel="0" collapsed="false">
      <c r="B19" s="74" t="s">
        <v>55</v>
      </c>
      <c r="C19" s="75" t="s">
        <v>56</v>
      </c>
      <c r="D19" s="76" t="str">
        <f aca="false" t="array" ref="D19:D19">INDEX(Table_Name[Name List],MATCH(B19,Table_Name[Category],0))</f>
        <v>Abs[Exercise]</v>
      </c>
      <c r="E19" s="77" t="str">
        <f aca="false" t="array" ref="E19:E19">INDEX(Links[Link],MATCH(C19,Links[Exercise],0))</f>
        <v>https://youtu.be/dmwMfjPQIP8</v>
      </c>
      <c r="F19" s="78" t="str">
        <f aca="false">HYPERLINK(E19,"Video")</f>
        <v>Video</v>
      </c>
      <c r="G19" s="79"/>
      <c r="H19" s="80" t="str">
        <f aca="false">C19</f>
        <v>Hanging Knee Raise</v>
      </c>
      <c r="I19" s="81" t="n">
        <v>2</v>
      </c>
      <c r="J19" s="81" t="n">
        <f aca="false">MROUND(((G19)*0.85),5)</f>
        <v>0</v>
      </c>
      <c r="K19" s="81" t="s">
        <v>41</v>
      </c>
      <c r="L19" s="81"/>
      <c r="M19" s="82"/>
      <c r="N19" s="83" t="str">
        <f aca="false">C19</f>
        <v>Hanging Knee Raise</v>
      </c>
      <c r="O19" s="81" t="n">
        <f aca="false">I19+(M38)</f>
        <v>2</v>
      </c>
      <c r="P19" s="62" t="n">
        <f aca="false">MROUND((J19*1.02),5)</f>
        <v>0</v>
      </c>
      <c r="Q19" s="81" t="s">
        <v>41</v>
      </c>
      <c r="R19" s="81"/>
      <c r="S19" s="64"/>
      <c r="T19" s="84" t="str">
        <f aca="false">C19</f>
        <v>Hanging Knee Raise</v>
      </c>
      <c r="U19" s="81" t="n">
        <f aca="false">O19+(S38)</f>
        <v>2</v>
      </c>
      <c r="V19" s="62" t="n">
        <f aca="false">MROUND((J19*1.04),5)</f>
        <v>0</v>
      </c>
      <c r="W19" s="81" t="s">
        <v>42</v>
      </c>
      <c r="X19" s="81"/>
      <c r="Y19" s="64"/>
      <c r="Z19" s="66" t="str">
        <f aca="false">C19</f>
        <v>Hanging Knee Raise</v>
      </c>
      <c r="AA19" s="81" t="n">
        <f aca="false">U19+(Y38)</f>
        <v>2</v>
      </c>
      <c r="AB19" s="62" t="n">
        <f aca="false">MROUND((P19*1.04),5)</f>
        <v>0</v>
      </c>
      <c r="AC19" s="81" t="s">
        <v>42</v>
      </c>
      <c r="AD19" s="81"/>
      <c r="AE19" s="64"/>
      <c r="AF19" s="66" t="str">
        <f aca="false">C19</f>
        <v>Hanging Knee Raise</v>
      </c>
      <c r="AG19" s="81" t="n">
        <f aca="false">AA19+(AE38)</f>
        <v>2</v>
      </c>
      <c r="AH19" s="62" t="n">
        <f aca="false">MROUND((V19*1.04),5)</f>
        <v>0</v>
      </c>
      <c r="AI19" s="81" t="s">
        <v>42</v>
      </c>
      <c r="AJ19" s="81"/>
      <c r="AK19" s="64"/>
      <c r="AL19" s="83" t="str">
        <f aca="false">C19</f>
        <v>Hanging Knee Raise</v>
      </c>
      <c r="AM19" s="81" t="n">
        <f aca="false">AG19+(AK38)</f>
        <v>2</v>
      </c>
      <c r="AN19" s="81" t="n">
        <f aca="false">MROUND((J19*1.1),5)</f>
        <v>0</v>
      </c>
      <c r="AO19" s="81" t="s">
        <v>43</v>
      </c>
      <c r="AP19" s="81"/>
      <c r="AQ19" s="64"/>
      <c r="AR19" s="83" t="str">
        <f aca="false">C19</f>
        <v>Hanging Knee Raise</v>
      </c>
      <c r="AS19" s="81" t="n">
        <v>2</v>
      </c>
      <c r="AT19" s="85" t="n">
        <f aca="false">J19</f>
        <v>0</v>
      </c>
      <c r="AU19" s="82" t="s">
        <v>44</v>
      </c>
    </row>
    <row r="20" customFormat="false" ht="18.6" hidden="false" customHeight="false" outlineLevel="0" collapsed="false">
      <c r="B20" s="86" t="s">
        <v>57</v>
      </c>
      <c r="C20" s="41"/>
      <c r="D20" s="41"/>
      <c r="E20" s="41"/>
      <c r="F20" s="41"/>
      <c r="G20" s="42"/>
      <c r="H20" s="36" t="s">
        <v>20</v>
      </c>
      <c r="I20" s="36"/>
      <c r="J20" s="36"/>
      <c r="K20" s="36"/>
      <c r="L20" s="36"/>
      <c r="M20" s="36"/>
      <c r="N20" s="37" t="s">
        <v>21</v>
      </c>
      <c r="O20" s="37"/>
      <c r="P20" s="37"/>
      <c r="Q20" s="37"/>
      <c r="R20" s="37"/>
      <c r="S20" s="37"/>
      <c r="T20" s="38" t="s">
        <v>22</v>
      </c>
      <c r="U20" s="38"/>
      <c r="V20" s="38"/>
      <c r="W20" s="38"/>
      <c r="X20" s="38"/>
      <c r="Y20" s="38"/>
      <c r="Z20" s="38" t="s">
        <v>23</v>
      </c>
      <c r="AA20" s="38"/>
      <c r="AB20" s="38"/>
      <c r="AC20" s="38"/>
      <c r="AD20" s="38"/>
      <c r="AE20" s="38"/>
      <c r="AF20" s="38" t="s">
        <v>24</v>
      </c>
      <c r="AG20" s="38"/>
      <c r="AH20" s="38"/>
      <c r="AI20" s="38"/>
      <c r="AJ20" s="38"/>
      <c r="AK20" s="38"/>
      <c r="AL20" s="39" t="s">
        <v>25</v>
      </c>
      <c r="AM20" s="39"/>
      <c r="AN20" s="39"/>
      <c r="AO20" s="39"/>
      <c r="AP20" s="39"/>
      <c r="AQ20" s="39"/>
      <c r="AR20" s="40" t="s">
        <v>26</v>
      </c>
      <c r="AS20" s="40"/>
      <c r="AT20" s="40"/>
      <c r="AU20" s="40"/>
    </row>
    <row r="21" customFormat="false" ht="15" hidden="false" customHeight="false" outlineLevel="0" collapsed="false">
      <c r="B21" s="41"/>
      <c r="C21" s="41"/>
      <c r="D21" s="41"/>
      <c r="E21" s="41"/>
      <c r="F21" s="41"/>
      <c r="G21" s="41"/>
      <c r="H21" s="43" t="s">
        <v>29</v>
      </c>
      <c r="I21" s="44" t="s">
        <v>30</v>
      </c>
      <c r="J21" s="45" t="s">
        <v>31</v>
      </c>
      <c r="K21" s="46" t="s">
        <v>32</v>
      </c>
      <c r="L21" s="46" t="s">
        <v>33</v>
      </c>
      <c r="M21" s="47" t="s">
        <v>34</v>
      </c>
      <c r="N21" s="48" t="s">
        <v>29</v>
      </c>
      <c r="O21" s="48" t="s">
        <v>30</v>
      </c>
      <c r="P21" s="45" t="s">
        <v>31</v>
      </c>
      <c r="Q21" s="46" t="s">
        <v>32</v>
      </c>
      <c r="R21" s="46" t="s">
        <v>33</v>
      </c>
      <c r="S21" s="47" t="s">
        <v>34</v>
      </c>
      <c r="T21" s="48" t="s">
        <v>29</v>
      </c>
      <c r="U21" s="48" t="s">
        <v>30</v>
      </c>
      <c r="V21" s="45" t="s">
        <v>31</v>
      </c>
      <c r="W21" s="46" t="s">
        <v>32</v>
      </c>
      <c r="X21" s="46" t="s">
        <v>33</v>
      </c>
      <c r="Y21" s="47" t="s">
        <v>34</v>
      </c>
      <c r="Z21" s="48" t="s">
        <v>29</v>
      </c>
      <c r="AA21" s="48" t="s">
        <v>30</v>
      </c>
      <c r="AB21" s="45" t="s">
        <v>31</v>
      </c>
      <c r="AC21" s="46" t="s">
        <v>32</v>
      </c>
      <c r="AD21" s="46" t="s">
        <v>33</v>
      </c>
      <c r="AE21" s="47" t="s">
        <v>34</v>
      </c>
      <c r="AF21" s="48" t="s">
        <v>29</v>
      </c>
      <c r="AG21" s="48" t="s">
        <v>30</v>
      </c>
      <c r="AH21" s="45" t="s">
        <v>31</v>
      </c>
      <c r="AI21" s="46" t="s">
        <v>32</v>
      </c>
      <c r="AJ21" s="46" t="s">
        <v>33</v>
      </c>
      <c r="AK21" s="47" t="s">
        <v>34</v>
      </c>
      <c r="AL21" s="48" t="s">
        <v>29</v>
      </c>
      <c r="AM21" s="48" t="s">
        <v>30</v>
      </c>
      <c r="AN21" s="45" t="s">
        <v>31</v>
      </c>
      <c r="AO21" s="87" t="s">
        <v>58</v>
      </c>
      <c r="AP21" s="46" t="s">
        <v>33</v>
      </c>
      <c r="AQ21" s="47" t="s">
        <v>34</v>
      </c>
      <c r="AR21" s="48" t="s">
        <v>29</v>
      </c>
      <c r="AS21" s="48" t="s">
        <v>30</v>
      </c>
      <c r="AT21" s="45" t="s">
        <v>31</v>
      </c>
      <c r="AU21" s="49" t="s">
        <v>32</v>
      </c>
    </row>
    <row r="22" customFormat="false" ht="15" hidden="false" customHeight="false" outlineLevel="0" collapsed="false">
      <c r="B22" s="50" t="s">
        <v>59</v>
      </c>
      <c r="C22" s="51" t="s">
        <v>60</v>
      </c>
      <c r="D22" s="52"/>
      <c r="E22" s="88"/>
      <c r="F22" s="51" t="s">
        <v>37</v>
      </c>
      <c r="G22" s="51" t="s">
        <v>38</v>
      </c>
      <c r="H22" s="46" t="s">
        <v>60</v>
      </c>
      <c r="I22" s="53"/>
      <c r="J22" s="53"/>
      <c r="K22" s="53"/>
      <c r="L22" s="53"/>
      <c r="M22" s="54"/>
      <c r="N22" s="43" t="s">
        <v>60</v>
      </c>
      <c r="O22" s="53"/>
      <c r="P22" s="53"/>
      <c r="Q22" s="53"/>
      <c r="R22" s="53"/>
      <c r="S22" s="54"/>
      <c r="T22" s="43" t="s">
        <v>60</v>
      </c>
      <c r="U22" s="53"/>
      <c r="V22" s="53"/>
      <c r="W22" s="53"/>
      <c r="X22" s="53"/>
      <c r="Y22" s="53"/>
      <c r="Z22" s="43" t="s">
        <v>60</v>
      </c>
      <c r="AA22" s="53"/>
      <c r="AB22" s="53"/>
      <c r="AC22" s="53"/>
      <c r="AD22" s="53"/>
      <c r="AE22" s="53"/>
      <c r="AF22" s="43" t="s">
        <v>60</v>
      </c>
      <c r="AG22" s="53"/>
      <c r="AH22" s="53"/>
      <c r="AI22" s="53"/>
      <c r="AJ22" s="53"/>
      <c r="AK22" s="53"/>
      <c r="AL22" s="43" t="s">
        <v>60</v>
      </c>
      <c r="AM22" s="53"/>
      <c r="AN22" s="53"/>
      <c r="AO22" s="53"/>
      <c r="AP22" s="53"/>
      <c r="AQ22" s="53"/>
      <c r="AR22" s="43" t="s">
        <v>60</v>
      </c>
      <c r="AS22" s="53"/>
      <c r="AT22" s="53"/>
      <c r="AU22" s="54"/>
    </row>
    <row r="23" customFormat="false" ht="15" hidden="false" customHeight="false" outlineLevel="0" collapsed="false">
      <c r="B23" s="55" t="s">
        <v>61</v>
      </c>
      <c r="C23" s="56" t="s">
        <v>62</v>
      </c>
      <c r="D23" s="57" t="str">
        <f aca="false" t="array" ref="D23:D23">INDEX(Table_Name[Name List],MATCH(B23,Table_Name[Category],0))</f>
        <v>Quads[Exercise]</v>
      </c>
      <c r="E23" s="58" t="str">
        <f aca="false" t="array" ref="E23:E23">INDEX(Links[Link],MATCH(C23,Links[Exercise],0))</f>
        <v>https://youtu.be/2-o_-HTPhv8</v>
      </c>
      <c r="F23" s="59" t="str">
        <f aca="false">HYPERLINK(E23,"Video")</f>
        <v>Video</v>
      </c>
      <c r="G23" s="60"/>
      <c r="H23" s="61" t="str">
        <f aca="false">C23</f>
        <v>High Bar Squat</v>
      </c>
      <c r="I23" s="62" t="n">
        <v>3</v>
      </c>
      <c r="J23" s="62" t="n">
        <f aca="false">MROUND(((G23)*0.85),5)</f>
        <v>0</v>
      </c>
      <c r="K23" s="62" t="s">
        <v>41</v>
      </c>
      <c r="L23" s="62"/>
      <c r="M23" s="42"/>
      <c r="N23" s="61" t="str">
        <f aca="false">C23</f>
        <v>High Bar Squat</v>
      </c>
      <c r="O23" s="62" t="n">
        <f aca="false">I23+(M44)</f>
        <v>3</v>
      </c>
      <c r="P23" s="62" t="n">
        <f aca="false">MROUND((J23*1.02),5)</f>
        <v>0</v>
      </c>
      <c r="Q23" s="62" t="s">
        <v>41</v>
      </c>
      <c r="R23" s="62"/>
      <c r="S23" s="64"/>
      <c r="T23" s="65" t="str">
        <f aca="false">C23</f>
        <v>High Bar Squat</v>
      </c>
      <c r="U23" s="62" t="n">
        <f aca="false">O23+(S44)</f>
        <v>3</v>
      </c>
      <c r="V23" s="62" t="n">
        <f aca="false">MROUND((J23*1.04),5)</f>
        <v>0</v>
      </c>
      <c r="W23" s="62" t="s">
        <v>42</v>
      </c>
      <c r="X23" s="62"/>
      <c r="Y23" s="64"/>
      <c r="Z23" s="66" t="str">
        <f aca="false">C23</f>
        <v>High Bar Squat</v>
      </c>
      <c r="AA23" s="62" t="n">
        <f aca="false">U23+(Y44)</f>
        <v>3</v>
      </c>
      <c r="AB23" s="62" t="n">
        <f aca="false">MROUND((P23*1.04),5)</f>
        <v>0</v>
      </c>
      <c r="AC23" s="62" t="s">
        <v>42</v>
      </c>
      <c r="AD23" s="62"/>
      <c r="AE23" s="64"/>
      <c r="AF23" s="66" t="str">
        <f aca="false">C23</f>
        <v>High Bar Squat</v>
      </c>
      <c r="AG23" s="62" t="n">
        <f aca="false">AA23+(AE44)</f>
        <v>3</v>
      </c>
      <c r="AH23" s="62" t="n">
        <f aca="false">MROUND((V23*1.04),5)</f>
        <v>0</v>
      </c>
      <c r="AI23" s="62" t="s">
        <v>42</v>
      </c>
      <c r="AJ23" s="62"/>
      <c r="AK23" s="64"/>
      <c r="AL23" s="63" t="str">
        <f aca="false">C23</f>
        <v>High Bar Squat</v>
      </c>
      <c r="AM23" s="62" t="n">
        <f aca="false">AG23+(AK44)</f>
        <v>3</v>
      </c>
      <c r="AN23" s="62" t="n">
        <f aca="false">MROUND((J23*1.1),5)</f>
        <v>0</v>
      </c>
      <c r="AO23" s="62" t="s">
        <v>43</v>
      </c>
      <c r="AP23" s="62"/>
      <c r="AQ23" s="64"/>
      <c r="AR23" s="63" t="str">
        <f aca="false">C23</f>
        <v>High Bar Squat</v>
      </c>
      <c r="AS23" s="62" t="n">
        <v>2</v>
      </c>
      <c r="AT23" s="67" t="n">
        <f aca="false">J23</f>
        <v>0</v>
      </c>
      <c r="AU23" s="42" t="s">
        <v>44</v>
      </c>
    </row>
    <row r="24" customFormat="false" ht="15" hidden="false" customHeight="false" outlineLevel="0" collapsed="false">
      <c r="B24" s="68" t="s">
        <v>61</v>
      </c>
      <c r="C24" s="69" t="s">
        <v>63</v>
      </c>
      <c r="D24" s="70" t="str">
        <f aca="false" t="array" ref="D24:D24">INDEX(Table_Name[Name List],MATCH(B24,Table_Name[Category],0))</f>
        <v>Quads[Exercise]</v>
      </c>
      <c r="E24" s="71" t="str">
        <f aca="false" t="array" ref="E24:E24">INDEX(Links[Link],MATCH(C24,Links[Exercise],0))</f>
        <v>https://youtu.be/mJSsWpuyiCM</v>
      </c>
      <c r="F24" s="72" t="str">
        <f aca="false">HYPERLINK(E24,"Video")</f>
        <v>Video</v>
      </c>
      <c r="G24" s="73"/>
      <c r="H24" s="61" t="str">
        <f aca="false">C24</f>
        <v>Leg Press</v>
      </c>
      <c r="I24" s="62" t="n">
        <v>2</v>
      </c>
      <c r="J24" s="62" t="n">
        <f aca="false">MROUND(((G24)*0.85),5)</f>
        <v>0</v>
      </c>
      <c r="K24" s="62" t="s">
        <v>41</v>
      </c>
      <c r="L24" s="62"/>
      <c r="M24" s="42"/>
      <c r="N24" s="61" t="str">
        <f aca="false">C24</f>
        <v>Leg Press</v>
      </c>
      <c r="O24" s="62" t="n">
        <f aca="false">I24+(M44)</f>
        <v>2</v>
      </c>
      <c r="P24" s="62" t="n">
        <f aca="false">MROUND((J24*1.02),5)</f>
        <v>0</v>
      </c>
      <c r="Q24" s="62" t="s">
        <v>41</v>
      </c>
      <c r="R24" s="62"/>
      <c r="S24" s="64"/>
      <c r="T24" s="65" t="str">
        <f aca="false">C24</f>
        <v>Leg Press</v>
      </c>
      <c r="U24" s="62" t="n">
        <f aca="false">O24+(S44)</f>
        <v>2</v>
      </c>
      <c r="V24" s="62" t="n">
        <f aca="false">MROUND((J24*1.04),5)</f>
        <v>0</v>
      </c>
      <c r="W24" s="62" t="s">
        <v>42</v>
      </c>
      <c r="X24" s="62"/>
      <c r="Y24" s="64"/>
      <c r="Z24" s="66" t="str">
        <f aca="false">C24</f>
        <v>Leg Press</v>
      </c>
      <c r="AA24" s="62" t="n">
        <f aca="false">U24+(Y44)</f>
        <v>2</v>
      </c>
      <c r="AB24" s="62" t="n">
        <f aca="false">MROUND((P24*1.04),5)</f>
        <v>0</v>
      </c>
      <c r="AC24" s="62" t="s">
        <v>42</v>
      </c>
      <c r="AD24" s="62"/>
      <c r="AE24" s="64"/>
      <c r="AF24" s="66" t="str">
        <f aca="false">C24</f>
        <v>Leg Press</v>
      </c>
      <c r="AG24" s="62" t="n">
        <f aca="false">AA24+(AE44)</f>
        <v>2</v>
      </c>
      <c r="AH24" s="62" t="n">
        <f aca="false">MROUND((V24*1.04),5)</f>
        <v>0</v>
      </c>
      <c r="AI24" s="62" t="s">
        <v>42</v>
      </c>
      <c r="AJ24" s="62"/>
      <c r="AK24" s="64"/>
      <c r="AL24" s="63" t="str">
        <f aca="false">C24</f>
        <v>Leg Press</v>
      </c>
      <c r="AM24" s="62" t="n">
        <f aca="false">AG24+(AK44)</f>
        <v>2</v>
      </c>
      <c r="AN24" s="62" t="n">
        <f aca="false">MROUND((J24*1.1),5)</f>
        <v>0</v>
      </c>
      <c r="AO24" s="62" t="s">
        <v>43</v>
      </c>
      <c r="AP24" s="62"/>
      <c r="AQ24" s="64"/>
      <c r="AR24" s="63" t="str">
        <f aca="false">C24</f>
        <v>Leg Press</v>
      </c>
      <c r="AS24" s="62" t="n">
        <v>2</v>
      </c>
      <c r="AT24" s="67" t="n">
        <f aca="false">J24</f>
        <v>0</v>
      </c>
      <c r="AU24" s="42" t="s">
        <v>44</v>
      </c>
    </row>
    <row r="25" customFormat="false" ht="15" hidden="false" customHeight="false" outlineLevel="0" collapsed="false">
      <c r="B25" s="68" t="s">
        <v>64</v>
      </c>
      <c r="C25" s="69" t="s">
        <v>65</v>
      </c>
      <c r="D25" s="70" t="str">
        <f aca="false" t="array" ref="D25:D25">INDEX(Table_Name[Name List],MATCH(B25,Table_Name[Category],0))</f>
        <v>Hamstrings_Isolation[Exercise]</v>
      </c>
      <c r="E25" s="71" t="str">
        <f aca="false" t="array" ref="E25:E25">INDEX(Links[Link],MATCH(C25,Links[Exercise],0))</f>
        <v>https://youtu.be/m4KB9-Uo4Kc</v>
      </c>
      <c r="F25" s="72" t="str">
        <f aca="false">HYPERLINK(E25,"Video")</f>
        <v>Video</v>
      </c>
      <c r="G25" s="73"/>
      <c r="H25" s="61" t="str">
        <f aca="false">C25</f>
        <v>Lying Leg Curl</v>
      </c>
      <c r="I25" s="62" t="n">
        <v>3</v>
      </c>
      <c r="J25" s="62" t="n">
        <f aca="false">MROUND(((G25)*0.85),5)</f>
        <v>0</v>
      </c>
      <c r="K25" s="62" t="s">
        <v>41</v>
      </c>
      <c r="L25" s="62"/>
      <c r="M25" s="42"/>
      <c r="N25" s="61" t="str">
        <f aca="false">C25</f>
        <v>Lying Leg Curl</v>
      </c>
      <c r="O25" s="62" t="n">
        <f aca="false">I25+(M43)</f>
        <v>3</v>
      </c>
      <c r="P25" s="62" t="n">
        <f aca="false">MROUND((J25*1.02),5)</f>
        <v>0</v>
      </c>
      <c r="Q25" s="62" t="s">
        <v>41</v>
      </c>
      <c r="R25" s="62"/>
      <c r="S25" s="64"/>
      <c r="T25" s="65" t="str">
        <f aca="false">C25</f>
        <v>Lying Leg Curl</v>
      </c>
      <c r="U25" s="62" t="n">
        <f aca="false">O25+(S43)</f>
        <v>3</v>
      </c>
      <c r="V25" s="62" t="n">
        <f aca="false">MROUND((J25*1.04),5)</f>
        <v>0</v>
      </c>
      <c r="W25" s="62" t="s">
        <v>42</v>
      </c>
      <c r="X25" s="62"/>
      <c r="Y25" s="64"/>
      <c r="Z25" s="66" t="str">
        <f aca="false">C25</f>
        <v>Lying Leg Curl</v>
      </c>
      <c r="AA25" s="62" t="n">
        <f aca="false">U25+(Y43)</f>
        <v>3</v>
      </c>
      <c r="AB25" s="62" t="n">
        <f aca="false">MROUND((P25*1.04),5)</f>
        <v>0</v>
      </c>
      <c r="AC25" s="62" t="s">
        <v>42</v>
      </c>
      <c r="AD25" s="62"/>
      <c r="AE25" s="64"/>
      <c r="AF25" s="66" t="str">
        <f aca="false">C25</f>
        <v>Lying Leg Curl</v>
      </c>
      <c r="AG25" s="62" t="n">
        <f aca="false">AA25+(AE43)</f>
        <v>3</v>
      </c>
      <c r="AH25" s="62" t="n">
        <f aca="false">MROUND((V25*1.04),5)</f>
        <v>0</v>
      </c>
      <c r="AI25" s="62" t="s">
        <v>42</v>
      </c>
      <c r="AJ25" s="62"/>
      <c r="AK25" s="64"/>
      <c r="AL25" s="63" t="str">
        <f aca="false">C25</f>
        <v>Lying Leg Curl</v>
      </c>
      <c r="AM25" s="62" t="n">
        <f aca="false">AG25+(AK43)</f>
        <v>3</v>
      </c>
      <c r="AN25" s="62" t="n">
        <f aca="false">MROUND((J25*1.1),5)</f>
        <v>0</v>
      </c>
      <c r="AO25" s="62" t="s">
        <v>43</v>
      </c>
      <c r="AP25" s="62"/>
      <c r="AQ25" s="64"/>
      <c r="AR25" s="63" t="str">
        <f aca="false">C25</f>
        <v>Lying Leg Curl</v>
      </c>
      <c r="AS25" s="62" t="n">
        <v>2</v>
      </c>
      <c r="AT25" s="67" t="n">
        <f aca="false">J25</f>
        <v>0</v>
      </c>
      <c r="AU25" s="42" t="s">
        <v>44</v>
      </c>
    </row>
    <row r="26" customFormat="false" ht="15" hidden="false" customHeight="false" outlineLevel="0" collapsed="false">
      <c r="B26" s="68" t="s">
        <v>66</v>
      </c>
      <c r="C26" s="69" t="s">
        <v>67</v>
      </c>
      <c r="D26" s="70" t="str">
        <f aca="false" t="array" ref="D26:D26">INDEX(Table_Name[Name List],MATCH(B26,Table_Name[Category],0))</f>
        <v>Calves[Exercise]</v>
      </c>
      <c r="E26" s="71" t="str">
        <f aca="false" t="array" ref="E26:E26">INDEX(Links[Link],MATCH(C26,Links[Exercise],0))</f>
        <v>https://youtu.be/wrPN51LyOUE</v>
      </c>
      <c r="F26" s="72" t="str">
        <f aca="false">HYPERLINK(E26,"Video")</f>
        <v>Video</v>
      </c>
      <c r="G26" s="73"/>
      <c r="H26" s="61" t="str">
        <f aca="false">C26</f>
        <v>Calves on Calf Machine</v>
      </c>
      <c r="I26" s="62" t="n">
        <v>4</v>
      </c>
      <c r="J26" s="62" t="n">
        <f aca="false">MROUND(((G26)*0.85),5)</f>
        <v>0</v>
      </c>
      <c r="K26" s="62" t="s">
        <v>41</v>
      </c>
      <c r="L26" s="62"/>
      <c r="M26" s="42"/>
      <c r="N26" s="61" t="str">
        <f aca="false">C26</f>
        <v>Calves on Calf Machine</v>
      </c>
      <c r="O26" s="62" t="n">
        <f aca="false">I26+(M47)</f>
        <v>4</v>
      </c>
      <c r="P26" s="62" t="n">
        <f aca="false">MROUND((J26*1.02),5)</f>
        <v>0</v>
      </c>
      <c r="Q26" s="62" t="s">
        <v>41</v>
      </c>
      <c r="R26" s="62"/>
      <c r="S26" s="64"/>
      <c r="T26" s="65" t="str">
        <f aca="false">C26</f>
        <v>Calves on Calf Machine</v>
      </c>
      <c r="U26" s="62" t="n">
        <f aca="false">O26+(S47)</f>
        <v>4</v>
      </c>
      <c r="V26" s="62" t="n">
        <f aca="false">MROUND((J26*1.04),5)</f>
        <v>0</v>
      </c>
      <c r="W26" s="62" t="s">
        <v>42</v>
      </c>
      <c r="X26" s="62"/>
      <c r="Y26" s="64"/>
      <c r="Z26" s="66" t="str">
        <f aca="false">C26</f>
        <v>Calves on Calf Machine</v>
      </c>
      <c r="AA26" s="62" t="n">
        <f aca="false">U26+(Y47)</f>
        <v>4</v>
      </c>
      <c r="AB26" s="62" t="n">
        <f aca="false">MROUND((P26*1.04),5)</f>
        <v>0</v>
      </c>
      <c r="AC26" s="62" t="s">
        <v>42</v>
      </c>
      <c r="AD26" s="62"/>
      <c r="AE26" s="64"/>
      <c r="AF26" s="66" t="str">
        <f aca="false">C26</f>
        <v>Calves on Calf Machine</v>
      </c>
      <c r="AG26" s="62" t="n">
        <f aca="false">AA26+(AE47)</f>
        <v>4</v>
      </c>
      <c r="AH26" s="62" t="n">
        <f aca="false">MROUND((V26*1.04),5)</f>
        <v>0</v>
      </c>
      <c r="AI26" s="62" t="s">
        <v>42</v>
      </c>
      <c r="AJ26" s="62"/>
      <c r="AK26" s="64"/>
      <c r="AL26" s="63" t="str">
        <f aca="false">C26</f>
        <v>Calves on Calf Machine</v>
      </c>
      <c r="AM26" s="62" t="n">
        <f aca="false">AG26+(AK47)</f>
        <v>4</v>
      </c>
      <c r="AN26" s="62" t="n">
        <f aca="false">MROUND((J26*1.1),5)</f>
        <v>0</v>
      </c>
      <c r="AO26" s="62" t="s">
        <v>43</v>
      </c>
      <c r="AP26" s="62"/>
      <c r="AQ26" s="64"/>
      <c r="AR26" s="63" t="str">
        <f aca="false">C26</f>
        <v>Calves on Calf Machine</v>
      </c>
      <c r="AS26" s="62" t="n">
        <v>2</v>
      </c>
      <c r="AT26" s="67" t="n">
        <f aca="false">J26</f>
        <v>0</v>
      </c>
      <c r="AU26" s="42" t="s">
        <v>44</v>
      </c>
    </row>
    <row r="27" customFormat="false" ht="15" hidden="false" customHeight="false" outlineLevel="0" collapsed="false">
      <c r="B27" s="68" t="s">
        <v>68</v>
      </c>
      <c r="C27" s="69" t="s">
        <v>69</v>
      </c>
      <c r="D27" s="70" t="str">
        <f aca="false" t="array" ref="D27:D27">INDEX(Table_Name[Name List],MATCH(B27,Table_Name[Category],0))</f>
        <v>Triceps[Exercise]</v>
      </c>
      <c r="E27" s="71" t="str">
        <f aca="false" t="array" ref="E27:E27">INDEX(Links[Link],MATCH(C27,Links[Exercise],0))</f>
        <v>https://youtu.be/B33bKk_r5PU</v>
      </c>
      <c r="F27" s="72" t="str">
        <f aca="false">HYPERLINK(E27,"Video")</f>
        <v>Video</v>
      </c>
      <c r="G27" s="73"/>
      <c r="H27" s="61" t="str">
        <f aca="false">C27</f>
        <v>Cable Tricep Pushdown</v>
      </c>
      <c r="I27" s="62" t="n">
        <v>3</v>
      </c>
      <c r="J27" s="62" t="n">
        <f aca="false">MROUND(((G27)*0.85),5)</f>
        <v>0</v>
      </c>
      <c r="K27" s="62" t="s">
        <v>41</v>
      </c>
      <c r="L27" s="62"/>
      <c r="M27" s="42"/>
      <c r="N27" s="61" t="str">
        <f aca="false">C27</f>
        <v>Cable Tricep Pushdown</v>
      </c>
      <c r="O27" s="62" t="n">
        <f aca="false">I27+(M37)</f>
        <v>3</v>
      </c>
      <c r="P27" s="62" t="n">
        <f aca="false">MROUND((J27*1.02),5)</f>
        <v>0</v>
      </c>
      <c r="Q27" s="62" t="s">
        <v>41</v>
      </c>
      <c r="R27" s="62"/>
      <c r="S27" s="64"/>
      <c r="T27" s="65" t="str">
        <f aca="false">C27</f>
        <v>Cable Tricep Pushdown</v>
      </c>
      <c r="U27" s="62" t="n">
        <f aca="false">O27+(S37)</f>
        <v>3</v>
      </c>
      <c r="V27" s="62" t="n">
        <f aca="false">MROUND((J27*1.04),5)</f>
        <v>0</v>
      </c>
      <c r="W27" s="62" t="s">
        <v>42</v>
      </c>
      <c r="X27" s="62"/>
      <c r="Y27" s="64"/>
      <c r="Z27" s="66" t="str">
        <f aca="false">C27</f>
        <v>Cable Tricep Pushdown</v>
      </c>
      <c r="AA27" s="62" t="n">
        <f aca="false">U27+(Y37)</f>
        <v>3</v>
      </c>
      <c r="AB27" s="62" t="n">
        <f aca="false">MROUND((P27*1.04),5)</f>
        <v>0</v>
      </c>
      <c r="AC27" s="62" t="s">
        <v>42</v>
      </c>
      <c r="AD27" s="62"/>
      <c r="AE27" s="64"/>
      <c r="AF27" s="66" t="str">
        <f aca="false">C27</f>
        <v>Cable Tricep Pushdown</v>
      </c>
      <c r="AG27" s="62" t="n">
        <f aca="false">AA27+(AE37)</f>
        <v>3</v>
      </c>
      <c r="AH27" s="62" t="n">
        <f aca="false">MROUND((V27*1.04),5)</f>
        <v>0</v>
      </c>
      <c r="AI27" s="62" t="s">
        <v>42</v>
      </c>
      <c r="AJ27" s="62"/>
      <c r="AK27" s="64"/>
      <c r="AL27" s="63" t="str">
        <f aca="false">C27</f>
        <v>Cable Tricep Pushdown</v>
      </c>
      <c r="AM27" s="62" t="n">
        <f aca="false">AG27+(AK37)</f>
        <v>3</v>
      </c>
      <c r="AN27" s="62" t="n">
        <f aca="false">MROUND((J27*1.1),5)</f>
        <v>0</v>
      </c>
      <c r="AO27" s="62" t="s">
        <v>43</v>
      </c>
      <c r="AP27" s="62"/>
      <c r="AQ27" s="64"/>
      <c r="AR27" s="63" t="str">
        <f aca="false">C27</f>
        <v>Cable Tricep Pushdown</v>
      </c>
      <c r="AS27" s="62" t="n">
        <v>2</v>
      </c>
      <c r="AT27" s="67" t="n">
        <f aca="false">J27</f>
        <v>0</v>
      </c>
      <c r="AU27" s="42" t="s">
        <v>44</v>
      </c>
    </row>
    <row r="28" customFormat="false" ht="15" hidden="false" customHeight="false" outlineLevel="0" collapsed="false">
      <c r="B28" s="74" t="s">
        <v>70</v>
      </c>
      <c r="C28" s="75" t="s">
        <v>71</v>
      </c>
      <c r="D28" s="76" t="str">
        <f aca="false" t="array" ref="D28:D28">INDEX(Table_Name[Name List],MATCH(B28,Table_Name[Category],0))</f>
        <v>Front_Delts[Exercise]</v>
      </c>
      <c r="E28" s="77" t="str">
        <f aca="false" t="array" ref="E28:E28">INDEX(Links[Link],MATCH(C28,Links[Exercise],0))</f>
        <v>https://youtu.be/n9RZ6FEthGU</v>
      </c>
      <c r="F28" s="78" t="str">
        <f aca="false">HYPERLINK(E28,"Video")</f>
        <v>Video</v>
      </c>
      <c r="G28" s="79"/>
      <c r="H28" s="61" t="str">
        <f aca="false">C28</f>
        <v>Standing Barbell Shoulder Press</v>
      </c>
      <c r="I28" s="62" t="n">
        <v>3</v>
      </c>
      <c r="J28" s="62" t="n">
        <f aca="false">MROUND(((G28)*0.85),5)</f>
        <v>0</v>
      </c>
      <c r="K28" s="62" t="s">
        <v>41</v>
      </c>
      <c r="L28" s="62"/>
      <c r="M28" s="42"/>
      <c r="N28" s="61" t="str">
        <f aca="false">C28</f>
        <v>Standing Barbell Shoulder Press</v>
      </c>
      <c r="O28" s="62" t="n">
        <f aca="false">I28+(M37)</f>
        <v>3</v>
      </c>
      <c r="P28" s="62" t="n">
        <f aca="false">MROUND((J28*1.02),5)</f>
        <v>0</v>
      </c>
      <c r="Q28" s="62" t="s">
        <v>41</v>
      </c>
      <c r="R28" s="62"/>
      <c r="S28" s="64"/>
      <c r="T28" s="65" t="str">
        <f aca="false">C28</f>
        <v>Standing Barbell Shoulder Press</v>
      </c>
      <c r="U28" s="62" t="n">
        <f aca="false">O28+(S37)</f>
        <v>3</v>
      </c>
      <c r="V28" s="62" t="n">
        <f aca="false">MROUND((J28*1.04),5)</f>
        <v>0</v>
      </c>
      <c r="W28" s="62" t="s">
        <v>42</v>
      </c>
      <c r="X28" s="62"/>
      <c r="Y28" s="64"/>
      <c r="Z28" s="66" t="str">
        <f aca="false">C28</f>
        <v>Standing Barbell Shoulder Press</v>
      </c>
      <c r="AA28" s="62" t="n">
        <f aca="false">U28+(Y37)</f>
        <v>3</v>
      </c>
      <c r="AB28" s="62" t="n">
        <f aca="false">MROUND((P28*1.04),5)</f>
        <v>0</v>
      </c>
      <c r="AC28" s="62" t="s">
        <v>42</v>
      </c>
      <c r="AD28" s="62"/>
      <c r="AE28" s="64"/>
      <c r="AF28" s="66" t="str">
        <f aca="false">C28</f>
        <v>Standing Barbell Shoulder Press</v>
      </c>
      <c r="AG28" s="62" t="n">
        <f aca="false">AA28+(AE37)</f>
        <v>3</v>
      </c>
      <c r="AH28" s="62" t="n">
        <f aca="false">MROUND((V28*1.04),5)</f>
        <v>0</v>
      </c>
      <c r="AI28" s="62" t="s">
        <v>42</v>
      </c>
      <c r="AJ28" s="62"/>
      <c r="AK28" s="64"/>
      <c r="AL28" s="63" t="str">
        <f aca="false">C28</f>
        <v>Standing Barbell Shoulder Press</v>
      </c>
      <c r="AM28" s="62" t="n">
        <f aca="false">AG28+(AK37)</f>
        <v>3</v>
      </c>
      <c r="AN28" s="62" t="n">
        <f aca="false">MROUND((J28*1.1),5)</f>
        <v>0</v>
      </c>
      <c r="AO28" s="62" t="s">
        <v>43</v>
      </c>
      <c r="AP28" s="62"/>
      <c r="AQ28" s="64"/>
      <c r="AR28" s="63" t="str">
        <f aca="false">C28</f>
        <v>Standing Barbell Shoulder Press</v>
      </c>
      <c r="AS28" s="62" t="n">
        <v>2</v>
      </c>
      <c r="AT28" s="67" t="n">
        <f aca="false">J28</f>
        <v>0</v>
      </c>
      <c r="AU28" s="42" t="s">
        <v>44</v>
      </c>
    </row>
    <row r="29" customFormat="false" ht="18.6" hidden="false" customHeight="false" outlineLevel="0" collapsed="false">
      <c r="B29" s="86" t="s">
        <v>72</v>
      </c>
      <c r="C29" s="41"/>
      <c r="D29" s="41"/>
      <c r="E29" s="41"/>
      <c r="F29" s="41"/>
      <c r="G29" s="42"/>
      <c r="H29" s="36" t="s">
        <v>20</v>
      </c>
      <c r="I29" s="36"/>
      <c r="J29" s="36"/>
      <c r="K29" s="36"/>
      <c r="L29" s="36"/>
      <c r="M29" s="36"/>
      <c r="N29" s="37" t="s">
        <v>21</v>
      </c>
      <c r="O29" s="37"/>
      <c r="P29" s="37"/>
      <c r="Q29" s="37"/>
      <c r="R29" s="37"/>
      <c r="S29" s="37"/>
      <c r="T29" s="38" t="s">
        <v>22</v>
      </c>
      <c r="U29" s="38"/>
      <c r="V29" s="38"/>
      <c r="W29" s="38"/>
      <c r="X29" s="38"/>
      <c r="Y29" s="38"/>
      <c r="Z29" s="38" t="s">
        <v>23</v>
      </c>
      <c r="AA29" s="38"/>
      <c r="AB29" s="38"/>
      <c r="AC29" s="38"/>
      <c r="AD29" s="38"/>
      <c r="AE29" s="38"/>
      <c r="AF29" s="38" t="s">
        <v>24</v>
      </c>
      <c r="AG29" s="38"/>
      <c r="AH29" s="38"/>
      <c r="AI29" s="38"/>
      <c r="AJ29" s="38"/>
      <c r="AK29" s="38"/>
      <c r="AL29" s="39" t="s">
        <v>25</v>
      </c>
      <c r="AM29" s="39"/>
      <c r="AN29" s="39"/>
      <c r="AO29" s="39"/>
      <c r="AP29" s="39"/>
      <c r="AQ29" s="39"/>
      <c r="AR29" s="40" t="s">
        <v>26</v>
      </c>
      <c r="AS29" s="40"/>
      <c r="AT29" s="40"/>
      <c r="AU29" s="40"/>
    </row>
    <row r="30" customFormat="false" ht="15" hidden="false" customHeight="false" outlineLevel="0" collapsed="false">
      <c r="B30" s="41"/>
      <c r="C30" s="41"/>
      <c r="D30" s="41"/>
      <c r="E30" s="41"/>
      <c r="F30" s="41"/>
      <c r="G30" s="41"/>
      <c r="H30" s="43" t="s">
        <v>29</v>
      </c>
      <c r="I30" s="44" t="s">
        <v>30</v>
      </c>
      <c r="J30" s="45" t="s">
        <v>31</v>
      </c>
      <c r="K30" s="46" t="s">
        <v>32</v>
      </c>
      <c r="L30" s="46" t="s">
        <v>33</v>
      </c>
      <c r="M30" s="47" t="s">
        <v>34</v>
      </c>
      <c r="N30" s="48" t="s">
        <v>29</v>
      </c>
      <c r="O30" s="48" t="s">
        <v>30</v>
      </c>
      <c r="P30" s="45" t="s">
        <v>31</v>
      </c>
      <c r="Q30" s="46" t="s">
        <v>32</v>
      </c>
      <c r="R30" s="46" t="s">
        <v>33</v>
      </c>
      <c r="S30" s="47" t="s">
        <v>34</v>
      </c>
      <c r="T30" s="48" t="s">
        <v>29</v>
      </c>
      <c r="U30" s="48" t="s">
        <v>30</v>
      </c>
      <c r="V30" s="45" t="s">
        <v>31</v>
      </c>
      <c r="W30" s="46" t="s">
        <v>32</v>
      </c>
      <c r="X30" s="46" t="s">
        <v>33</v>
      </c>
      <c r="Y30" s="47" t="s">
        <v>34</v>
      </c>
      <c r="Z30" s="48" t="s">
        <v>29</v>
      </c>
      <c r="AA30" s="48" t="s">
        <v>30</v>
      </c>
      <c r="AB30" s="45" t="s">
        <v>31</v>
      </c>
      <c r="AC30" s="46" t="s">
        <v>32</v>
      </c>
      <c r="AD30" s="46" t="s">
        <v>33</v>
      </c>
      <c r="AE30" s="47" t="s">
        <v>34</v>
      </c>
      <c r="AF30" s="48" t="s">
        <v>29</v>
      </c>
      <c r="AG30" s="48" t="s">
        <v>30</v>
      </c>
      <c r="AH30" s="45" t="s">
        <v>31</v>
      </c>
      <c r="AI30" s="46" t="s">
        <v>32</v>
      </c>
      <c r="AJ30" s="46" t="s">
        <v>33</v>
      </c>
      <c r="AK30" s="47" t="s">
        <v>34</v>
      </c>
      <c r="AL30" s="48" t="s">
        <v>29</v>
      </c>
      <c r="AM30" s="48" t="s">
        <v>30</v>
      </c>
      <c r="AN30" s="45" t="s">
        <v>31</v>
      </c>
      <c r="AO30" s="87" t="s">
        <v>58</v>
      </c>
      <c r="AP30" s="46" t="s">
        <v>33</v>
      </c>
      <c r="AQ30" s="47" t="s">
        <v>34</v>
      </c>
      <c r="AR30" s="48" t="s">
        <v>29</v>
      </c>
      <c r="AS30" s="48" t="s">
        <v>30</v>
      </c>
      <c r="AT30" s="45" t="s">
        <v>31</v>
      </c>
      <c r="AU30" s="49" t="s">
        <v>32</v>
      </c>
    </row>
    <row r="31" customFormat="false" ht="15" hidden="false" customHeight="false" outlineLevel="0" collapsed="false">
      <c r="B31" s="50" t="s">
        <v>35</v>
      </c>
      <c r="C31" s="51" t="s">
        <v>73</v>
      </c>
      <c r="D31" s="52"/>
      <c r="E31" s="88"/>
      <c r="F31" s="51" t="s">
        <v>37</v>
      </c>
      <c r="G31" s="51" t="s">
        <v>38</v>
      </c>
      <c r="H31" s="46" t="s">
        <v>73</v>
      </c>
      <c r="I31" s="53"/>
      <c r="J31" s="53"/>
      <c r="K31" s="53"/>
      <c r="L31" s="53"/>
      <c r="M31" s="54"/>
      <c r="N31" s="43" t="s">
        <v>73</v>
      </c>
      <c r="O31" s="53"/>
      <c r="P31" s="53"/>
      <c r="Q31" s="53"/>
      <c r="R31" s="53"/>
      <c r="S31" s="54"/>
      <c r="T31" s="43" t="s">
        <v>73</v>
      </c>
      <c r="U31" s="53"/>
      <c r="V31" s="53"/>
      <c r="W31" s="53"/>
      <c r="X31" s="53"/>
      <c r="Y31" s="53"/>
      <c r="Z31" s="43" t="s">
        <v>73</v>
      </c>
      <c r="AA31" s="53"/>
      <c r="AB31" s="53"/>
      <c r="AC31" s="53"/>
      <c r="AD31" s="53"/>
      <c r="AE31" s="53"/>
      <c r="AF31" s="43" t="s">
        <v>73</v>
      </c>
      <c r="AG31" s="53"/>
      <c r="AH31" s="53"/>
      <c r="AI31" s="53"/>
      <c r="AJ31" s="53"/>
      <c r="AK31" s="53"/>
      <c r="AL31" s="43" t="s">
        <v>73</v>
      </c>
      <c r="AM31" s="53"/>
      <c r="AN31" s="53"/>
      <c r="AO31" s="53"/>
      <c r="AP31" s="53"/>
      <c r="AQ31" s="53"/>
      <c r="AR31" s="43" t="s">
        <v>73</v>
      </c>
      <c r="AS31" s="53"/>
      <c r="AT31" s="53"/>
      <c r="AU31" s="54"/>
    </row>
    <row r="32" customFormat="false" ht="15" hidden="false" customHeight="false" outlineLevel="0" collapsed="false">
      <c r="B32" s="55" t="s">
        <v>51</v>
      </c>
      <c r="C32" s="56" t="s">
        <v>52</v>
      </c>
      <c r="D32" s="57" t="str">
        <f aca="false" t="array" ref="D32:D32">INDEX(Table_Name[Name List],MATCH(B32,Table_Name[Category],0))</f>
        <v>Vertical_Back[Exercise]</v>
      </c>
      <c r="E32" s="58" t="str">
        <f aca="false" t="array" ref="E32:E32">INDEX(Links[Link],MATCH(C32,Links[Exercise],0))</f>
        <v>https://youtu.be/gQ179IUjMsQ</v>
      </c>
      <c r="F32" s="59" t="str">
        <f aca="false">HYPERLINK(E32,"Video")</f>
        <v>Video</v>
      </c>
      <c r="G32" s="60"/>
      <c r="H32" s="61" t="str">
        <f aca="false">C32</f>
        <v>Normal Grip Pulldown</v>
      </c>
      <c r="I32" s="62" t="n">
        <v>2</v>
      </c>
      <c r="J32" s="62" t="n">
        <f aca="false">MROUND(((G32)*0.85),5)</f>
        <v>0</v>
      </c>
      <c r="K32" s="62" t="s">
        <v>41</v>
      </c>
      <c r="L32" s="62"/>
      <c r="M32" s="64"/>
      <c r="N32" s="61" t="str">
        <f aca="false">C32</f>
        <v>Normal Grip Pulldown</v>
      </c>
      <c r="O32" s="62" t="n">
        <f aca="false">I32+(S17)</f>
        <v>2</v>
      </c>
      <c r="P32" s="62" t="n">
        <f aca="false">MROUND((J32*1.02),5)</f>
        <v>0</v>
      </c>
      <c r="Q32" s="62" t="s">
        <v>41</v>
      </c>
      <c r="R32" s="62"/>
      <c r="S32" s="64"/>
      <c r="T32" s="65" t="str">
        <f aca="false">C32</f>
        <v>Normal Grip Pulldown</v>
      </c>
      <c r="U32" s="62" t="n">
        <f aca="false">O32+(Y17)</f>
        <v>2</v>
      </c>
      <c r="V32" s="62" t="n">
        <f aca="false">MROUND((J32*1.04),5)</f>
        <v>0</v>
      </c>
      <c r="W32" s="62" t="s">
        <v>42</v>
      </c>
      <c r="X32" s="62"/>
      <c r="Y32" s="64"/>
      <c r="Z32" s="66" t="str">
        <f aca="false">C32</f>
        <v>Normal Grip Pulldown</v>
      </c>
      <c r="AA32" s="62" t="n">
        <f aca="false">U32+(AE17)</f>
        <v>2</v>
      </c>
      <c r="AB32" s="62" t="n">
        <f aca="false">MROUND((P32*1.04),5)</f>
        <v>0</v>
      </c>
      <c r="AC32" s="62" t="s">
        <v>42</v>
      </c>
      <c r="AD32" s="62"/>
      <c r="AE32" s="64"/>
      <c r="AF32" s="66" t="str">
        <f aca="false">C32</f>
        <v>Normal Grip Pulldown</v>
      </c>
      <c r="AG32" s="62" t="n">
        <f aca="false">AA32+(AK17)</f>
        <v>2</v>
      </c>
      <c r="AH32" s="62" t="n">
        <f aca="false">MROUND((V32*1.04),5)</f>
        <v>0</v>
      </c>
      <c r="AI32" s="62" t="s">
        <v>42</v>
      </c>
      <c r="AJ32" s="62"/>
      <c r="AK32" s="64"/>
      <c r="AL32" s="63" t="str">
        <f aca="false">C32</f>
        <v>Normal Grip Pulldown</v>
      </c>
      <c r="AM32" s="62" t="n">
        <f aca="false">AG32+(AQ17)</f>
        <v>2</v>
      </c>
      <c r="AN32" s="62" t="n">
        <f aca="false">MROUND((J32*1.1),5)</f>
        <v>0</v>
      </c>
      <c r="AO32" s="62" t="s">
        <v>43</v>
      </c>
      <c r="AP32" s="62"/>
      <c r="AQ32" s="62"/>
      <c r="AR32" s="63" t="str">
        <f aca="false">C32</f>
        <v>Normal Grip Pulldown</v>
      </c>
      <c r="AS32" s="62" t="n">
        <v>2</v>
      </c>
      <c r="AT32" s="67" t="n">
        <f aca="false">MROUND((J32*0.5),5)</f>
        <v>0</v>
      </c>
      <c r="AU32" s="42" t="s">
        <v>44</v>
      </c>
    </row>
    <row r="33" customFormat="false" ht="15" hidden="false" customHeight="false" outlineLevel="0" collapsed="false">
      <c r="B33" s="68" t="s">
        <v>51</v>
      </c>
      <c r="C33" s="69" t="s">
        <v>74</v>
      </c>
      <c r="D33" s="70" t="str">
        <f aca="false" t="array" ref="D33:D33">INDEX(Table_Name[Name List],MATCH(B33,Table_Name[Category],0))</f>
        <v>Vertical_Back[Exercise]</v>
      </c>
      <c r="E33" s="71" t="str">
        <f aca="false" t="array" ref="E33:E33">INDEX(Links[Link],MATCH(C33,Links[Exercise],0))</f>
        <v>https://youtu.be/bxfHw1LvH24</v>
      </c>
      <c r="F33" s="72" t="str">
        <f aca="false">HYPERLINK(E33,"Video")</f>
        <v>Video</v>
      </c>
      <c r="G33" s="73"/>
      <c r="H33" s="61" t="str">
        <f aca="false">C33</f>
        <v>Underhand Pulldown</v>
      </c>
      <c r="I33" s="62" t="n">
        <v>2</v>
      </c>
      <c r="J33" s="62" t="n">
        <f aca="false">MROUND(((G33)*0.85),5)</f>
        <v>0</v>
      </c>
      <c r="K33" s="62" t="s">
        <v>41</v>
      </c>
      <c r="L33" s="62"/>
      <c r="M33" s="64"/>
      <c r="N33" s="61" t="str">
        <f aca="false">C33</f>
        <v>Underhand Pulldown</v>
      </c>
      <c r="O33" s="62" t="n">
        <f aca="false">I33+(S17)</f>
        <v>2</v>
      </c>
      <c r="P33" s="62" t="n">
        <f aca="false">MROUND((J33*1.02),5)</f>
        <v>0</v>
      </c>
      <c r="Q33" s="62" t="s">
        <v>41</v>
      </c>
      <c r="R33" s="62"/>
      <c r="S33" s="64"/>
      <c r="T33" s="65" t="str">
        <f aca="false">C33</f>
        <v>Underhand Pulldown</v>
      </c>
      <c r="U33" s="62" t="n">
        <f aca="false">O33+(Y17)</f>
        <v>2</v>
      </c>
      <c r="V33" s="62" t="n">
        <f aca="false">MROUND((J33*1.04),5)</f>
        <v>0</v>
      </c>
      <c r="W33" s="62" t="s">
        <v>42</v>
      </c>
      <c r="X33" s="62"/>
      <c r="Y33" s="64"/>
      <c r="Z33" s="66" t="str">
        <f aca="false">C33</f>
        <v>Underhand Pulldown</v>
      </c>
      <c r="AA33" s="62" t="n">
        <f aca="false">U33+(AE17)</f>
        <v>2</v>
      </c>
      <c r="AB33" s="62" t="n">
        <f aca="false">MROUND((P33*1.04),5)</f>
        <v>0</v>
      </c>
      <c r="AC33" s="62" t="s">
        <v>42</v>
      </c>
      <c r="AD33" s="62"/>
      <c r="AE33" s="64"/>
      <c r="AF33" s="66" t="str">
        <f aca="false">C33</f>
        <v>Underhand Pulldown</v>
      </c>
      <c r="AG33" s="62" t="n">
        <f aca="false">AA33+(AK17)</f>
        <v>2</v>
      </c>
      <c r="AH33" s="62" t="n">
        <f aca="false">MROUND((V33*1.04),5)</f>
        <v>0</v>
      </c>
      <c r="AI33" s="62" t="s">
        <v>42</v>
      </c>
      <c r="AJ33" s="62"/>
      <c r="AK33" s="64"/>
      <c r="AL33" s="63" t="str">
        <f aca="false">C33</f>
        <v>Underhand Pulldown</v>
      </c>
      <c r="AM33" s="62" t="n">
        <f aca="false">AG33+(AQ17)</f>
        <v>2</v>
      </c>
      <c r="AN33" s="62" t="n">
        <f aca="false">MROUND((J33*1.1),5)</f>
        <v>0</v>
      </c>
      <c r="AO33" s="62" t="s">
        <v>43</v>
      </c>
      <c r="AP33" s="62"/>
      <c r="AQ33" s="62"/>
      <c r="AR33" s="63" t="str">
        <f aca="false">C33</f>
        <v>Underhand Pulldown</v>
      </c>
      <c r="AS33" s="62" t="n">
        <v>2</v>
      </c>
      <c r="AT33" s="67" t="n">
        <f aca="false">MROUND((J33*0.5),5)</f>
        <v>0</v>
      </c>
      <c r="AU33" s="42" t="s">
        <v>44</v>
      </c>
    </row>
    <row r="34" customFormat="false" ht="15" hidden="false" customHeight="false" outlineLevel="0" collapsed="false">
      <c r="B34" s="68" t="s">
        <v>49</v>
      </c>
      <c r="C34" s="69" t="s">
        <v>50</v>
      </c>
      <c r="D34" s="70" t="str">
        <f aca="false" t="array" ref="D34:D34">INDEX(Table_Name[Name List],MATCH(B34,Table_Name[Category],0))</f>
        <v>Horizontal_Back[Exercise]</v>
      </c>
      <c r="E34" s="71" t="str">
        <f aca="false" t="array" ref="E34:E34">INDEX(Links[Link],MATCH(C34,Links[Exercise],0))</f>
        <v>https://youtu.be/o2qSVwxiFk4</v>
      </c>
      <c r="F34" s="72" t="str">
        <f aca="false">HYPERLINK(E34,"Video")</f>
        <v>Video</v>
      </c>
      <c r="G34" s="73"/>
      <c r="H34" s="61" t="str">
        <f aca="false">C34</f>
        <v>Barbell Bent Over Row</v>
      </c>
      <c r="I34" s="62" t="n">
        <v>2</v>
      </c>
      <c r="J34" s="62" t="n">
        <f aca="false">MROUND(((G34)*0.85),5)</f>
        <v>0</v>
      </c>
      <c r="K34" s="62" t="s">
        <v>41</v>
      </c>
      <c r="L34" s="62"/>
      <c r="M34" s="64"/>
      <c r="N34" s="61" t="str">
        <f aca="false">C34</f>
        <v>Barbell Bent Over Row</v>
      </c>
      <c r="O34" s="62" t="n">
        <f aca="false">I34+(S16)</f>
        <v>2</v>
      </c>
      <c r="P34" s="62" t="n">
        <f aca="false">MROUND((J34*1.02),5)</f>
        <v>0</v>
      </c>
      <c r="Q34" s="62" t="s">
        <v>41</v>
      </c>
      <c r="R34" s="62"/>
      <c r="S34" s="64"/>
      <c r="T34" s="65" t="str">
        <f aca="false">C34</f>
        <v>Barbell Bent Over Row</v>
      </c>
      <c r="U34" s="62" t="n">
        <f aca="false">O34+(Y16)</f>
        <v>2</v>
      </c>
      <c r="V34" s="62" t="n">
        <f aca="false">MROUND((J34*1.04),5)</f>
        <v>0</v>
      </c>
      <c r="W34" s="62" t="s">
        <v>42</v>
      </c>
      <c r="X34" s="62"/>
      <c r="Y34" s="64"/>
      <c r="Z34" s="66" t="str">
        <f aca="false">C34</f>
        <v>Barbell Bent Over Row</v>
      </c>
      <c r="AA34" s="62" t="n">
        <f aca="false">U34+(AE16)</f>
        <v>2</v>
      </c>
      <c r="AB34" s="62" t="n">
        <f aca="false">MROUND((P34*1.04),5)</f>
        <v>0</v>
      </c>
      <c r="AC34" s="62" t="s">
        <v>42</v>
      </c>
      <c r="AD34" s="62"/>
      <c r="AE34" s="64"/>
      <c r="AF34" s="66" t="str">
        <f aca="false">C34</f>
        <v>Barbell Bent Over Row</v>
      </c>
      <c r="AG34" s="62" t="n">
        <f aca="false">AA34+(AK16)</f>
        <v>2</v>
      </c>
      <c r="AH34" s="62" t="n">
        <f aca="false">MROUND((V34*1.04),5)</f>
        <v>0</v>
      </c>
      <c r="AI34" s="62" t="s">
        <v>42</v>
      </c>
      <c r="AJ34" s="62"/>
      <c r="AK34" s="64"/>
      <c r="AL34" s="63" t="str">
        <f aca="false">C34</f>
        <v>Barbell Bent Over Row</v>
      </c>
      <c r="AM34" s="62" t="n">
        <f aca="false">AG34+(AQ16)</f>
        <v>2</v>
      </c>
      <c r="AN34" s="62" t="n">
        <f aca="false">MROUND((J34*1.1),5)</f>
        <v>0</v>
      </c>
      <c r="AO34" s="62" t="s">
        <v>43</v>
      </c>
      <c r="AP34" s="62"/>
      <c r="AQ34" s="62"/>
      <c r="AR34" s="63" t="str">
        <f aca="false">C34</f>
        <v>Barbell Bent Over Row</v>
      </c>
      <c r="AS34" s="62" t="n">
        <v>2</v>
      </c>
      <c r="AT34" s="67" t="n">
        <f aca="false">MROUND((J34*0.5),5)</f>
        <v>0</v>
      </c>
      <c r="AU34" s="42" t="s">
        <v>44</v>
      </c>
    </row>
    <row r="35" customFormat="false" ht="15" hidden="false" customHeight="false" outlineLevel="0" collapsed="false">
      <c r="B35" s="68" t="s">
        <v>75</v>
      </c>
      <c r="C35" s="69" t="s">
        <v>76</v>
      </c>
      <c r="D35" s="70" t="str">
        <f aca="false" t="array" ref="D35:D35">INDEX(Table_Name[Name List],MATCH(B35,Table_Name[Category],0))</f>
        <v>Rear_or_Side_Delts[Exercise]</v>
      </c>
      <c r="E35" s="71" t="str">
        <f aca="false" t="array" ref="E35:E35">INDEX(Links[Link],MATCH(C35,Links[Exercise],0))</f>
        <v>https://youtu.be/Ana4dJbCvxE</v>
      </c>
      <c r="F35" s="72" t="str">
        <f aca="false">HYPERLINK(E35,"Video")</f>
        <v>Video</v>
      </c>
      <c r="G35" s="73"/>
      <c r="H35" s="61" t="str">
        <f aca="false">C35</f>
        <v>Cable Facepull</v>
      </c>
      <c r="I35" s="62" t="n">
        <v>3</v>
      </c>
      <c r="J35" s="62" t="n">
        <f aca="false">MROUND(((G35)*0.85),5)</f>
        <v>0</v>
      </c>
      <c r="K35" s="62" t="s">
        <v>41</v>
      </c>
      <c r="L35" s="62"/>
      <c r="M35" s="64"/>
      <c r="N35" s="61" t="str">
        <f aca="false">C35</f>
        <v>Cable Facepull</v>
      </c>
      <c r="O35" s="62" t="n">
        <f aca="false">I35+(S18)</f>
        <v>3</v>
      </c>
      <c r="P35" s="62" t="n">
        <f aca="false">MROUND((J35*1.02),5)</f>
        <v>0</v>
      </c>
      <c r="Q35" s="62" t="s">
        <v>41</v>
      </c>
      <c r="R35" s="62"/>
      <c r="S35" s="64"/>
      <c r="T35" s="65" t="str">
        <f aca="false">C35</f>
        <v>Cable Facepull</v>
      </c>
      <c r="U35" s="62" t="n">
        <f aca="false">O35+(Y18)</f>
        <v>3</v>
      </c>
      <c r="V35" s="62" t="n">
        <f aca="false">MROUND((J35*1.04),5)</f>
        <v>0</v>
      </c>
      <c r="W35" s="62" t="s">
        <v>42</v>
      </c>
      <c r="X35" s="62"/>
      <c r="Y35" s="64"/>
      <c r="Z35" s="66" t="str">
        <f aca="false">C35</f>
        <v>Cable Facepull</v>
      </c>
      <c r="AA35" s="62" t="n">
        <f aca="false">U35+(AE18)</f>
        <v>3</v>
      </c>
      <c r="AB35" s="62" t="n">
        <f aca="false">MROUND((P35*1.04),5)</f>
        <v>0</v>
      </c>
      <c r="AC35" s="62" t="s">
        <v>42</v>
      </c>
      <c r="AD35" s="62"/>
      <c r="AE35" s="64"/>
      <c r="AF35" s="66" t="str">
        <f aca="false">C35</f>
        <v>Cable Facepull</v>
      </c>
      <c r="AG35" s="62" t="n">
        <f aca="false">AA35+(AK18)</f>
        <v>3</v>
      </c>
      <c r="AH35" s="62" t="n">
        <f aca="false">MROUND((V35*1.04),5)</f>
        <v>0</v>
      </c>
      <c r="AI35" s="62" t="s">
        <v>42</v>
      </c>
      <c r="AJ35" s="62"/>
      <c r="AK35" s="64"/>
      <c r="AL35" s="63" t="str">
        <f aca="false">C35</f>
        <v>Cable Facepull</v>
      </c>
      <c r="AM35" s="62" t="n">
        <f aca="false">AG35+(AQ18)</f>
        <v>3</v>
      </c>
      <c r="AN35" s="62" t="n">
        <f aca="false">MROUND((J35*1.1),5)</f>
        <v>0</v>
      </c>
      <c r="AO35" s="62" t="s">
        <v>43</v>
      </c>
      <c r="AP35" s="62"/>
      <c r="AQ35" s="62"/>
      <c r="AR35" s="63" t="str">
        <f aca="false">C35</f>
        <v>Cable Facepull</v>
      </c>
      <c r="AS35" s="62" t="n">
        <v>2</v>
      </c>
      <c r="AT35" s="67" t="n">
        <f aca="false">MROUND((J35*0.5),5)</f>
        <v>0</v>
      </c>
      <c r="AU35" s="42" t="s">
        <v>44</v>
      </c>
    </row>
    <row r="36" customFormat="false" ht="15" hidden="false" customHeight="false" outlineLevel="0" collapsed="false">
      <c r="B36" s="68" t="s">
        <v>47</v>
      </c>
      <c r="C36" s="69" t="s">
        <v>48</v>
      </c>
      <c r="D36" s="70" t="str">
        <f aca="false" t="array" ref="D36:D36">INDEX(Table_Name[Name List],MATCH(B36,Table_Name[Category],0))</f>
        <v>Horizontal_Push[Exercise]</v>
      </c>
      <c r="E36" s="71" t="str">
        <f aca="false" t="array" ref="E36:E36">INDEX(Links[Link],MATCH(C36,Links[Exercise],0))</f>
        <v>https://youtu.be/Dl-by6_vATQ</v>
      </c>
      <c r="F36" s="72" t="str">
        <f aca="false">HYPERLINK(E36,"Video")</f>
        <v>Video</v>
      </c>
      <c r="G36" s="73"/>
      <c r="H36" s="61" t="str">
        <f aca="false">C36</f>
        <v>Medium Grip Bench Press</v>
      </c>
      <c r="I36" s="62" t="n">
        <v>2</v>
      </c>
      <c r="J36" s="62" t="n">
        <f aca="false">MROUND(((G36)*0.85),5)</f>
        <v>0</v>
      </c>
      <c r="K36" s="62" t="s">
        <v>41</v>
      </c>
      <c r="L36" s="62"/>
      <c r="M36" s="64"/>
      <c r="N36" s="61" t="str">
        <f aca="false">C36</f>
        <v>Medium Grip Bench Press</v>
      </c>
      <c r="O36" s="62" t="n">
        <f aca="false">I36+(S15)</f>
        <v>2</v>
      </c>
      <c r="P36" s="62" t="n">
        <f aca="false">MROUND((J36*1.02),5)</f>
        <v>0</v>
      </c>
      <c r="Q36" s="62" t="s">
        <v>41</v>
      </c>
      <c r="R36" s="62"/>
      <c r="S36" s="64"/>
      <c r="T36" s="65" t="str">
        <f aca="false">C36</f>
        <v>Medium Grip Bench Press</v>
      </c>
      <c r="U36" s="62" t="n">
        <f aca="false">O36+(Y15)</f>
        <v>2</v>
      </c>
      <c r="V36" s="62" t="n">
        <f aca="false">MROUND((J36*1.04),5)</f>
        <v>0</v>
      </c>
      <c r="W36" s="62" t="s">
        <v>42</v>
      </c>
      <c r="X36" s="62"/>
      <c r="Y36" s="64"/>
      <c r="Z36" s="66" t="str">
        <f aca="false">C36</f>
        <v>Medium Grip Bench Press</v>
      </c>
      <c r="AA36" s="62" t="n">
        <f aca="false">U36+(AE15)</f>
        <v>2</v>
      </c>
      <c r="AB36" s="62" t="n">
        <f aca="false">MROUND((P36*1.04),5)</f>
        <v>0</v>
      </c>
      <c r="AC36" s="62" t="s">
        <v>42</v>
      </c>
      <c r="AD36" s="62"/>
      <c r="AE36" s="64"/>
      <c r="AF36" s="66" t="str">
        <f aca="false">C36</f>
        <v>Medium Grip Bench Press</v>
      </c>
      <c r="AG36" s="62" t="n">
        <f aca="false">AA36+(AK15)</f>
        <v>2</v>
      </c>
      <c r="AH36" s="62" t="n">
        <f aca="false">MROUND((V36*1.04),5)</f>
        <v>0</v>
      </c>
      <c r="AI36" s="62" t="s">
        <v>42</v>
      </c>
      <c r="AJ36" s="62"/>
      <c r="AK36" s="64"/>
      <c r="AL36" s="63" t="str">
        <f aca="false">C36</f>
        <v>Medium Grip Bench Press</v>
      </c>
      <c r="AM36" s="62" t="n">
        <f aca="false">AG36+(AQ15)</f>
        <v>2</v>
      </c>
      <c r="AN36" s="62" t="n">
        <f aca="false">MROUND((J36*1.1),5)</f>
        <v>0</v>
      </c>
      <c r="AO36" s="62" t="s">
        <v>43</v>
      </c>
      <c r="AP36" s="62"/>
      <c r="AQ36" s="62"/>
      <c r="AR36" s="63" t="str">
        <f aca="false">C36</f>
        <v>Medium Grip Bench Press</v>
      </c>
      <c r="AS36" s="62" t="n">
        <v>2</v>
      </c>
      <c r="AT36" s="67" t="n">
        <f aca="false">MROUND((J36*0.5),5)</f>
        <v>0</v>
      </c>
      <c r="AU36" s="42" t="s">
        <v>44</v>
      </c>
    </row>
    <row r="37" customFormat="false" ht="15" hidden="false" customHeight="false" outlineLevel="0" collapsed="false">
      <c r="B37" s="68" t="s">
        <v>39</v>
      </c>
      <c r="C37" s="69" t="s">
        <v>40</v>
      </c>
      <c r="D37" s="70" t="str">
        <f aca="false" t="array" ref="D37:D37">INDEX(Table_Name[Name List],MATCH(B37,Table_Name[Category],0))</f>
        <v>Incline_Push[Exercise]</v>
      </c>
      <c r="E37" s="71" t="str">
        <f aca="false" t="array" ref="E37:E37">INDEX(Links[Link],MATCH(C37,Links[Exercise],0))</f>
        <v>https://youtu.be/2JIPv1E5a0I</v>
      </c>
      <c r="F37" s="72" t="str">
        <f aca="false">HYPERLINK(E37,"Video")</f>
        <v>Video</v>
      </c>
      <c r="G37" s="73"/>
      <c r="H37" s="61" t="str">
        <f aca="false">C37</f>
        <v>Incline Close Grip Bench Press</v>
      </c>
      <c r="I37" s="62" t="n">
        <v>2</v>
      </c>
      <c r="J37" s="62" t="n">
        <f aca="false">MROUND(((G37)*0.85),5)</f>
        <v>0</v>
      </c>
      <c r="K37" s="62" t="s">
        <v>41</v>
      </c>
      <c r="L37" s="62"/>
      <c r="M37" s="64"/>
      <c r="N37" s="61" t="str">
        <f aca="false">C37</f>
        <v>Incline Close Grip Bench Press</v>
      </c>
      <c r="O37" s="62" t="n">
        <f aca="false">I37+(S13)</f>
        <v>2</v>
      </c>
      <c r="P37" s="62" t="n">
        <f aca="false">MROUND((J37*1.02),5)</f>
        <v>0</v>
      </c>
      <c r="Q37" s="62" t="s">
        <v>41</v>
      </c>
      <c r="R37" s="62"/>
      <c r="S37" s="64"/>
      <c r="T37" s="65" t="str">
        <f aca="false">C37</f>
        <v>Incline Close Grip Bench Press</v>
      </c>
      <c r="U37" s="62" t="n">
        <f aca="false">O37+(Y13)</f>
        <v>2</v>
      </c>
      <c r="V37" s="62" t="n">
        <f aca="false">MROUND((J37*1.04),5)</f>
        <v>0</v>
      </c>
      <c r="W37" s="62" t="s">
        <v>42</v>
      </c>
      <c r="X37" s="62"/>
      <c r="Y37" s="64"/>
      <c r="Z37" s="66" t="str">
        <f aca="false">C37</f>
        <v>Incline Close Grip Bench Press</v>
      </c>
      <c r="AA37" s="62" t="n">
        <f aca="false">U37+(AE13)</f>
        <v>2</v>
      </c>
      <c r="AB37" s="62" t="n">
        <f aca="false">MROUND((P37*1.04),5)</f>
        <v>0</v>
      </c>
      <c r="AC37" s="62" t="s">
        <v>42</v>
      </c>
      <c r="AD37" s="62"/>
      <c r="AE37" s="64"/>
      <c r="AF37" s="66" t="str">
        <f aca="false">C37</f>
        <v>Incline Close Grip Bench Press</v>
      </c>
      <c r="AG37" s="62" t="n">
        <f aca="false">AA37+(AK13)</f>
        <v>2</v>
      </c>
      <c r="AH37" s="62" t="n">
        <f aca="false">MROUND((V37*1.04),5)</f>
        <v>0</v>
      </c>
      <c r="AI37" s="62" t="s">
        <v>42</v>
      </c>
      <c r="AJ37" s="62"/>
      <c r="AK37" s="64"/>
      <c r="AL37" s="63" t="str">
        <f aca="false">C37</f>
        <v>Incline Close Grip Bench Press</v>
      </c>
      <c r="AM37" s="62" t="n">
        <f aca="false">AG37+(AQ13)</f>
        <v>2</v>
      </c>
      <c r="AN37" s="62" t="n">
        <f aca="false">MROUND((J37*1.1),5)</f>
        <v>0</v>
      </c>
      <c r="AO37" s="62" t="s">
        <v>43</v>
      </c>
      <c r="AP37" s="62"/>
      <c r="AQ37" s="62"/>
      <c r="AR37" s="63" t="str">
        <f aca="false">C37</f>
        <v>Incline Close Grip Bench Press</v>
      </c>
      <c r="AS37" s="62" t="n">
        <v>2</v>
      </c>
      <c r="AT37" s="67" t="n">
        <f aca="false">MROUND((J37*0.5),5)</f>
        <v>0</v>
      </c>
      <c r="AU37" s="42" t="s">
        <v>44</v>
      </c>
    </row>
    <row r="38" customFormat="false" ht="15" hidden="false" customHeight="false" outlineLevel="0" collapsed="false">
      <c r="B38" s="74" t="s">
        <v>55</v>
      </c>
      <c r="C38" s="75" t="s">
        <v>56</v>
      </c>
      <c r="D38" s="76" t="str">
        <f aca="false" t="array" ref="D38:D38">INDEX(Table_Name[Name List],MATCH(B38,Table_Name[Category],0))</f>
        <v>Abs[Exercise]</v>
      </c>
      <c r="E38" s="77" t="str">
        <f aca="false" t="array" ref="E38:E38">INDEX(Links[Link],MATCH(C38,Links[Exercise],0))</f>
        <v>https://youtu.be/dmwMfjPQIP8</v>
      </c>
      <c r="F38" s="78" t="str">
        <f aca="false">HYPERLINK(E38,"Video")</f>
        <v>Video</v>
      </c>
      <c r="G38" s="79"/>
      <c r="H38" s="80" t="str">
        <f aca="false">C38</f>
        <v>Hanging Knee Raise</v>
      </c>
      <c r="I38" s="81" t="n">
        <v>2</v>
      </c>
      <c r="J38" s="81" t="n">
        <f aca="false">MROUND(((G38)*0.85),5)</f>
        <v>0</v>
      </c>
      <c r="K38" s="81" t="s">
        <v>41</v>
      </c>
      <c r="L38" s="81"/>
      <c r="M38" s="64"/>
      <c r="N38" s="83" t="str">
        <f aca="false">C38</f>
        <v>Hanging Knee Raise</v>
      </c>
      <c r="O38" s="81" t="n">
        <f aca="false">I38+(S19)</f>
        <v>2</v>
      </c>
      <c r="P38" s="62" t="n">
        <f aca="false">MROUND((J38*1.02),5)</f>
        <v>0</v>
      </c>
      <c r="Q38" s="81" t="s">
        <v>41</v>
      </c>
      <c r="R38" s="81"/>
      <c r="S38" s="64"/>
      <c r="T38" s="84" t="str">
        <f aca="false">C38</f>
        <v>Hanging Knee Raise</v>
      </c>
      <c r="U38" s="81" t="n">
        <f aca="false">O38+(Y19)</f>
        <v>2</v>
      </c>
      <c r="V38" s="62" t="n">
        <f aca="false">MROUND((J38*1.04),5)</f>
        <v>0</v>
      </c>
      <c r="W38" s="81" t="s">
        <v>42</v>
      </c>
      <c r="X38" s="81"/>
      <c r="Y38" s="64"/>
      <c r="Z38" s="66" t="str">
        <f aca="false">C38</f>
        <v>Hanging Knee Raise</v>
      </c>
      <c r="AA38" s="81" t="n">
        <f aca="false">U38+(AE19)</f>
        <v>2</v>
      </c>
      <c r="AB38" s="62" t="n">
        <f aca="false">MROUND((P38*1.04),5)</f>
        <v>0</v>
      </c>
      <c r="AC38" s="81" t="s">
        <v>42</v>
      </c>
      <c r="AD38" s="81"/>
      <c r="AE38" s="64"/>
      <c r="AF38" s="66" t="str">
        <f aca="false">C38</f>
        <v>Hanging Knee Raise</v>
      </c>
      <c r="AG38" s="81" t="n">
        <f aca="false">AA38+(AK19)</f>
        <v>2</v>
      </c>
      <c r="AH38" s="62" t="n">
        <f aca="false">MROUND((V38*1.04),5)</f>
        <v>0</v>
      </c>
      <c r="AI38" s="81" t="s">
        <v>42</v>
      </c>
      <c r="AJ38" s="81"/>
      <c r="AK38" s="64"/>
      <c r="AL38" s="83" t="str">
        <f aca="false">C38</f>
        <v>Hanging Knee Raise</v>
      </c>
      <c r="AM38" s="81" t="n">
        <f aca="false">AG38+(AQ19)</f>
        <v>2</v>
      </c>
      <c r="AN38" s="81" t="n">
        <f aca="false">MROUND((J38*1.1),5)</f>
        <v>0</v>
      </c>
      <c r="AO38" s="81" t="s">
        <v>43</v>
      </c>
      <c r="AP38" s="81"/>
      <c r="AQ38" s="81"/>
      <c r="AR38" s="83" t="str">
        <f aca="false">C38</f>
        <v>Hanging Knee Raise</v>
      </c>
      <c r="AS38" s="81" t="n">
        <v>2</v>
      </c>
      <c r="AT38" s="85" t="n">
        <f aca="false">MROUND((J38*0.5),5)</f>
        <v>0</v>
      </c>
      <c r="AU38" s="82" t="s">
        <v>44</v>
      </c>
    </row>
    <row r="39" customFormat="false" ht="18.6" hidden="false" customHeight="false" outlineLevel="0" collapsed="false">
      <c r="B39" s="86" t="s">
        <v>77</v>
      </c>
      <c r="C39" s="41"/>
      <c r="D39" s="41"/>
      <c r="E39" s="41"/>
      <c r="F39" s="41"/>
      <c r="G39" s="42"/>
      <c r="H39" s="36" t="s">
        <v>20</v>
      </c>
      <c r="I39" s="36"/>
      <c r="J39" s="36"/>
      <c r="K39" s="36"/>
      <c r="L39" s="36"/>
      <c r="M39" s="36"/>
      <c r="N39" s="37" t="s">
        <v>21</v>
      </c>
      <c r="O39" s="37"/>
      <c r="P39" s="37"/>
      <c r="Q39" s="37"/>
      <c r="R39" s="37"/>
      <c r="S39" s="37"/>
      <c r="T39" s="38" t="s">
        <v>22</v>
      </c>
      <c r="U39" s="38"/>
      <c r="V39" s="38"/>
      <c r="W39" s="38"/>
      <c r="X39" s="38"/>
      <c r="Y39" s="38"/>
      <c r="Z39" s="38" t="s">
        <v>23</v>
      </c>
      <c r="AA39" s="38"/>
      <c r="AB39" s="38"/>
      <c r="AC39" s="38"/>
      <c r="AD39" s="38"/>
      <c r="AE39" s="38"/>
      <c r="AF39" s="38" t="s">
        <v>24</v>
      </c>
      <c r="AG39" s="38"/>
      <c r="AH39" s="38"/>
      <c r="AI39" s="38"/>
      <c r="AJ39" s="38"/>
      <c r="AK39" s="38"/>
      <c r="AL39" s="39" t="s">
        <v>25</v>
      </c>
      <c r="AM39" s="39"/>
      <c r="AN39" s="39"/>
      <c r="AO39" s="39"/>
      <c r="AP39" s="39"/>
      <c r="AQ39" s="39"/>
      <c r="AR39" s="40" t="s">
        <v>26</v>
      </c>
      <c r="AS39" s="40"/>
      <c r="AT39" s="40"/>
      <c r="AU39" s="40"/>
    </row>
    <row r="40" customFormat="false" ht="15" hidden="false" customHeight="false" outlineLevel="0" collapsed="false">
      <c r="B40" s="41"/>
      <c r="C40" s="41"/>
      <c r="D40" s="41"/>
      <c r="E40" s="41"/>
      <c r="F40" s="41"/>
      <c r="G40" s="41"/>
      <c r="H40" s="43" t="s">
        <v>29</v>
      </c>
      <c r="I40" s="44" t="s">
        <v>30</v>
      </c>
      <c r="J40" s="45" t="s">
        <v>31</v>
      </c>
      <c r="K40" s="46" t="s">
        <v>32</v>
      </c>
      <c r="L40" s="46" t="s">
        <v>33</v>
      </c>
      <c r="M40" s="47" t="s">
        <v>34</v>
      </c>
      <c r="N40" s="48" t="s">
        <v>29</v>
      </c>
      <c r="O40" s="48" t="s">
        <v>30</v>
      </c>
      <c r="P40" s="45" t="s">
        <v>31</v>
      </c>
      <c r="Q40" s="46" t="s">
        <v>32</v>
      </c>
      <c r="R40" s="46" t="s">
        <v>33</v>
      </c>
      <c r="S40" s="47" t="s">
        <v>34</v>
      </c>
      <c r="T40" s="48" t="s">
        <v>29</v>
      </c>
      <c r="U40" s="48" t="s">
        <v>30</v>
      </c>
      <c r="V40" s="45" t="s">
        <v>31</v>
      </c>
      <c r="W40" s="46" t="s">
        <v>32</v>
      </c>
      <c r="X40" s="46" t="s">
        <v>33</v>
      </c>
      <c r="Y40" s="47" t="s">
        <v>34</v>
      </c>
      <c r="Z40" s="48" t="s">
        <v>29</v>
      </c>
      <c r="AA40" s="48" t="s">
        <v>30</v>
      </c>
      <c r="AB40" s="45" t="s">
        <v>31</v>
      </c>
      <c r="AC40" s="46" t="s">
        <v>32</v>
      </c>
      <c r="AD40" s="46" t="s">
        <v>33</v>
      </c>
      <c r="AE40" s="47" t="s">
        <v>34</v>
      </c>
      <c r="AF40" s="48" t="s">
        <v>29</v>
      </c>
      <c r="AG40" s="48" t="s">
        <v>30</v>
      </c>
      <c r="AH40" s="45" t="s">
        <v>31</v>
      </c>
      <c r="AI40" s="46" t="s">
        <v>32</v>
      </c>
      <c r="AJ40" s="46" t="s">
        <v>33</v>
      </c>
      <c r="AK40" s="47" t="s">
        <v>34</v>
      </c>
      <c r="AL40" s="48" t="s">
        <v>29</v>
      </c>
      <c r="AM40" s="48" t="s">
        <v>30</v>
      </c>
      <c r="AN40" s="45" t="s">
        <v>31</v>
      </c>
      <c r="AO40" s="87" t="s">
        <v>58</v>
      </c>
      <c r="AP40" s="46" t="s">
        <v>33</v>
      </c>
      <c r="AQ40" s="47" t="s">
        <v>34</v>
      </c>
      <c r="AR40" s="48" t="s">
        <v>29</v>
      </c>
      <c r="AS40" s="48" t="s">
        <v>30</v>
      </c>
      <c r="AT40" s="45" t="s">
        <v>31</v>
      </c>
      <c r="AU40" s="49" t="s">
        <v>32</v>
      </c>
    </row>
    <row r="41" customFormat="false" ht="15" hidden="false" customHeight="false" outlineLevel="0" collapsed="false">
      <c r="B41" s="50" t="s">
        <v>59</v>
      </c>
      <c r="C41" s="51" t="s">
        <v>78</v>
      </c>
      <c r="D41" s="52"/>
      <c r="E41" s="88"/>
      <c r="F41" s="51" t="s">
        <v>37</v>
      </c>
      <c r="G41" s="51" t="s">
        <v>38</v>
      </c>
      <c r="H41" s="46" t="s">
        <v>78</v>
      </c>
      <c r="I41" s="53"/>
      <c r="J41" s="53"/>
      <c r="K41" s="53"/>
      <c r="L41" s="53"/>
      <c r="M41" s="54"/>
      <c r="N41" s="43" t="s">
        <v>78</v>
      </c>
      <c r="O41" s="53"/>
      <c r="P41" s="53"/>
      <c r="Q41" s="53"/>
      <c r="R41" s="53"/>
      <c r="S41" s="54"/>
      <c r="T41" s="43" t="s">
        <v>78</v>
      </c>
      <c r="U41" s="53"/>
      <c r="V41" s="53"/>
      <c r="W41" s="53"/>
      <c r="X41" s="53"/>
      <c r="Y41" s="53"/>
      <c r="Z41" s="43" t="s">
        <v>78</v>
      </c>
      <c r="AA41" s="53"/>
      <c r="AB41" s="53"/>
      <c r="AC41" s="53"/>
      <c r="AD41" s="53"/>
      <c r="AE41" s="53"/>
      <c r="AF41" s="43" t="s">
        <v>78</v>
      </c>
      <c r="AG41" s="53"/>
      <c r="AH41" s="53"/>
      <c r="AI41" s="53"/>
      <c r="AJ41" s="53"/>
      <c r="AK41" s="53"/>
      <c r="AL41" s="43" t="s">
        <v>78</v>
      </c>
      <c r="AM41" s="53"/>
      <c r="AN41" s="53"/>
      <c r="AO41" s="53"/>
      <c r="AP41" s="53"/>
      <c r="AQ41" s="53"/>
      <c r="AR41" s="43" t="s">
        <v>78</v>
      </c>
      <c r="AS41" s="53"/>
      <c r="AT41" s="53"/>
      <c r="AU41" s="54"/>
    </row>
    <row r="42" customFormat="false" ht="15" hidden="false" customHeight="false" outlineLevel="0" collapsed="false">
      <c r="B42" s="55" t="s">
        <v>79</v>
      </c>
      <c r="C42" s="56" t="s">
        <v>80</v>
      </c>
      <c r="D42" s="57" t="str">
        <f aca="false" t="array" ref="D42:D42">INDEX(Table_Name[Name List],MATCH(B42,Table_Name[Category],0))</f>
        <v>Glutes[Exercise]</v>
      </c>
      <c r="E42" s="58" t="str">
        <f aca="false" t="array" ref="E42:E42">INDEX(Links[Link],MATCH(C42,Links[Exercise],0))</f>
        <v>https://youtu.be/euEPxA3gsDo</v>
      </c>
      <c r="F42" s="59" t="str">
        <f aca="false">HYPERLINK(E42,"Video")</f>
        <v>Video</v>
      </c>
      <c r="G42" s="60"/>
      <c r="H42" s="61" t="str">
        <f aca="false">C42</f>
        <v>Deadlift</v>
      </c>
      <c r="I42" s="62" t="n">
        <v>3</v>
      </c>
      <c r="J42" s="62" t="n">
        <f aca="false">MROUND(((G42)*0.85),5)</f>
        <v>0</v>
      </c>
      <c r="K42" s="62" t="s">
        <v>41</v>
      </c>
      <c r="L42" s="62"/>
      <c r="M42" s="64"/>
      <c r="N42" s="61" t="str">
        <f aca="false">C42</f>
        <v>Deadlift</v>
      </c>
      <c r="O42" s="62" t="n">
        <f aca="false">I42+(S23)</f>
        <v>3</v>
      </c>
      <c r="P42" s="62" t="n">
        <f aca="false">MROUND((J42*1.02),5)</f>
        <v>0</v>
      </c>
      <c r="Q42" s="62" t="s">
        <v>41</v>
      </c>
      <c r="R42" s="62"/>
      <c r="S42" s="64"/>
      <c r="T42" s="65" t="str">
        <f aca="false">C42</f>
        <v>Deadlift</v>
      </c>
      <c r="U42" s="62" t="n">
        <f aca="false">O42+(Y23)</f>
        <v>3</v>
      </c>
      <c r="V42" s="62" t="n">
        <f aca="false">MROUND((J42*1.04),5)</f>
        <v>0</v>
      </c>
      <c r="W42" s="62" t="s">
        <v>42</v>
      </c>
      <c r="X42" s="62"/>
      <c r="Y42" s="64"/>
      <c r="Z42" s="66" t="str">
        <f aca="false">C42</f>
        <v>Deadlift</v>
      </c>
      <c r="AA42" s="62" t="n">
        <f aca="false">U42+(AE23)</f>
        <v>3</v>
      </c>
      <c r="AB42" s="62" t="n">
        <f aca="false">MROUND((P42*1.04),5)</f>
        <v>0</v>
      </c>
      <c r="AC42" s="62" t="s">
        <v>42</v>
      </c>
      <c r="AD42" s="62"/>
      <c r="AE42" s="64"/>
      <c r="AF42" s="66" t="str">
        <f aca="false">C42</f>
        <v>Deadlift</v>
      </c>
      <c r="AG42" s="62" t="n">
        <f aca="false">AA42+(AK23)</f>
        <v>3</v>
      </c>
      <c r="AH42" s="62" t="n">
        <f aca="false">MROUND((V42*1.04),5)</f>
        <v>0</v>
      </c>
      <c r="AI42" s="62" t="s">
        <v>42</v>
      </c>
      <c r="AJ42" s="62"/>
      <c r="AK42" s="64"/>
      <c r="AL42" s="63" t="str">
        <f aca="false">C42</f>
        <v>Deadlift</v>
      </c>
      <c r="AM42" s="62" t="n">
        <f aca="false">AG42+(AQ23)</f>
        <v>3</v>
      </c>
      <c r="AN42" s="62" t="n">
        <f aca="false">MROUND((J42*1.1),5)</f>
        <v>0</v>
      </c>
      <c r="AO42" s="62" t="s">
        <v>43</v>
      </c>
      <c r="AP42" s="62"/>
      <c r="AQ42" s="62"/>
      <c r="AR42" s="63" t="str">
        <f aca="false">C42</f>
        <v>Deadlift</v>
      </c>
      <c r="AS42" s="62" t="n">
        <v>2</v>
      </c>
      <c r="AT42" s="67" t="n">
        <f aca="false">MROUND((J42*0.5),5)</f>
        <v>0</v>
      </c>
      <c r="AU42" s="42" t="s">
        <v>44</v>
      </c>
    </row>
    <row r="43" customFormat="false" ht="15" hidden="false" customHeight="false" outlineLevel="0" collapsed="false">
      <c r="B43" s="68" t="s">
        <v>81</v>
      </c>
      <c r="C43" s="69" t="s">
        <v>82</v>
      </c>
      <c r="D43" s="70" t="str">
        <f aca="false" t="array" ref="D43:D43">INDEX(Table_Name[Name List],MATCH(B43,Table_Name[Category],0))</f>
        <v>Hamstrings_Hip_Hinge[Exercise]</v>
      </c>
      <c r="E43" s="71" t="str">
        <f aca="false" t="array" ref="E43:E43">INDEX(Links[Link],MATCH(C43,Links[Exercise],0))</f>
        <v>https://youtu.be/OMUGU1Vh8Ao</v>
      </c>
      <c r="F43" s="72" t="str">
        <f aca="false">HYPERLINK(E43,"Video")</f>
        <v>Video</v>
      </c>
      <c r="G43" s="73"/>
      <c r="H43" s="61" t="str">
        <f aca="false">C43</f>
        <v>45 Degree Back Raise</v>
      </c>
      <c r="I43" s="62" t="n">
        <v>3</v>
      </c>
      <c r="J43" s="62" t="n">
        <f aca="false">MROUND(((G43)*0.85),5)</f>
        <v>0</v>
      </c>
      <c r="K43" s="62" t="s">
        <v>41</v>
      </c>
      <c r="L43" s="62"/>
      <c r="M43" s="64"/>
      <c r="N43" s="61" t="str">
        <f aca="false">C43</f>
        <v>45 Degree Back Raise</v>
      </c>
      <c r="O43" s="62" t="n">
        <f aca="false">I43+(S25)</f>
        <v>3</v>
      </c>
      <c r="P43" s="62" t="n">
        <f aca="false">MROUND((J43*1.02),5)</f>
        <v>0</v>
      </c>
      <c r="Q43" s="62" t="s">
        <v>41</v>
      </c>
      <c r="R43" s="62"/>
      <c r="S43" s="64"/>
      <c r="T43" s="65" t="str">
        <f aca="false">C43</f>
        <v>45 Degree Back Raise</v>
      </c>
      <c r="U43" s="62" t="n">
        <f aca="false">O43+(Y25)</f>
        <v>3</v>
      </c>
      <c r="V43" s="62" t="n">
        <f aca="false">MROUND((J43*1.04),5)</f>
        <v>0</v>
      </c>
      <c r="W43" s="62" t="s">
        <v>42</v>
      </c>
      <c r="X43" s="62"/>
      <c r="Y43" s="64"/>
      <c r="Z43" s="66" t="str">
        <f aca="false">C43</f>
        <v>45 Degree Back Raise</v>
      </c>
      <c r="AA43" s="62" t="n">
        <f aca="false">U43+(AE25)</f>
        <v>3</v>
      </c>
      <c r="AB43" s="62" t="n">
        <f aca="false">MROUND((P43*1.04),5)</f>
        <v>0</v>
      </c>
      <c r="AC43" s="62" t="s">
        <v>42</v>
      </c>
      <c r="AD43" s="62"/>
      <c r="AE43" s="64"/>
      <c r="AF43" s="66" t="str">
        <f aca="false">C43</f>
        <v>45 Degree Back Raise</v>
      </c>
      <c r="AG43" s="62" t="n">
        <f aca="false">AA43+(AK25)</f>
        <v>3</v>
      </c>
      <c r="AH43" s="62" t="n">
        <f aca="false">MROUND((V43*1.04),5)</f>
        <v>0</v>
      </c>
      <c r="AI43" s="62" t="s">
        <v>42</v>
      </c>
      <c r="AJ43" s="62"/>
      <c r="AK43" s="64"/>
      <c r="AL43" s="63" t="str">
        <f aca="false">C43</f>
        <v>45 Degree Back Raise</v>
      </c>
      <c r="AM43" s="62" t="n">
        <f aca="false">AG43+(AQ25)</f>
        <v>3</v>
      </c>
      <c r="AN43" s="62" t="n">
        <f aca="false">MROUND((J43*1.1),5)</f>
        <v>0</v>
      </c>
      <c r="AO43" s="62" t="s">
        <v>43</v>
      </c>
      <c r="AP43" s="62"/>
      <c r="AQ43" s="62"/>
      <c r="AR43" s="63" t="str">
        <f aca="false">C43</f>
        <v>45 Degree Back Raise</v>
      </c>
      <c r="AS43" s="62" t="n">
        <v>2</v>
      </c>
      <c r="AT43" s="67" t="n">
        <f aca="false">MROUND((J43*0.5),5)</f>
        <v>0</v>
      </c>
      <c r="AU43" s="42" t="s">
        <v>44</v>
      </c>
    </row>
    <row r="44" customFormat="false" ht="15" hidden="false" customHeight="false" outlineLevel="0" collapsed="false">
      <c r="B44" s="68" t="s">
        <v>61</v>
      </c>
      <c r="C44" s="69" t="s">
        <v>62</v>
      </c>
      <c r="D44" s="70" t="str">
        <f aca="false" t="array" ref="D44:D44">INDEX(Table_Name[Name List],MATCH(B44,Table_Name[Category],0))</f>
        <v>Quads[Exercise]</v>
      </c>
      <c r="E44" s="71" t="str">
        <f aca="false" t="array" ref="E44:E44">INDEX(Links[Link],MATCH(C44,Links[Exercise],0))</f>
        <v>https://youtu.be/2-o_-HTPhv8</v>
      </c>
      <c r="F44" s="72" t="str">
        <f aca="false">HYPERLINK(E44,"Video")</f>
        <v>Video</v>
      </c>
      <c r="G44" s="73"/>
      <c r="H44" s="61" t="str">
        <f aca="false">C44</f>
        <v>High Bar Squat</v>
      </c>
      <c r="I44" s="62" t="n">
        <v>2</v>
      </c>
      <c r="J44" s="62" t="n">
        <f aca="false">MROUND(((G44)*0.85),5)</f>
        <v>0</v>
      </c>
      <c r="K44" s="62" t="s">
        <v>41</v>
      </c>
      <c r="L44" s="62"/>
      <c r="M44" s="64"/>
      <c r="N44" s="61" t="str">
        <f aca="false">C44</f>
        <v>High Bar Squat</v>
      </c>
      <c r="O44" s="62" t="n">
        <f aca="false">I44+(S23)</f>
        <v>2</v>
      </c>
      <c r="P44" s="62" t="n">
        <f aca="false">MROUND((J44*1.02),5)</f>
        <v>0</v>
      </c>
      <c r="Q44" s="62" t="s">
        <v>41</v>
      </c>
      <c r="R44" s="62"/>
      <c r="S44" s="64"/>
      <c r="T44" s="65" t="str">
        <f aca="false">C44</f>
        <v>High Bar Squat</v>
      </c>
      <c r="U44" s="62" t="n">
        <f aca="false">O44+(Y23)</f>
        <v>2</v>
      </c>
      <c r="V44" s="62" t="n">
        <f aca="false">MROUND((J44*1.04),5)</f>
        <v>0</v>
      </c>
      <c r="W44" s="62" t="s">
        <v>42</v>
      </c>
      <c r="X44" s="62"/>
      <c r="Y44" s="64"/>
      <c r="Z44" s="66" t="str">
        <f aca="false">C44</f>
        <v>High Bar Squat</v>
      </c>
      <c r="AA44" s="62" t="n">
        <f aca="false">U44+(AE23)</f>
        <v>2</v>
      </c>
      <c r="AB44" s="62" t="n">
        <f aca="false">MROUND((P44*1.04),5)</f>
        <v>0</v>
      </c>
      <c r="AC44" s="62" t="s">
        <v>42</v>
      </c>
      <c r="AD44" s="62"/>
      <c r="AE44" s="64"/>
      <c r="AF44" s="66" t="str">
        <f aca="false">C44</f>
        <v>High Bar Squat</v>
      </c>
      <c r="AG44" s="62" t="n">
        <f aca="false">AA44+(AK23)</f>
        <v>2</v>
      </c>
      <c r="AH44" s="62" t="n">
        <f aca="false">MROUND((V44*1.04),5)</f>
        <v>0</v>
      </c>
      <c r="AI44" s="62" t="s">
        <v>42</v>
      </c>
      <c r="AJ44" s="62"/>
      <c r="AK44" s="64"/>
      <c r="AL44" s="63" t="str">
        <f aca="false">C44</f>
        <v>High Bar Squat</v>
      </c>
      <c r="AM44" s="62" t="n">
        <f aca="false">AG44+(AQ23)</f>
        <v>2</v>
      </c>
      <c r="AN44" s="62" t="n">
        <f aca="false">MROUND((J44*1.1),5)</f>
        <v>0</v>
      </c>
      <c r="AO44" s="62" t="s">
        <v>43</v>
      </c>
      <c r="AP44" s="62"/>
      <c r="AQ44" s="62"/>
      <c r="AR44" s="63" t="str">
        <f aca="false">C44</f>
        <v>High Bar Squat</v>
      </c>
      <c r="AS44" s="62" t="n">
        <v>2</v>
      </c>
      <c r="AT44" s="67" t="n">
        <f aca="false">MROUND((J44*0.5),5)</f>
        <v>0</v>
      </c>
      <c r="AU44" s="42" t="s">
        <v>44</v>
      </c>
    </row>
    <row r="45" customFormat="false" ht="15" hidden="false" customHeight="false" outlineLevel="0" collapsed="false">
      <c r="B45" s="68" t="s">
        <v>83</v>
      </c>
      <c r="C45" s="69" t="s">
        <v>84</v>
      </c>
      <c r="D45" s="70" t="str">
        <f aca="false" t="array" ref="D45:D45">INDEX(Table_Name[Name List],MATCH(B45,Table_Name[Category],0))</f>
        <v>Biceps[Exercise]</v>
      </c>
      <c r="E45" s="71" t="str">
        <f aca="false" t="array" ref="E45:E45">INDEX(Links[Link],MATCH(C45,Links[Exercise],0))</f>
        <v>https://youtu.be/xsOm9xn83-8</v>
      </c>
      <c r="F45" s="72" t="str">
        <f aca="false">HYPERLINK(E45,"Video")</f>
        <v>Video</v>
      </c>
      <c r="G45" s="73"/>
      <c r="H45" s="61" t="str">
        <f aca="false">C45</f>
        <v>Hammer Curl</v>
      </c>
      <c r="I45" s="62" t="n">
        <v>3</v>
      </c>
      <c r="J45" s="62" t="n">
        <f aca="false">MROUND(((G45)*0.85),5)</f>
        <v>0</v>
      </c>
      <c r="K45" s="62" t="s">
        <v>41</v>
      </c>
      <c r="L45" s="62"/>
      <c r="M45" s="64"/>
      <c r="N45" s="61" t="str">
        <f aca="false">C45</f>
        <v>Hammer Curl</v>
      </c>
      <c r="O45" s="62" t="n">
        <f aca="false">I45+(S17)</f>
        <v>3</v>
      </c>
      <c r="P45" s="62" t="n">
        <f aca="false">MROUND((J45*1.02),5)</f>
        <v>0</v>
      </c>
      <c r="Q45" s="62" t="s">
        <v>41</v>
      </c>
      <c r="R45" s="62"/>
      <c r="S45" s="64"/>
      <c r="T45" s="65" t="str">
        <f aca="false">C45</f>
        <v>Hammer Curl</v>
      </c>
      <c r="U45" s="62" t="n">
        <f aca="false">O45+(Y17)</f>
        <v>3</v>
      </c>
      <c r="V45" s="62" t="n">
        <f aca="false">MROUND((J45*1.04),5)</f>
        <v>0</v>
      </c>
      <c r="W45" s="62" t="s">
        <v>42</v>
      </c>
      <c r="X45" s="62"/>
      <c r="Y45" s="64"/>
      <c r="Z45" s="66" t="str">
        <f aca="false">C45</f>
        <v>Hammer Curl</v>
      </c>
      <c r="AA45" s="62" t="n">
        <f aca="false">U45+(AE17)</f>
        <v>3</v>
      </c>
      <c r="AB45" s="62" t="n">
        <f aca="false">MROUND((P45*1.04),5)</f>
        <v>0</v>
      </c>
      <c r="AC45" s="62" t="s">
        <v>42</v>
      </c>
      <c r="AD45" s="62"/>
      <c r="AE45" s="64"/>
      <c r="AF45" s="66" t="str">
        <f aca="false">C45</f>
        <v>Hammer Curl</v>
      </c>
      <c r="AG45" s="62" t="n">
        <f aca="false">AA45+(AK17)</f>
        <v>3</v>
      </c>
      <c r="AH45" s="62" t="n">
        <f aca="false">MROUND((V45*1.04),5)</f>
        <v>0</v>
      </c>
      <c r="AI45" s="62" t="s">
        <v>42</v>
      </c>
      <c r="AJ45" s="62"/>
      <c r="AK45" s="64"/>
      <c r="AL45" s="63" t="str">
        <f aca="false">C45</f>
        <v>Hammer Curl</v>
      </c>
      <c r="AM45" s="62" t="n">
        <f aca="false">AG45+(AQ17)</f>
        <v>3</v>
      </c>
      <c r="AN45" s="62" t="n">
        <f aca="false">MROUND((J45*1.1),5)</f>
        <v>0</v>
      </c>
      <c r="AO45" s="62" t="s">
        <v>43</v>
      </c>
      <c r="AP45" s="62"/>
      <c r="AQ45" s="62"/>
      <c r="AR45" s="63" t="str">
        <f aca="false">C45</f>
        <v>Hammer Curl</v>
      </c>
      <c r="AS45" s="62" t="n">
        <v>2</v>
      </c>
      <c r="AT45" s="67" t="n">
        <f aca="false">MROUND((J45*0.5),5)</f>
        <v>0</v>
      </c>
      <c r="AU45" s="42" t="s">
        <v>44</v>
      </c>
    </row>
    <row r="46" customFormat="false" ht="15" hidden="false" customHeight="false" outlineLevel="0" collapsed="false">
      <c r="B46" s="68" t="s">
        <v>85</v>
      </c>
      <c r="C46" s="69" t="s">
        <v>86</v>
      </c>
      <c r="D46" s="70" t="str">
        <f aca="false" t="array" ref="D46:D46">INDEX(Table_Name[Name List],MATCH(B46,Table_Name[Category],0))</f>
        <v>Traps[Exercise]</v>
      </c>
      <c r="E46" s="71" t="str">
        <f aca="false" t="array" ref="E46:E46">INDEX(Links[Link],MATCH(C46,Links[Exercise],0))</f>
        <v>https://youtu.be/z3yCDRGrQTM</v>
      </c>
      <c r="F46" s="72" t="str">
        <f aca="false">HYPERLINK(E46,"Video")</f>
        <v>Video</v>
      </c>
      <c r="G46" s="73"/>
      <c r="H46" s="61" t="str">
        <f aca="false">C46</f>
        <v>Dumbbell Shrug</v>
      </c>
      <c r="I46" s="62" t="n">
        <v>3</v>
      </c>
      <c r="J46" s="62" t="n">
        <f aca="false">MROUND(((G46)*0.85),5)</f>
        <v>0</v>
      </c>
      <c r="K46" s="62" t="s">
        <v>41</v>
      </c>
      <c r="L46" s="62"/>
      <c r="M46" s="64"/>
      <c r="N46" s="61" t="str">
        <f aca="false">C46</f>
        <v>Dumbbell Shrug</v>
      </c>
      <c r="O46" s="62" t="n">
        <f aca="false">I46+(S18)</f>
        <v>3</v>
      </c>
      <c r="P46" s="62" t="n">
        <f aca="false">MROUND((J46*1.02),5)</f>
        <v>0</v>
      </c>
      <c r="Q46" s="62" t="s">
        <v>41</v>
      </c>
      <c r="R46" s="62"/>
      <c r="S46" s="64"/>
      <c r="T46" s="65" t="str">
        <f aca="false">C46</f>
        <v>Dumbbell Shrug</v>
      </c>
      <c r="U46" s="62" t="n">
        <f aca="false">O46+(Y18)</f>
        <v>3</v>
      </c>
      <c r="V46" s="62" t="n">
        <f aca="false">MROUND((J46*1.04),5)</f>
        <v>0</v>
      </c>
      <c r="W46" s="62" t="s">
        <v>42</v>
      </c>
      <c r="X46" s="62"/>
      <c r="Y46" s="64"/>
      <c r="Z46" s="66" t="str">
        <f aca="false">C46</f>
        <v>Dumbbell Shrug</v>
      </c>
      <c r="AA46" s="62" t="n">
        <f aca="false">U46+(AE18)</f>
        <v>3</v>
      </c>
      <c r="AB46" s="62" t="n">
        <f aca="false">MROUND((P46*1.04),5)</f>
        <v>0</v>
      </c>
      <c r="AC46" s="62" t="s">
        <v>42</v>
      </c>
      <c r="AD46" s="62"/>
      <c r="AE46" s="64"/>
      <c r="AF46" s="66" t="str">
        <f aca="false">C46</f>
        <v>Dumbbell Shrug</v>
      </c>
      <c r="AG46" s="62" t="n">
        <f aca="false">AA46+(AK18)</f>
        <v>3</v>
      </c>
      <c r="AH46" s="62" t="n">
        <f aca="false">MROUND((V46*1.04),5)</f>
        <v>0</v>
      </c>
      <c r="AI46" s="62" t="s">
        <v>42</v>
      </c>
      <c r="AJ46" s="62"/>
      <c r="AK46" s="64"/>
      <c r="AL46" s="63" t="str">
        <f aca="false">C46</f>
        <v>Dumbbell Shrug</v>
      </c>
      <c r="AM46" s="62" t="n">
        <f aca="false">AG46+(AQ18)</f>
        <v>3</v>
      </c>
      <c r="AN46" s="62" t="n">
        <f aca="false">MROUND((J46*1.1),5)</f>
        <v>0</v>
      </c>
      <c r="AO46" s="62" t="s">
        <v>43</v>
      </c>
      <c r="AP46" s="62"/>
      <c r="AQ46" s="62"/>
      <c r="AR46" s="63" t="str">
        <f aca="false">C46</f>
        <v>Dumbbell Shrug</v>
      </c>
      <c r="AS46" s="62" t="n">
        <v>2</v>
      </c>
      <c r="AT46" s="67" t="n">
        <f aca="false">MROUND((J46*0.5),5)</f>
        <v>0</v>
      </c>
      <c r="AU46" s="42" t="s">
        <v>44</v>
      </c>
    </row>
    <row r="47" customFormat="false" ht="13.8" hidden="false" customHeight="false" outlineLevel="0" collapsed="false">
      <c r="B47" s="74" t="s">
        <v>66</v>
      </c>
      <c r="C47" s="75" t="s">
        <v>67</v>
      </c>
      <c r="D47" s="70" t="str">
        <f aca="false" t="array" ref="D47:D47">INDEX(Table_Name[Name List],MATCH(B47,Table_Name[Category],0))</f>
        <v>Calves[Exercise]</v>
      </c>
      <c r="E47" s="71" t="str">
        <f aca="false" t="array" ref="E47:E47">INDEX(Links[Link],MATCH(C47,Links[Exercise],0))</f>
        <v>https://youtu.be/wrPN51LyOUE</v>
      </c>
      <c r="F47" s="78" t="str">
        <f aca="false">HYPERLINK(E47,"Video")</f>
        <v>Video</v>
      </c>
      <c r="G47" s="79"/>
      <c r="H47" s="80" t="str">
        <f aca="false">C47</f>
        <v>Calves on Calf Machine</v>
      </c>
      <c r="I47" s="81" t="n">
        <v>4</v>
      </c>
      <c r="J47" s="81" t="n">
        <f aca="false">MROUND(((G47)*0.85),5)</f>
        <v>0</v>
      </c>
      <c r="K47" s="81" t="s">
        <v>41</v>
      </c>
      <c r="L47" s="81"/>
      <c r="M47" s="64"/>
      <c r="N47" s="83" t="str">
        <f aca="false">C47</f>
        <v>Calves on Calf Machine</v>
      </c>
      <c r="O47" s="81" t="n">
        <f aca="false">I47+(S26)</f>
        <v>4</v>
      </c>
      <c r="P47" s="81" t="n">
        <f aca="false">MROUND((J47*1.02),5)</f>
        <v>0</v>
      </c>
      <c r="Q47" s="81" t="s">
        <v>41</v>
      </c>
      <c r="R47" s="81"/>
      <c r="S47" s="64"/>
      <c r="T47" s="84" t="str">
        <f aca="false">C47</f>
        <v>Calves on Calf Machine</v>
      </c>
      <c r="U47" s="81" t="n">
        <f aca="false">O47+(Y26)</f>
        <v>4</v>
      </c>
      <c r="V47" s="81" t="n">
        <f aca="false">MROUND((J47*1.04),5)</f>
        <v>0</v>
      </c>
      <c r="W47" s="81" t="s">
        <v>42</v>
      </c>
      <c r="X47" s="81"/>
      <c r="Y47" s="64"/>
      <c r="Z47" s="80" t="str">
        <f aca="false">C47</f>
        <v>Calves on Calf Machine</v>
      </c>
      <c r="AA47" s="81" t="n">
        <f aca="false">U47+(AE26)</f>
        <v>4</v>
      </c>
      <c r="AB47" s="81" t="n">
        <f aca="false">MROUND((P47*1.04),5)</f>
        <v>0</v>
      </c>
      <c r="AC47" s="81" t="s">
        <v>42</v>
      </c>
      <c r="AD47" s="81"/>
      <c r="AE47" s="64"/>
      <c r="AF47" s="80" t="str">
        <f aca="false">C47</f>
        <v>Calves on Calf Machine</v>
      </c>
      <c r="AG47" s="81" t="n">
        <f aca="false">AA47+(AK26)</f>
        <v>4</v>
      </c>
      <c r="AH47" s="81" t="n">
        <f aca="false">MROUND((V47*1.04),5)</f>
        <v>0</v>
      </c>
      <c r="AI47" s="81" t="s">
        <v>42</v>
      </c>
      <c r="AJ47" s="81"/>
      <c r="AK47" s="64"/>
      <c r="AL47" s="83" t="str">
        <f aca="false">C47</f>
        <v>Calves on Calf Machine</v>
      </c>
      <c r="AM47" s="81" t="n">
        <f aca="false">AG47+(AQ26)</f>
        <v>4</v>
      </c>
      <c r="AN47" s="81" t="n">
        <f aca="false">MROUND((J47*1.1),5)</f>
        <v>0</v>
      </c>
      <c r="AO47" s="81" t="s">
        <v>43</v>
      </c>
      <c r="AP47" s="81"/>
      <c r="AQ47" s="81"/>
      <c r="AR47" s="83" t="str">
        <f aca="false">C47</f>
        <v>Calves on Calf Machine</v>
      </c>
      <c r="AS47" s="81" t="n">
        <v>2</v>
      </c>
      <c r="AT47" s="85" t="n">
        <f aca="false">MROUND((J47*0.5),5)</f>
        <v>0</v>
      </c>
      <c r="AU47" s="82" t="s">
        <v>44</v>
      </c>
    </row>
    <row r="48" s="89" customFormat="true" ht="13.8" hidden="false" customHeight="false" outlineLevel="0" collapsed="false">
      <c r="C48" s="90"/>
      <c r="D48" s="90"/>
      <c r="E48" s="91"/>
      <c r="F48" s="92"/>
      <c r="G48" s="65"/>
      <c r="H48" s="90"/>
      <c r="I48" s="28"/>
      <c r="J48" s="28"/>
      <c r="K48" s="28"/>
      <c r="L48" s="28"/>
      <c r="M48" s="28"/>
      <c r="N48" s="90"/>
      <c r="O48" s="28"/>
      <c r="P48" s="28"/>
      <c r="Q48" s="28"/>
      <c r="R48" s="28"/>
      <c r="S48" s="28"/>
      <c r="T48" s="90"/>
      <c r="U48" s="28"/>
      <c r="V48" s="28"/>
      <c r="W48" s="28"/>
      <c r="X48" s="28"/>
      <c r="Y48" s="28"/>
      <c r="Z48" s="90"/>
      <c r="AA48" s="28"/>
      <c r="AB48" s="28"/>
      <c r="AC48" s="28"/>
      <c r="AD48" s="28"/>
      <c r="AE48" s="28"/>
      <c r="AF48" s="90"/>
      <c r="AG48" s="28"/>
      <c r="AH48" s="28"/>
      <c r="AI48" s="28"/>
      <c r="AJ48" s="28"/>
      <c r="AK48" s="28"/>
      <c r="AL48" s="90"/>
      <c r="AM48" s="28"/>
      <c r="AN48" s="28"/>
      <c r="AO48" s="28"/>
      <c r="AP48" s="28"/>
      <c r="AQ48" s="28"/>
      <c r="AR48" s="90"/>
      <c r="AS48" s="28"/>
      <c r="AT48" s="28"/>
      <c r="AU48" s="28"/>
    </row>
    <row r="49" s="89" customFormat="true" ht="13.8" hidden="false" customHeight="false" outlineLevel="0" collapsed="false">
      <c r="B49" s="93" t="s">
        <v>87</v>
      </c>
      <c r="C49" s="90"/>
      <c r="D49" s="90"/>
      <c r="E49" s="91"/>
      <c r="F49" s="92"/>
      <c r="G49" s="65"/>
      <c r="H49" s="90"/>
      <c r="I49" s="28"/>
      <c r="J49" s="28"/>
      <c r="K49" s="28"/>
      <c r="L49" s="28"/>
      <c r="M49" s="28"/>
      <c r="N49" s="90"/>
      <c r="O49" s="28"/>
      <c r="P49" s="28"/>
      <c r="Q49" s="28"/>
      <c r="R49" s="28"/>
      <c r="S49" s="28"/>
      <c r="T49" s="90"/>
      <c r="U49" s="28"/>
      <c r="V49" s="28"/>
      <c r="W49" s="28"/>
      <c r="X49" s="28"/>
      <c r="Y49" s="28"/>
      <c r="Z49" s="90"/>
      <c r="AA49" s="28"/>
      <c r="AB49" s="28"/>
      <c r="AC49" s="28"/>
      <c r="AD49" s="28"/>
      <c r="AE49" s="28"/>
      <c r="AF49" s="90"/>
      <c r="AG49" s="28"/>
      <c r="AH49" s="28"/>
      <c r="AI49" s="28"/>
      <c r="AJ49" s="28"/>
      <c r="AK49" s="28"/>
      <c r="AL49" s="90"/>
      <c r="AM49" s="28"/>
      <c r="AN49" s="28"/>
      <c r="AO49" s="28"/>
      <c r="AP49" s="28"/>
      <c r="AQ49" s="28"/>
      <c r="AR49" s="90"/>
      <c r="AS49" s="28"/>
      <c r="AT49" s="28"/>
      <c r="AU49" s="28"/>
    </row>
    <row r="50" s="89" customFormat="true" ht="14.4" hidden="false" customHeight="false" outlineLevel="0" collapsed="false">
      <c r="B50" s="94"/>
      <c r="C50" s="90"/>
      <c r="D50" s="90"/>
      <c r="E50" s="91"/>
      <c r="F50" s="92"/>
      <c r="G50" s="65"/>
      <c r="H50" s="90"/>
      <c r="I50" s="28"/>
      <c r="J50" s="28"/>
      <c r="K50" s="28"/>
      <c r="L50" s="28"/>
      <c r="M50" s="28"/>
      <c r="N50" s="90"/>
      <c r="O50" s="28"/>
      <c r="P50" s="28"/>
      <c r="Q50" s="28"/>
      <c r="R50" s="28"/>
      <c r="S50" s="28"/>
      <c r="T50" s="90"/>
      <c r="U50" s="28"/>
      <c r="V50" s="28"/>
      <c r="W50" s="28"/>
      <c r="X50" s="28"/>
      <c r="Y50" s="28"/>
      <c r="Z50" s="90"/>
      <c r="AA50" s="28"/>
      <c r="AB50" s="28"/>
      <c r="AC50" s="28"/>
      <c r="AD50" s="28"/>
      <c r="AE50" s="28"/>
      <c r="AF50" s="90"/>
      <c r="AG50" s="28"/>
      <c r="AH50" s="28"/>
      <c r="AI50" s="28"/>
      <c r="AJ50" s="28"/>
      <c r="AK50" s="28"/>
      <c r="AL50" s="90"/>
      <c r="AM50" s="28"/>
      <c r="AN50" s="28"/>
      <c r="AO50" s="28"/>
      <c r="AP50" s="28"/>
      <c r="AQ50" s="28"/>
      <c r="AR50" s="90"/>
      <c r="AS50" s="28"/>
      <c r="AT50" s="28"/>
      <c r="AU50" s="28"/>
    </row>
    <row r="51" s="89" customFormat="true" ht="14.4" hidden="false" customHeight="false" outlineLevel="0" collapsed="false">
      <c r="B51" s="94"/>
      <c r="C51" s="90"/>
      <c r="D51" s="90"/>
      <c r="E51" s="91"/>
      <c r="F51" s="92"/>
      <c r="G51" s="65"/>
      <c r="H51" s="90"/>
      <c r="I51" s="28"/>
      <c r="J51" s="28"/>
      <c r="K51" s="28"/>
      <c r="L51" s="28"/>
      <c r="M51" s="28"/>
      <c r="N51" s="90"/>
      <c r="O51" s="28"/>
      <c r="P51" s="28"/>
      <c r="Q51" s="28"/>
      <c r="R51" s="28"/>
      <c r="S51" s="28"/>
      <c r="T51" s="90"/>
      <c r="U51" s="28"/>
      <c r="V51" s="28"/>
      <c r="W51" s="28"/>
      <c r="X51" s="28"/>
      <c r="Y51" s="28"/>
      <c r="Z51" s="90"/>
      <c r="AA51" s="28"/>
      <c r="AB51" s="28"/>
      <c r="AC51" s="28"/>
      <c r="AD51" s="28"/>
      <c r="AE51" s="28"/>
      <c r="AF51" s="90"/>
      <c r="AG51" s="28"/>
      <c r="AH51" s="28"/>
      <c r="AI51" s="28"/>
      <c r="AJ51" s="28"/>
      <c r="AK51" s="28"/>
      <c r="AL51" s="90"/>
      <c r="AM51" s="28"/>
      <c r="AN51" s="28"/>
      <c r="AO51" s="28"/>
      <c r="AP51" s="28"/>
      <c r="AQ51" s="28"/>
      <c r="AR51" s="90"/>
      <c r="AS51" s="28"/>
      <c r="AT51" s="28"/>
      <c r="AU51" s="28"/>
    </row>
    <row r="52" s="89" customFormat="true" ht="14.4" hidden="false" customHeight="false" outlineLevel="0" collapsed="false">
      <c r="B52" s="94"/>
      <c r="C52" s="90"/>
      <c r="D52" s="90"/>
      <c r="E52" s="91"/>
      <c r="F52" s="92"/>
      <c r="G52" s="65"/>
      <c r="H52" s="90"/>
      <c r="I52" s="28"/>
      <c r="J52" s="28"/>
      <c r="K52" s="28"/>
      <c r="L52" s="28"/>
      <c r="M52" s="28"/>
      <c r="N52" s="90"/>
      <c r="O52" s="28"/>
      <c r="P52" s="28"/>
      <c r="Q52" s="28"/>
      <c r="R52" s="28"/>
      <c r="S52" s="28"/>
      <c r="T52" s="90"/>
      <c r="U52" s="28"/>
      <c r="V52" s="28"/>
      <c r="W52" s="28"/>
      <c r="X52" s="28"/>
      <c r="Y52" s="28"/>
      <c r="Z52" s="90"/>
      <c r="AA52" s="28"/>
      <c r="AB52" s="28"/>
      <c r="AC52" s="28"/>
      <c r="AD52" s="28"/>
      <c r="AE52" s="28"/>
      <c r="AF52" s="90"/>
      <c r="AG52" s="28"/>
      <c r="AH52" s="28"/>
      <c r="AI52" s="28"/>
      <c r="AJ52" s="28"/>
      <c r="AK52" s="28"/>
      <c r="AL52" s="90"/>
      <c r="AM52" s="28"/>
      <c r="AN52" s="28"/>
      <c r="AO52" s="28"/>
      <c r="AP52" s="28"/>
      <c r="AQ52" s="28"/>
      <c r="AR52" s="90"/>
      <c r="AS52" s="28"/>
      <c r="AT52" s="28"/>
      <c r="AU52" s="28"/>
    </row>
    <row r="53" s="89" customFormat="true" ht="14.4" hidden="false" customHeight="false" outlineLevel="0" collapsed="false">
      <c r="B53" s="94"/>
      <c r="C53" s="90"/>
      <c r="D53" s="90"/>
      <c r="E53" s="91"/>
      <c r="F53" s="92"/>
      <c r="G53" s="65"/>
      <c r="H53" s="90"/>
      <c r="I53" s="28"/>
      <c r="J53" s="28"/>
      <c r="K53" s="28"/>
      <c r="L53" s="28"/>
      <c r="M53" s="28"/>
      <c r="N53" s="90"/>
      <c r="O53" s="28"/>
      <c r="P53" s="28"/>
      <c r="Q53" s="28"/>
      <c r="R53" s="28"/>
      <c r="S53" s="28"/>
      <c r="T53" s="90"/>
      <c r="U53" s="28"/>
      <c r="V53" s="28"/>
      <c r="W53" s="28"/>
      <c r="X53" s="28"/>
      <c r="Y53" s="28"/>
      <c r="Z53" s="90"/>
      <c r="AA53" s="28"/>
      <c r="AB53" s="28"/>
      <c r="AC53" s="28"/>
      <c r="AD53" s="28"/>
      <c r="AE53" s="28"/>
      <c r="AF53" s="90"/>
      <c r="AG53" s="28"/>
      <c r="AH53" s="28"/>
      <c r="AI53" s="28"/>
      <c r="AJ53" s="28"/>
      <c r="AK53" s="28"/>
      <c r="AL53" s="90"/>
      <c r="AM53" s="28"/>
      <c r="AN53" s="28"/>
      <c r="AO53" s="28"/>
      <c r="AP53" s="28"/>
      <c r="AQ53" s="28"/>
      <c r="AR53" s="90"/>
      <c r="AS53" s="28"/>
      <c r="AT53" s="28"/>
      <c r="AU53" s="28"/>
    </row>
    <row r="54" s="89" customFormat="true" ht="14.4" hidden="false" customHeight="false" outlineLevel="0" collapsed="false">
      <c r="B54" s="94"/>
      <c r="C54" s="90"/>
      <c r="D54" s="90"/>
      <c r="E54" s="91"/>
      <c r="F54" s="92"/>
      <c r="G54" s="65"/>
      <c r="H54" s="90"/>
      <c r="I54" s="28"/>
      <c r="J54" s="28"/>
      <c r="K54" s="28"/>
      <c r="L54" s="28"/>
      <c r="M54" s="28"/>
      <c r="N54" s="90"/>
      <c r="O54" s="28"/>
      <c r="P54" s="28"/>
      <c r="Q54" s="28"/>
      <c r="R54" s="28"/>
      <c r="S54" s="28"/>
      <c r="T54" s="90"/>
      <c r="U54" s="28"/>
      <c r="V54" s="28"/>
      <c r="W54" s="28"/>
      <c r="X54" s="28"/>
      <c r="Y54" s="28"/>
      <c r="Z54" s="90"/>
      <c r="AA54" s="28"/>
      <c r="AB54" s="28"/>
      <c r="AC54" s="28"/>
      <c r="AD54" s="28"/>
      <c r="AE54" s="28"/>
      <c r="AF54" s="90"/>
      <c r="AG54" s="28"/>
      <c r="AH54" s="28"/>
      <c r="AI54" s="28"/>
      <c r="AJ54" s="28"/>
      <c r="AK54" s="28"/>
      <c r="AL54" s="90"/>
      <c r="AM54" s="28"/>
      <c r="AN54" s="28"/>
      <c r="AO54" s="28"/>
      <c r="AP54" s="28"/>
      <c r="AQ54" s="28"/>
      <c r="AR54" s="90"/>
      <c r="AS54" s="28"/>
      <c r="AT54" s="28"/>
      <c r="AU54" s="28"/>
    </row>
    <row r="55" s="89" customFormat="true" ht="14.4" hidden="false" customHeight="false" outlineLevel="0" collapsed="false">
      <c r="B55" s="94"/>
      <c r="C55" s="90"/>
      <c r="D55" s="90"/>
      <c r="E55" s="91"/>
      <c r="F55" s="92"/>
      <c r="G55" s="65"/>
      <c r="H55" s="90"/>
      <c r="I55" s="28"/>
      <c r="J55" s="28"/>
      <c r="K55" s="28"/>
      <c r="L55" s="28"/>
      <c r="M55" s="28"/>
      <c r="N55" s="90"/>
      <c r="O55" s="28"/>
      <c r="P55" s="28"/>
      <c r="Q55" s="28"/>
      <c r="R55" s="28"/>
      <c r="S55" s="28"/>
      <c r="T55" s="90"/>
      <c r="U55" s="28"/>
      <c r="V55" s="28"/>
      <c r="W55" s="28"/>
      <c r="X55" s="28"/>
      <c r="Y55" s="28"/>
      <c r="Z55" s="90"/>
      <c r="AA55" s="28"/>
      <c r="AB55" s="28"/>
      <c r="AC55" s="28"/>
      <c r="AD55" s="28"/>
      <c r="AE55" s="28"/>
      <c r="AF55" s="90"/>
      <c r="AG55" s="28"/>
      <c r="AH55" s="28"/>
      <c r="AI55" s="28"/>
      <c r="AJ55" s="28"/>
      <c r="AK55" s="28"/>
      <c r="AL55" s="90"/>
      <c r="AM55" s="28"/>
      <c r="AN55" s="28"/>
      <c r="AO55" s="28"/>
      <c r="AP55" s="28"/>
      <c r="AQ55" s="28"/>
      <c r="AR55" s="90"/>
      <c r="AS55" s="28"/>
      <c r="AT55" s="28"/>
      <c r="AU55" s="28"/>
    </row>
    <row r="56" s="89" customFormat="true" ht="14.4" hidden="false" customHeight="false" outlineLevel="0" collapsed="false">
      <c r="B56" s="94"/>
      <c r="C56" s="90"/>
      <c r="D56" s="90"/>
      <c r="E56" s="91"/>
      <c r="F56" s="92"/>
      <c r="G56" s="65"/>
      <c r="H56" s="90"/>
      <c r="I56" s="28"/>
      <c r="J56" s="28"/>
      <c r="K56" s="28"/>
      <c r="L56" s="28"/>
      <c r="M56" s="28"/>
      <c r="N56" s="90"/>
      <c r="O56" s="28"/>
      <c r="P56" s="28"/>
      <c r="Q56" s="28"/>
      <c r="R56" s="28"/>
      <c r="S56" s="28"/>
      <c r="T56" s="90"/>
      <c r="U56" s="28"/>
      <c r="V56" s="28"/>
      <c r="W56" s="28"/>
      <c r="X56" s="28"/>
      <c r="Y56" s="28"/>
      <c r="Z56" s="90"/>
      <c r="AA56" s="28"/>
      <c r="AB56" s="28"/>
      <c r="AC56" s="28"/>
      <c r="AD56" s="28"/>
      <c r="AE56" s="28"/>
      <c r="AF56" s="90"/>
      <c r="AG56" s="28"/>
      <c r="AH56" s="28"/>
      <c r="AI56" s="28"/>
      <c r="AJ56" s="28"/>
      <c r="AK56" s="28"/>
      <c r="AL56" s="90"/>
      <c r="AM56" s="28"/>
      <c r="AN56" s="28"/>
      <c r="AO56" s="28"/>
      <c r="AP56" s="28"/>
      <c r="AQ56" s="28"/>
      <c r="AR56" s="90"/>
      <c r="AS56" s="28"/>
      <c r="AT56" s="28"/>
      <c r="AU56" s="28"/>
    </row>
    <row r="57" s="89" customFormat="true" ht="14.4" hidden="false" customHeight="false" outlineLevel="0" collapsed="false">
      <c r="B57" s="94"/>
      <c r="C57" s="90"/>
      <c r="D57" s="90"/>
      <c r="E57" s="91"/>
      <c r="F57" s="92"/>
      <c r="G57" s="65"/>
      <c r="H57" s="90"/>
      <c r="I57" s="28"/>
      <c r="J57" s="28"/>
      <c r="K57" s="28"/>
      <c r="L57" s="28"/>
      <c r="M57" s="28"/>
      <c r="N57" s="90"/>
      <c r="O57" s="28"/>
      <c r="P57" s="28"/>
      <c r="Q57" s="28"/>
      <c r="R57" s="28"/>
      <c r="S57" s="28"/>
      <c r="T57" s="90"/>
      <c r="U57" s="28"/>
      <c r="V57" s="28"/>
      <c r="W57" s="28"/>
      <c r="X57" s="28"/>
      <c r="Y57" s="28"/>
      <c r="Z57" s="90"/>
      <c r="AA57" s="28"/>
      <c r="AB57" s="28"/>
      <c r="AC57" s="28"/>
      <c r="AD57" s="28"/>
      <c r="AE57" s="28"/>
      <c r="AF57" s="90"/>
      <c r="AG57" s="28"/>
      <c r="AH57" s="28"/>
      <c r="AI57" s="28"/>
      <c r="AJ57" s="28"/>
      <c r="AK57" s="28"/>
      <c r="AL57" s="90"/>
      <c r="AM57" s="28"/>
      <c r="AN57" s="28"/>
      <c r="AO57" s="28"/>
      <c r="AP57" s="28"/>
      <c r="AQ57" s="28"/>
      <c r="AR57" s="90"/>
      <c r="AS57" s="28"/>
      <c r="AT57" s="28"/>
      <c r="AU57" s="28"/>
    </row>
    <row r="58" s="89" customFormat="true" ht="14.4" hidden="false" customHeight="false" outlineLevel="0" collapsed="false">
      <c r="B58" s="94"/>
      <c r="C58" s="90"/>
      <c r="D58" s="90"/>
      <c r="E58" s="91"/>
      <c r="F58" s="92"/>
      <c r="G58" s="65"/>
      <c r="H58" s="90"/>
      <c r="I58" s="28"/>
      <c r="J58" s="28"/>
      <c r="K58" s="28"/>
      <c r="L58" s="28"/>
      <c r="M58" s="28"/>
      <c r="N58" s="90"/>
      <c r="O58" s="28"/>
      <c r="P58" s="28"/>
      <c r="Q58" s="28"/>
      <c r="R58" s="28"/>
      <c r="S58" s="28"/>
      <c r="T58" s="90"/>
      <c r="U58" s="28"/>
      <c r="V58" s="28"/>
      <c r="W58" s="28"/>
      <c r="X58" s="28"/>
      <c r="Y58" s="28"/>
      <c r="Z58" s="90"/>
      <c r="AA58" s="28"/>
      <c r="AB58" s="28"/>
      <c r="AC58" s="28"/>
      <c r="AD58" s="28"/>
      <c r="AE58" s="28"/>
      <c r="AF58" s="90"/>
      <c r="AG58" s="28"/>
      <c r="AH58" s="28"/>
      <c r="AI58" s="28"/>
      <c r="AJ58" s="28"/>
      <c r="AK58" s="28"/>
      <c r="AL58" s="90"/>
      <c r="AM58" s="28"/>
      <c r="AN58" s="28"/>
      <c r="AO58" s="28"/>
      <c r="AP58" s="28"/>
      <c r="AQ58" s="28"/>
      <c r="AR58" s="90"/>
      <c r="AS58" s="28"/>
      <c r="AT58" s="28"/>
      <c r="AU58" s="28"/>
    </row>
    <row r="59" s="89" customFormat="true" ht="14.4" hidden="false" customHeight="false" outlineLevel="0" collapsed="false">
      <c r="B59" s="94"/>
      <c r="C59" s="90"/>
      <c r="D59" s="90"/>
      <c r="E59" s="91"/>
      <c r="F59" s="92"/>
      <c r="G59" s="65"/>
      <c r="H59" s="90"/>
      <c r="I59" s="28"/>
      <c r="J59" s="28"/>
      <c r="K59" s="28"/>
      <c r="L59" s="28"/>
      <c r="M59" s="28"/>
      <c r="N59" s="90"/>
      <c r="O59" s="28"/>
      <c r="P59" s="28"/>
      <c r="Q59" s="28"/>
      <c r="R59" s="28"/>
      <c r="S59" s="28"/>
      <c r="T59" s="90"/>
      <c r="U59" s="28"/>
      <c r="V59" s="28"/>
      <c r="W59" s="28"/>
      <c r="X59" s="28"/>
      <c r="Y59" s="28"/>
      <c r="Z59" s="90"/>
      <c r="AA59" s="28"/>
      <c r="AB59" s="28"/>
      <c r="AC59" s="28"/>
      <c r="AD59" s="28"/>
      <c r="AE59" s="28"/>
      <c r="AF59" s="90"/>
      <c r="AG59" s="28"/>
      <c r="AH59" s="28"/>
      <c r="AI59" s="28"/>
      <c r="AJ59" s="28"/>
      <c r="AK59" s="28"/>
      <c r="AL59" s="90"/>
      <c r="AM59" s="28"/>
      <c r="AN59" s="28"/>
      <c r="AO59" s="28"/>
      <c r="AP59" s="28"/>
      <c r="AQ59" s="28"/>
      <c r="AR59" s="90"/>
      <c r="AS59" s="28"/>
      <c r="AT59" s="28"/>
      <c r="AU59" s="28"/>
    </row>
    <row r="60" s="89" customFormat="true" ht="14.4" hidden="false" customHeight="false" outlineLevel="0" collapsed="false">
      <c r="B60" s="94"/>
      <c r="C60" s="90"/>
      <c r="D60" s="90"/>
      <c r="E60" s="91"/>
      <c r="F60" s="92"/>
      <c r="G60" s="65"/>
      <c r="H60" s="90"/>
      <c r="I60" s="28"/>
      <c r="J60" s="28"/>
      <c r="K60" s="28"/>
      <c r="L60" s="28"/>
      <c r="M60" s="28"/>
      <c r="N60" s="90"/>
      <c r="O60" s="28"/>
      <c r="P60" s="28"/>
      <c r="Q60" s="28"/>
      <c r="R60" s="28"/>
      <c r="S60" s="28"/>
      <c r="T60" s="90"/>
      <c r="U60" s="28"/>
      <c r="V60" s="28"/>
      <c r="W60" s="28"/>
      <c r="X60" s="28"/>
      <c r="Y60" s="28"/>
      <c r="Z60" s="90"/>
      <c r="AA60" s="28"/>
      <c r="AB60" s="28"/>
      <c r="AC60" s="28"/>
      <c r="AD60" s="28"/>
      <c r="AE60" s="28"/>
      <c r="AF60" s="90"/>
      <c r="AG60" s="28"/>
      <c r="AH60" s="28"/>
      <c r="AI60" s="28"/>
      <c r="AJ60" s="28"/>
      <c r="AK60" s="28"/>
      <c r="AL60" s="90"/>
      <c r="AM60" s="28"/>
      <c r="AN60" s="28"/>
      <c r="AO60" s="28"/>
      <c r="AP60" s="28"/>
      <c r="AQ60" s="28"/>
      <c r="AR60" s="90"/>
      <c r="AS60" s="28"/>
      <c r="AT60" s="28"/>
      <c r="AU60" s="28"/>
    </row>
    <row r="61" s="89" customFormat="true" ht="14.4" hidden="false" customHeight="false" outlineLevel="0" collapsed="false">
      <c r="B61" s="94"/>
      <c r="C61" s="90"/>
      <c r="D61" s="90"/>
      <c r="E61" s="91"/>
      <c r="F61" s="92"/>
      <c r="G61" s="65"/>
      <c r="H61" s="90"/>
      <c r="I61" s="28"/>
      <c r="J61" s="28"/>
      <c r="K61" s="28"/>
      <c r="L61" s="28"/>
      <c r="M61" s="28"/>
      <c r="N61" s="90"/>
      <c r="O61" s="28"/>
      <c r="P61" s="28"/>
      <c r="Q61" s="28"/>
      <c r="R61" s="28"/>
      <c r="S61" s="28"/>
      <c r="T61" s="90"/>
      <c r="U61" s="28"/>
      <c r="V61" s="28"/>
      <c r="W61" s="28"/>
      <c r="X61" s="28"/>
      <c r="Y61" s="28"/>
      <c r="Z61" s="90"/>
      <c r="AA61" s="28"/>
      <c r="AB61" s="28"/>
      <c r="AC61" s="28"/>
      <c r="AD61" s="28"/>
      <c r="AE61" s="28"/>
      <c r="AF61" s="90"/>
      <c r="AG61" s="28"/>
      <c r="AH61" s="28"/>
      <c r="AI61" s="28"/>
      <c r="AJ61" s="28"/>
      <c r="AK61" s="28"/>
      <c r="AL61" s="90"/>
      <c r="AM61" s="28"/>
      <c r="AN61" s="28"/>
      <c r="AO61" s="28"/>
      <c r="AP61" s="28"/>
      <c r="AQ61" s="28"/>
      <c r="AR61" s="90"/>
      <c r="AS61" s="28"/>
      <c r="AT61" s="28"/>
      <c r="AU61" s="28"/>
    </row>
    <row r="62" s="89" customFormat="true" ht="14.4" hidden="false" customHeight="false" outlineLevel="0" collapsed="false">
      <c r="B62" s="94"/>
      <c r="C62" s="90"/>
      <c r="D62" s="90"/>
      <c r="E62" s="91"/>
      <c r="F62" s="92"/>
      <c r="G62" s="65"/>
      <c r="H62" s="90"/>
      <c r="I62" s="28"/>
      <c r="J62" s="28"/>
      <c r="K62" s="28"/>
      <c r="L62" s="28"/>
      <c r="M62" s="28"/>
      <c r="N62" s="90"/>
      <c r="O62" s="28"/>
      <c r="P62" s="28"/>
      <c r="Q62" s="28"/>
      <c r="R62" s="28"/>
      <c r="S62" s="28"/>
      <c r="T62" s="90"/>
      <c r="U62" s="28"/>
      <c r="V62" s="28"/>
      <c r="W62" s="28"/>
      <c r="X62" s="28"/>
      <c r="Y62" s="28"/>
      <c r="Z62" s="90"/>
      <c r="AA62" s="28"/>
      <c r="AB62" s="28"/>
      <c r="AC62" s="28"/>
      <c r="AD62" s="28"/>
      <c r="AE62" s="28"/>
      <c r="AF62" s="90"/>
      <c r="AG62" s="28"/>
      <c r="AH62" s="28"/>
      <c r="AI62" s="28"/>
      <c r="AJ62" s="28"/>
      <c r="AK62" s="28"/>
      <c r="AL62" s="90"/>
      <c r="AM62" s="28"/>
      <c r="AN62" s="28"/>
      <c r="AO62" s="28"/>
      <c r="AP62" s="28"/>
      <c r="AQ62" s="28"/>
      <c r="AR62" s="90"/>
      <c r="AS62" s="28"/>
      <c r="AT62" s="28"/>
      <c r="AU62" s="28"/>
    </row>
    <row r="63" s="89" customFormat="true" ht="14.4" hidden="false" customHeight="false" outlineLevel="0" collapsed="false">
      <c r="B63" s="94"/>
      <c r="C63" s="90"/>
      <c r="D63" s="90"/>
      <c r="E63" s="91"/>
      <c r="F63" s="92"/>
      <c r="G63" s="65"/>
      <c r="H63" s="90"/>
      <c r="I63" s="28"/>
      <c r="J63" s="28"/>
      <c r="K63" s="28"/>
      <c r="L63" s="28"/>
      <c r="M63" s="28"/>
      <c r="N63" s="90"/>
      <c r="O63" s="28"/>
      <c r="P63" s="28"/>
      <c r="Q63" s="28"/>
      <c r="R63" s="28"/>
      <c r="S63" s="28"/>
      <c r="T63" s="90"/>
      <c r="U63" s="28"/>
      <c r="V63" s="28"/>
      <c r="W63" s="28"/>
      <c r="X63" s="28"/>
      <c r="Y63" s="28"/>
      <c r="Z63" s="90"/>
      <c r="AA63" s="28"/>
      <c r="AB63" s="28"/>
      <c r="AC63" s="28"/>
      <c r="AD63" s="28"/>
      <c r="AE63" s="28"/>
      <c r="AF63" s="90"/>
      <c r="AG63" s="28"/>
      <c r="AH63" s="28"/>
      <c r="AI63" s="28"/>
      <c r="AJ63" s="28"/>
      <c r="AK63" s="28"/>
      <c r="AL63" s="90"/>
      <c r="AM63" s="28"/>
      <c r="AN63" s="28"/>
      <c r="AO63" s="28"/>
      <c r="AP63" s="28"/>
      <c r="AQ63" s="28"/>
      <c r="AR63" s="90"/>
      <c r="AS63" s="28"/>
      <c r="AT63" s="28"/>
      <c r="AU63" s="28"/>
    </row>
    <row r="64" s="89" customFormat="true" ht="14.4" hidden="false" customHeight="false" outlineLevel="0" collapsed="false">
      <c r="B64" s="94"/>
      <c r="C64" s="90"/>
      <c r="D64" s="90"/>
      <c r="E64" s="91"/>
      <c r="F64" s="92"/>
      <c r="G64" s="65"/>
      <c r="H64" s="90"/>
      <c r="I64" s="28"/>
      <c r="J64" s="28"/>
      <c r="K64" s="28"/>
      <c r="L64" s="28"/>
      <c r="M64" s="28"/>
      <c r="N64" s="90"/>
      <c r="O64" s="28"/>
      <c r="P64" s="28"/>
      <c r="Q64" s="28"/>
      <c r="R64" s="28"/>
      <c r="S64" s="28"/>
      <c r="T64" s="90"/>
      <c r="U64" s="28"/>
      <c r="V64" s="28"/>
      <c r="W64" s="28"/>
      <c r="X64" s="28"/>
      <c r="Y64" s="28"/>
      <c r="Z64" s="90"/>
      <c r="AA64" s="28"/>
      <c r="AB64" s="28"/>
      <c r="AC64" s="28"/>
      <c r="AD64" s="28"/>
      <c r="AE64" s="28"/>
      <c r="AF64" s="90"/>
      <c r="AG64" s="28"/>
      <c r="AH64" s="28"/>
      <c r="AI64" s="28"/>
      <c r="AJ64" s="28"/>
      <c r="AK64" s="28"/>
      <c r="AL64" s="90"/>
      <c r="AM64" s="28"/>
      <c r="AN64" s="28"/>
      <c r="AO64" s="28"/>
      <c r="AP64" s="28"/>
      <c r="AQ64" s="28"/>
      <c r="AR64" s="90"/>
      <c r="AS64" s="28"/>
      <c r="AT64" s="28"/>
      <c r="AU64" s="28"/>
    </row>
    <row r="65" s="89" customFormat="true" ht="14.4" hidden="false" customHeight="false" outlineLevel="0" collapsed="false">
      <c r="B65" s="94"/>
      <c r="C65" s="90"/>
      <c r="D65" s="90"/>
      <c r="E65" s="91"/>
      <c r="F65" s="92"/>
      <c r="G65" s="65"/>
      <c r="H65" s="90"/>
      <c r="I65" s="28"/>
      <c r="J65" s="28"/>
      <c r="K65" s="28"/>
      <c r="L65" s="28"/>
      <c r="M65" s="28"/>
      <c r="N65" s="90"/>
      <c r="O65" s="28"/>
      <c r="P65" s="28"/>
      <c r="Q65" s="28"/>
      <c r="R65" s="28"/>
      <c r="S65" s="28"/>
      <c r="T65" s="90"/>
      <c r="U65" s="28"/>
      <c r="V65" s="28"/>
      <c r="W65" s="28"/>
      <c r="X65" s="28"/>
      <c r="Y65" s="28"/>
      <c r="Z65" s="90"/>
      <c r="AA65" s="28"/>
      <c r="AB65" s="28"/>
      <c r="AC65" s="28"/>
      <c r="AD65" s="28"/>
      <c r="AE65" s="28"/>
      <c r="AF65" s="90"/>
      <c r="AG65" s="28"/>
      <c r="AH65" s="28"/>
      <c r="AI65" s="28"/>
      <c r="AJ65" s="28"/>
      <c r="AK65" s="28"/>
      <c r="AL65" s="90"/>
      <c r="AM65" s="28"/>
      <c r="AN65" s="28"/>
      <c r="AO65" s="28"/>
      <c r="AP65" s="28"/>
      <c r="AQ65" s="28"/>
      <c r="AR65" s="90"/>
      <c r="AS65" s="28"/>
      <c r="AT65" s="28"/>
      <c r="AU65" s="28"/>
    </row>
    <row r="66" customFormat="false" ht="14.4" hidden="false" customHeight="false" outlineLevel="0" collapsed="false">
      <c r="E66" s="89"/>
    </row>
    <row r="67" customFormat="false" ht="14.4" hidden="true" customHeight="false" outlineLevel="0" collapsed="false">
      <c r="C67" s="0" t="s">
        <v>88</v>
      </c>
      <c r="E67" s="89"/>
    </row>
    <row r="68" customFormat="false" ht="14.4" hidden="true" customHeight="false" outlineLevel="0" collapsed="false">
      <c r="C68" s="0" t="n">
        <v>2</v>
      </c>
      <c r="E68" s="89"/>
    </row>
    <row r="69" customFormat="false" ht="14.4" hidden="true" customHeight="false" outlineLevel="0" collapsed="false">
      <c r="C69" s="0" t="n">
        <v>1</v>
      </c>
      <c r="E69" s="89"/>
    </row>
    <row r="70" customFormat="false" ht="14.4" hidden="true" customHeight="false" outlineLevel="0" collapsed="false">
      <c r="C70" s="0" t="n">
        <v>0</v>
      </c>
      <c r="E70" s="89"/>
    </row>
    <row r="71" customFormat="false" ht="14.4" hidden="true" customHeight="false" outlineLevel="0" collapsed="false">
      <c r="C71" s="0" t="n">
        <v>-1</v>
      </c>
      <c r="E71" s="89"/>
    </row>
    <row r="72" customFormat="false" ht="14.4" hidden="true" customHeight="false" outlineLevel="0" collapsed="false">
      <c r="C72" s="0" t="n">
        <v>-2</v>
      </c>
      <c r="E72" s="89"/>
    </row>
    <row r="73" customFormat="false" ht="14.4" hidden="true" customHeight="false" outlineLevel="0" collapsed="false">
      <c r="E73" s="89"/>
    </row>
    <row r="74" customFormat="false" ht="14.4" hidden="true" customHeight="false" outlineLevel="0" collapsed="false">
      <c r="E74" s="89"/>
      <c r="F74" s="91"/>
      <c r="G74" s="91"/>
      <c r="H74" s="91"/>
    </row>
    <row r="75" customFormat="false" ht="14.4" hidden="true" customHeight="false" outlineLevel="0" collapsed="false">
      <c r="A75" s="95" t="s">
        <v>55</v>
      </c>
      <c r="B75" s="96" t="s">
        <v>29</v>
      </c>
      <c r="C75" s="97" t="s">
        <v>89</v>
      </c>
      <c r="D75" s="91"/>
      <c r="E75" s="89"/>
      <c r="H75" s="66"/>
    </row>
    <row r="76" customFormat="false" ht="14.4" hidden="true" customHeight="false" outlineLevel="0" collapsed="false">
      <c r="A76" s="66"/>
      <c r="B76" s="98" t="s">
        <v>90</v>
      </c>
      <c r="C76" s="96" t="s">
        <v>91</v>
      </c>
      <c r="D76" s="41"/>
      <c r="E76" s="89"/>
      <c r="H76" s="66"/>
    </row>
    <row r="77" customFormat="false" ht="14.4" hidden="true" customHeight="false" outlineLevel="0" collapsed="false">
      <c r="A77" s="66"/>
      <c r="B77" s="98" t="s">
        <v>92</v>
      </c>
      <c r="C77" s="96" t="s">
        <v>93</v>
      </c>
      <c r="D77" s="41"/>
      <c r="E77" s="89"/>
      <c r="H77" s="66"/>
    </row>
    <row r="78" customFormat="false" ht="14.4" hidden="true" customHeight="false" outlineLevel="0" collapsed="false">
      <c r="A78" s="66"/>
      <c r="B78" s="98" t="s">
        <v>94</v>
      </c>
      <c r="C78" s="96" t="s">
        <v>95</v>
      </c>
      <c r="D78" s="41"/>
      <c r="E78" s="89"/>
      <c r="H78" s="66"/>
    </row>
    <row r="79" customFormat="false" ht="14.4" hidden="true" customHeight="false" outlineLevel="0" collapsed="false">
      <c r="A79" s="66"/>
      <c r="B79" s="98" t="s">
        <v>96</v>
      </c>
      <c r="C79" s="96" t="s">
        <v>97</v>
      </c>
      <c r="D79" s="41"/>
      <c r="E79" s="89"/>
      <c r="H79" s="66"/>
    </row>
    <row r="80" customFormat="false" ht="14.4" hidden="true" customHeight="false" outlineLevel="0" collapsed="false">
      <c r="A80" s="66"/>
      <c r="B80" s="98" t="s">
        <v>98</v>
      </c>
      <c r="C80" s="98" t="s">
        <v>99</v>
      </c>
      <c r="D80" s="99"/>
      <c r="E80" s="89"/>
      <c r="H80" s="66"/>
    </row>
    <row r="81" customFormat="false" ht="14.4" hidden="true" customHeight="false" outlineLevel="0" collapsed="false">
      <c r="A81" s="66"/>
      <c r="B81" s="98" t="s">
        <v>56</v>
      </c>
      <c r="C81" s="96" t="s">
        <v>100</v>
      </c>
      <c r="D81" s="41"/>
      <c r="E81" s="89"/>
      <c r="H81" s="66"/>
    </row>
    <row r="82" customFormat="false" ht="14.4" hidden="true" customHeight="false" outlineLevel="0" collapsed="false">
      <c r="A82" s="66"/>
      <c r="B82" s="98" t="s">
        <v>101</v>
      </c>
      <c r="C82" s="96" t="s">
        <v>102</v>
      </c>
      <c r="D82" s="41"/>
      <c r="E82" s="89"/>
      <c r="H82" s="41"/>
      <c r="I82" s="41"/>
    </row>
    <row r="83" customFormat="false" ht="14.4" hidden="true" customHeight="false" outlineLevel="0" collapsed="false">
      <c r="A83" s="41"/>
      <c r="B83" s="96"/>
      <c r="C83" s="97"/>
      <c r="D83" s="91"/>
      <c r="E83" s="89"/>
    </row>
    <row r="84" customFormat="false" ht="14.4" hidden="true" customHeight="false" outlineLevel="0" collapsed="false">
      <c r="A84" s="95" t="s">
        <v>66</v>
      </c>
      <c r="B84" s="100" t="s">
        <v>29</v>
      </c>
      <c r="C84" s="101" t="s">
        <v>89</v>
      </c>
      <c r="D84" s="102"/>
      <c r="E84" s="89"/>
      <c r="H84" s="95"/>
      <c r="I84" s="41"/>
    </row>
    <row r="85" customFormat="false" ht="14.4" hidden="true" customHeight="false" outlineLevel="0" collapsed="false">
      <c r="A85" s="66"/>
      <c r="B85" s="98" t="s">
        <v>67</v>
      </c>
      <c r="C85" s="96" t="s">
        <v>103</v>
      </c>
      <c r="D85" s="41"/>
      <c r="E85" s="89"/>
      <c r="H85" s="66"/>
    </row>
    <row r="86" customFormat="false" ht="14.4" hidden="true" customHeight="false" outlineLevel="0" collapsed="false">
      <c r="A86" s="66"/>
      <c r="B86" s="98" t="s">
        <v>104</v>
      </c>
      <c r="C86" s="96" t="s">
        <v>105</v>
      </c>
      <c r="D86" s="41"/>
      <c r="E86" s="89"/>
      <c r="H86" s="66"/>
    </row>
    <row r="87" customFormat="false" ht="14.4" hidden="true" customHeight="false" outlineLevel="0" collapsed="false">
      <c r="A87" s="66"/>
      <c r="B87" s="98" t="s">
        <v>106</v>
      </c>
      <c r="C87" s="96" t="s">
        <v>107</v>
      </c>
      <c r="D87" s="41"/>
      <c r="E87" s="89"/>
      <c r="H87" s="66"/>
    </row>
    <row r="88" customFormat="false" ht="14.4" hidden="true" customHeight="false" outlineLevel="0" collapsed="false">
      <c r="A88" s="66"/>
      <c r="B88" s="98" t="s">
        <v>108</v>
      </c>
      <c r="C88" s="96" t="s">
        <v>109</v>
      </c>
      <c r="D88" s="41"/>
      <c r="E88" s="89"/>
      <c r="H88" s="66"/>
    </row>
    <row r="89" customFormat="false" ht="14.4" hidden="true" customHeight="false" outlineLevel="0" collapsed="false">
      <c r="A89" s="41"/>
      <c r="B89" s="96"/>
      <c r="C89" s="97"/>
      <c r="D89" s="91"/>
      <c r="E89" s="89"/>
      <c r="H89" s="41"/>
      <c r="I89" s="41"/>
    </row>
    <row r="90" customFormat="false" ht="14.4" hidden="true" customHeight="false" outlineLevel="0" collapsed="false">
      <c r="A90" s="95" t="s">
        <v>83</v>
      </c>
      <c r="B90" s="100" t="s">
        <v>29</v>
      </c>
      <c r="C90" s="101" t="s">
        <v>89</v>
      </c>
      <c r="D90" s="102"/>
      <c r="E90" s="89"/>
      <c r="H90" s="95"/>
      <c r="I90" s="41"/>
    </row>
    <row r="91" customFormat="false" ht="14.4" hidden="true" customHeight="false" outlineLevel="0" collapsed="false">
      <c r="A91" s="66"/>
      <c r="B91" s="98" t="s">
        <v>110</v>
      </c>
      <c r="C91" s="96" t="s">
        <v>111</v>
      </c>
      <c r="D91" s="41"/>
      <c r="E91" s="89"/>
      <c r="H91" s="66"/>
    </row>
    <row r="92" customFormat="false" ht="14.4" hidden="true" customHeight="false" outlineLevel="0" collapsed="false">
      <c r="A92" s="66"/>
      <c r="B92" s="98" t="s">
        <v>112</v>
      </c>
      <c r="C92" s="96" t="s">
        <v>113</v>
      </c>
      <c r="D92" s="41"/>
      <c r="E92" s="89"/>
      <c r="H92" s="66"/>
    </row>
    <row r="93" customFormat="false" ht="14.4" hidden="true" customHeight="false" outlineLevel="0" collapsed="false">
      <c r="A93" s="66"/>
      <c r="B93" s="98" t="s">
        <v>114</v>
      </c>
      <c r="C93" s="96" t="s">
        <v>115</v>
      </c>
      <c r="D93" s="41"/>
      <c r="E93" s="89"/>
      <c r="H93" s="66"/>
    </row>
    <row r="94" customFormat="false" ht="14.4" hidden="true" customHeight="false" outlineLevel="0" collapsed="false">
      <c r="A94" s="66"/>
      <c r="B94" s="98" t="s">
        <v>116</v>
      </c>
      <c r="C94" s="96" t="s">
        <v>117</v>
      </c>
      <c r="D94" s="41"/>
      <c r="E94" s="89"/>
      <c r="H94" s="66"/>
    </row>
    <row r="95" customFormat="false" ht="14.4" hidden="true" customHeight="false" outlineLevel="0" collapsed="false">
      <c r="A95" s="66"/>
      <c r="B95" s="98" t="s">
        <v>118</v>
      </c>
      <c r="C95" s="96" t="s">
        <v>119</v>
      </c>
      <c r="D95" s="41"/>
      <c r="E95" s="89"/>
      <c r="H95" s="66"/>
    </row>
    <row r="96" customFormat="false" ht="14.4" hidden="true" customHeight="false" outlineLevel="0" collapsed="false">
      <c r="A96" s="66"/>
      <c r="B96" s="98" t="s">
        <v>120</v>
      </c>
      <c r="C96" s="96" t="s">
        <v>121</v>
      </c>
      <c r="D96" s="41"/>
      <c r="E96" s="89"/>
      <c r="H96" s="66"/>
    </row>
    <row r="97" customFormat="false" ht="14.4" hidden="true" customHeight="false" outlineLevel="0" collapsed="false">
      <c r="A97" s="66"/>
      <c r="B97" s="98" t="s">
        <v>122</v>
      </c>
      <c r="C97" s="96" t="s">
        <v>123</v>
      </c>
      <c r="D97" s="41"/>
      <c r="E97" s="89"/>
      <c r="H97" s="66"/>
    </row>
    <row r="98" customFormat="false" ht="14.4" hidden="true" customHeight="false" outlineLevel="0" collapsed="false">
      <c r="A98" s="66"/>
      <c r="B98" s="98" t="s">
        <v>84</v>
      </c>
      <c r="C98" s="96" t="s">
        <v>124</v>
      </c>
      <c r="D98" s="41"/>
      <c r="E98" s="89"/>
      <c r="H98" s="66"/>
    </row>
    <row r="99" customFormat="false" ht="14.4" hidden="true" customHeight="false" outlineLevel="0" collapsed="false">
      <c r="A99" s="66"/>
      <c r="B99" s="98" t="s">
        <v>125</v>
      </c>
      <c r="C99" s="98" t="s">
        <v>126</v>
      </c>
      <c r="D99" s="99"/>
      <c r="E99" s="89"/>
      <c r="H99" s="66"/>
    </row>
    <row r="100" customFormat="false" ht="14.4" hidden="true" customHeight="false" outlineLevel="0" collapsed="false">
      <c r="A100" s="66"/>
      <c r="B100" s="98" t="s">
        <v>127</v>
      </c>
      <c r="C100" s="96" t="s">
        <v>128</v>
      </c>
      <c r="D100" s="41"/>
      <c r="E100" s="89"/>
      <c r="H100" s="66"/>
    </row>
    <row r="101" customFormat="false" ht="14.4" hidden="true" customHeight="false" outlineLevel="0" collapsed="false">
      <c r="A101" s="66"/>
      <c r="B101" s="98" t="s">
        <v>129</v>
      </c>
      <c r="C101" s="96" t="s">
        <v>130</v>
      </c>
      <c r="D101" s="41"/>
      <c r="E101" s="89"/>
      <c r="H101" s="66"/>
    </row>
    <row r="102" customFormat="false" ht="14.4" hidden="true" customHeight="false" outlineLevel="0" collapsed="false">
      <c r="A102" s="41"/>
      <c r="B102" s="96"/>
      <c r="C102" s="103"/>
      <c r="E102" s="89"/>
      <c r="H102" s="41"/>
      <c r="I102" s="41"/>
    </row>
    <row r="103" customFormat="false" ht="14.4" hidden="true" customHeight="false" outlineLevel="0" collapsed="false">
      <c r="A103" s="95" t="s">
        <v>131</v>
      </c>
      <c r="B103" s="100" t="s">
        <v>29</v>
      </c>
      <c r="C103" s="101" t="s">
        <v>89</v>
      </c>
      <c r="D103" s="102"/>
      <c r="E103" s="89"/>
      <c r="H103" s="95"/>
      <c r="I103" s="41"/>
    </row>
    <row r="104" customFormat="false" ht="14.4" hidden="true" customHeight="false" outlineLevel="0" collapsed="false">
      <c r="A104" s="66"/>
      <c r="B104" s="98" t="s">
        <v>132</v>
      </c>
      <c r="C104" s="96" t="s">
        <v>133</v>
      </c>
      <c r="D104" s="41"/>
      <c r="E104" s="89"/>
      <c r="H104" s="66"/>
    </row>
    <row r="105" customFormat="false" ht="14.4" hidden="true" customHeight="false" outlineLevel="0" collapsed="false">
      <c r="A105" s="66"/>
      <c r="B105" s="98" t="s">
        <v>134</v>
      </c>
      <c r="C105" s="96" t="s">
        <v>135</v>
      </c>
      <c r="D105" s="41"/>
      <c r="E105" s="89"/>
      <c r="H105" s="66"/>
    </row>
    <row r="106" customFormat="false" ht="14.4" hidden="true" customHeight="false" outlineLevel="0" collapsed="false">
      <c r="A106" s="66"/>
      <c r="B106" s="98" t="s">
        <v>76</v>
      </c>
      <c r="C106" s="96" t="s">
        <v>136</v>
      </c>
      <c r="D106" s="41"/>
      <c r="E106" s="89"/>
      <c r="H106" s="66"/>
    </row>
    <row r="107" customFormat="false" ht="14.4" hidden="true" customHeight="false" outlineLevel="0" collapsed="false">
      <c r="A107" s="66"/>
      <c r="B107" s="98" t="s">
        <v>137</v>
      </c>
      <c r="C107" s="96" t="s">
        <v>138</v>
      </c>
      <c r="D107" s="41"/>
      <c r="E107" s="89"/>
      <c r="H107" s="66"/>
    </row>
    <row r="108" customFormat="false" ht="14.4" hidden="true" customHeight="false" outlineLevel="0" collapsed="false">
      <c r="A108" s="41"/>
      <c r="B108" s="96"/>
      <c r="C108" s="96"/>
      <c r="D108" s="41"/>
      <c r="E108" s="89"/>
      <c r="H108" s="41"/>
    </row>
    <row r="109" customFormat="false" ht="14.4" hidden="true" customHeight="false" outlineLevel="0" collapsed="false">
      <c r="A109" s="104" t="s">
        <v>53</v>
      </c>
      <c r="B109" s="100" t="s">
        <v>29</v>
      </c>
      <c r="C109" s="101" t="s">
        <v>89</v>
      </c>
      <c r="D109" s="102"/>
      <c r="E109" s="89"/>
      <c r="H109" s="104"/>
    </row>
    <row r="110" customFormat="false" ht="14.4" hidden="true" customHeight="false" outlineLevel="0" collapsed="false">
      <c r="A110" s="66"/>
      <c r="B110" s="98" t="s">
        <v>139</v>
      </c>
      <c r="C110" s="96" t="s">
        <v>140</v>
      </c>
      <c r="D110" s="41"/>
      <c r="E110" s="89"/>
      <c r="H110" s="66"/>
    </row>
    <row r="111" customFormat="false" ht="14.4" hidden="true" customHeight="false" outlineLevel="0" collapsed="false">
      <c r="A111" s="66"/>
      <c r="B111" s="98" t="s">
        <v>141</v>
      </c>
      <c r="C111" s="96" t="s">
        <v>142</v>
      </c>
      <c r="D111" s="41"/>
      <c r="E111" s="89"/>
      <c r="H111" s="66"/>
    </row>
    <row r="112" customFormat="false" ht="14.4" hidden="true" customHeight="false" outlineLevel="0" collapsed="false">
      <c r="A112" s="66"/>
      <c r="B112" s="98" t="s">
        <v>143</v>
      </c>
      <c r="C112" s="96" t="s">
        <v>144</v>
      </c>
      <c r="D112" s="41"/>
      <c r="E112" s="89"/>
      <c r="H112" s="66"/>
    </row>
    <row r="113" customFormat="false" ht="14.4" hidden="true" customHeight="false" outlineLevel="0" collapsed="false">
      <c r="A113" s="66"/>
      <c r="B113" s="98" t="s">
        <v>54</v>
      </c>
      <c r="C113" s="96" t="s">
        <v>145</v>
      </c>
      <c r="D113" s="41"/>
      <c r="E113" s="89"/>
      <c r="H113" s="66"/>
    </row>
    <row r="114" customFormat="false" ht="14.4" hidden="true" customHeight="false" outlineLevel="0" collapsed="false">
      <c r="A114" s="66"/>
      <c r="B114" s="98" t="s">
        <v>146</v>
      </c>
      <c r="C114" s="96" t="s">
        <v>147</v>
      </c>
      <c r="D114" s="41"/>
      <c r="E114" s="89"/>
      <c r="H114" s="66"/>
    </row>
    <row r="115" customFormat="false" ht="14.4" hidden="true" customHeight="false" outlineLevel="0" collapsed="false">
      <c r="A115" s="41"/>
      <c r="B115" s="96"/>
      <c r="C115" s="96"/>
      <c r="D115" s="41"/>
      <c r="E115" s="89"/>
      <c r="H115" s="41"/>
    </row>
    <row r="116" customFormat="false" ht="14.4" hidden="true" customHeight="false" outlineLevel="0" collapsed="false">
      <c r="A116" s="104" t="s">
        <v>85</v>
      </c>
      <c r="B116" s="100" t="s">
        <v>29</v>
      </c>
      <c r="C116" s="101" t="s">
        <v>89</v>
      </c>
      <c r="D116" s="102"/>
      <c r="E116" s="89"/>
      <c r="H116" s="104"/>
    </row>
    <row r="117" customFormat="false" ht="14.4" hidden="true" customHeight="false" outlineLevel="0" collapsed="false">
      <c r="A117" s="66"/>
      <c r="B117" s="98" t="s">
        <v>148</v>
      </c>
      <c r="C117" s="96" t="s">
        <v>149</v>
      </c>
      <c r="D117" s="41"/>
      <c r="E117" s="89"/>
      <c r="H117" s="66"/>
    </row>
    <row r="118" customFormat="false" ht="14.4" hidden="true" customHeight="false" outlineLevel="0" collapsed="false">
      <c r="A118" s="66"/>
      <c r="B118" s="98" t="s">
        <v>150</v>
      </c>
      <c r="C118" s="96" t="s">
        <v>151</v>
      </c>
      <c r="D118" s="41"/>
      <c r="E118" s="89"/>
      <c r="H118" s="66"/>
    </row>
    <row r="119" customFormat="false" ht="14.4" hidden="true" customHeight="false" outlineLevel="0" collapsed="false">
      <c r="A119" s="66"/>
      <c r="B119" s="98" t="s">
        <v>86</v>
      </c>
      <c r="C119" s="96" t="s">
        <v>152</v>
      </c>
      <c r="D119" s="41"/>
      <c r="E119" s="89"/>
      <c r="H119" s="66"/>
    </row>
    <row r="120" customFormat="false" ht="14.4" hidden="true" customHeight="false" outlineLevel="0" collapsed="false">
      <c r="A120" s="66"/>
      <c r="B120" s="98" t="s">
        <v>153</v>
      </c>
      <c r="C120" s="96" t="s">
        <v>154</v>
      </c>
      <c r="D120" s="41"/>
      <c r="E120" s="89"/>
      <c r="H120" s="66"/>
    </row>
    <row r="121" customFormat="false" ht="14.4" hidden="true" customHeight="false" outlineLevel="0" collapsed="false">
      <c r="A121" s="66"/>
      <c r="B121" s="98"/>
      <c r="C121" s="96"/>
      <c r="D121" s="41"/>
      <c r="E121" s="89"/>
      <c r="H121" s="66"/>
    </row>
    <row r="122" customFormat="false" ht="14.4" hidden="true" customHeight="false" outlineLevel="0" collapsed="false">
      <c r="A122" s="104" t="s">
        <v>155</v>
      </c>
      <c r="B122" s="100" t="s">
        <v>29</v>
      </c>
      <c r="C122" s="101" t="s">
        <v>89</v>
      </c>
      <c r="D122" s="102"/>
      <c r="E122" s="89"/>
      <c r="H122" s="104"/>
    </row>
    <row r="123" customFormat="false" ht="14.4" hidden="true" customHeight="false" outlineLevel="0" collapsed="false">
      <c r="A123" s="66"/>
      <c r="B123" s="98" t="s">
        <v>156</v>
      </c>
      <c r="C123" s="96" t="s">
        <v>157</v>
      </c>
      <c r="D123" s="41"/>
      <c r="E123" s="89"/>
      <c r="H123" s="66"/>
    </row>
    <row r="124" customFormat="false" ht="14.4" hidden="true" customHeight="false" outlineLevel="0" collapsed="false">
      <c r="A124" s="66"/>
      <c r="B124" s="98" t="s">
        <v>46</v>
      </c>
      <c r="C124" s="96" t="s">
        <v>158</v>
      </c>
      <c r="D124" s="41"/>
      <c r="E124" s="89"/>
      <c r="H124" s="66"/>
    </row>
    <row r="125" customFormat="false" ht="14.4" hidden="true" customHeight="false" outlineLevel="0" collapsed="false">
      <c r="A125" s="66"/>
      <c r="B125" s="98" t="s">
        <v>159</v>
      </c>
      <c r="C125" s="96" t="s">
        <v>160</v>
      </c>
      <c r="D125" s="41"/>
      <c r="E125" s="89"/>
      <c r="H125" s="66"/>
    </row>
    <row r="126" customFormat="false" ht="14.4" hidden="true" customHeight="false" outlineLevel="0" collapsed="false">
      <c r="A126" s="66"/>
      <c r="B126" s="98" t="s">
        <v>161</v>
      </c>
      <c r="C126" s="96" t="s">
        <v>162</v>
      </c>
      <c r="D126" s="41"/>
      <c r="E126" s="89"/>
      <c r="H126" s="66"/>
    </row>
    <row r="127" customFormat="false" ht="14.4" hidden="true" customHeight="false" outlineLevel="0" collapsed="false">
      <c r="A127" s="66"/>
      <c r="B127" s="98" t="s">
        <v>163</v>
      </c>
      <c r="C127" s="96" t="s">
        <v>164</v>
      </c>
      <c r="D127" s="41"/>
      <c r="E127" s="89"/>
      <c r="H127" s="66"/>
    </row>
    <row r="128" customFormat="false" ht="14.4" hidden="true" customHeight="false" outlineLevel="0" collapsed="false">
      <c r="A128" s="66"/>
      <c r="B128" s="98" t="s">
        <v>69</v>
      </c>
      <c r="C128" s="96" t="s">
        <v>165</v>
      </c>
      <c r="D128" s="41"/>
      <c r="E128" s="89"/>
      <c r="H128" s="66"/>
    </row>
    <row r="129" customFormat="false" ht="14.4" hidden="true" customHeight="false" outlineLevel="0" collapsed="false">
      <c r="A129" s="66"/>
      <c r="B129" s="98" t="s">
        <v>166</v>
      </c>
      <c r="C129" s="96" t="s">
        <v>167</v>
      </c>
      <c r="D129" s="41"/>
      <c r="E129" s="89"/>
      <c r="H129" s="66"/>
    </row>
    <row r="130" customFormat="false" ht="14.4" hidden="true" customHeight="false" outlineLevel="0" collapsed="false">
      <c r="A130" s="66"/>
      <c r="B130" s="98" t="s">
        <v>168</v>
      </c>
      <c r="C130" s="96" t="s">
        <v>169</v>
      </c>
      <c r="D130" s="41"/>
      <c r="E130" s="89"/>
      <c r="H130" s="66"/>
    </row>
    <row r="131" customFormat="false" ht="14.4" hidden="true" customHeight="false" outlineLevel="0" collapsed="false">
      <c r="A131" s="41"/>
      <c r="B131" s="96"/>
      <c r="C131" s="96"/>
      <c r="D131" s="41"/>
      <c r="E131" s="89"/>
      <c r="H131" s="41"/>
    </row>
    <row r="132" customFormat="false" ht="14.4" hidden="true" customHeight="false" outlineLevel="0" collapsed="false">
      <c r="A132" s="104" t="s">
        <v>170</v>
      </c>
      <c r="B132" s="100" t="s">
        <v>29</v>
      </c>
      <c r="C132" s="101" t="s">
        <v>89</v>
      </c>
      <c r="D132" s="102"/>
      <c r="E132" s="89"/>
      <c r="H132" s="104"/>
    </row>
    <row r="133" customFormat="false" ht="14.4" hidden="true" customHeight="false" outlineLevel="0" collapsed="false">
      <c r="A133" s="66"/>
      <c r="B133" s="98" t="s">
        <v>171</v>
      </c>
      <c r="C133" s="96" t="s">
        <v>172</v>
      </c>
      <c r="D133" s="41"/>
      <c r="E133" s="89"/>
      <c r="H133" s="66"/>
    </row>
    <row r="134" customFormat="false" ht="14.4" hidden="true" customHeight="false" outlineLevel="0" collapsed="false">
      <c r="A134" s="66"/>
      <c r="B134" s="98" t="s">
        <v>173</v>
      </c>
      <c r="C134" s="96" t="s">
        <v>174</v>
      </c>
      <c r="D134" s="41"/>
      <c r="E134" s="89"/>
      <c r="H134" s="66"/>
    </row>
    <row r="135" customFormat="false" ht="14.4" hidden="true" customHeight="false" outlineLevel="0" collapsed="false">
      <c r="A135" s="66"/>
      <c r="B135" s="98" t="s">
        <v>175</v>
      </c>
      <c r="C135" s="96" t="s">
        <v>176</v>
      </c>
      <c r="D135" s="41"/>
      <c r="E135" s="89"/>
      <c r="H135" s="66"/>
    </row>
    <row r="136" customFormat="false" ht="14.4" hidden="true" customHeight="false" outlineLevel="0" collapsed="false">
      <c r="A136" s="66"/>
      <c r="B136" s="98" t="s">
        <v>177</v>
      </c>
      <c r="C136" s="96" t="s">
        <v>178</v>
      </c>
      <c r="D136" s="41"/>
      <c r="E136" s="89"/>
      <c r="H136" s="66"/>
    </row>
    <row r="137" customFormat="false" ht="14.4" hidden="true" customHeight="false" outlineLevel="0" collapsed="false">
      <c r="A137" s="66"/>
      <c r="B137" s="98" t="s">
        <v>179</v>
      </c>
      <c r="C137" s="96" t="s">
        <v>180</v>
      </c>
      <c r="D137" s="41"/>
      <c r="E137" s="89"/>
      <c r="H137" s="66"/>
    </row>
    <row r="138" customFormat="false" ht="14.4" hidden="true" customHeight="false" outlineLevel="0" collapsed="false">
      <c r="A138" s="41"/>
      <c r="B138" s="96"/>
      <c r="C138" s="96"/>
      <c r="D138" s="41"/>
      <c r="E138" s="89"/>
      <c r="H138" s="41"/>
    </row>
    <row r="139" customFormat="false" ht="14.4" hidden="true" customHeight="false" outlineLevel="0" collapsed="false">
      <c r="A139" s="95" t="s">
        <v>181</v>
      </c>
      <c r="B139" s="100" t="s">
        <v>29</v>
      </c>
      <c r="C139" s="101" t="s">
        <v>89</v>
      </c>
      <c r="D139" s="102"/>
      <c r="E139" s="89"/>
      <c r="H139" s="95"/>
    </row>
    <row r="140" customFormat="false" ht="14.4" hidden="true" customHeight="false" outlineLevel="0" collapsed="false">
      <c r="A140" s="66"/>
      <c r="B140" s="98" t="s">
        <v>50</v>
      </c>
      <c r="C140" s="96" t="s">
        <v>182</v>
      </c>
      <c r="D140" s="41"/>
      <c r="E140" s="89"/>
      <c r="H140" s="66"/>
    </row>
    <row r="141" customFormat="false" ht="14.4" hidden="true" customHeight="false" outlineLevel="0" collapsed="false">
      <c r="A141" s="66"/>
      <c r="B141" s="98" t="s">
        <v>183</v>
      </c>
      <c r="C141" s="96" t="s">
        <v>184</v>
      </c>
      <c r="D141" s="41"/>
      <c r="E141" s="89"/>
      <c r="H141" s="66"/>
    </row>
    <row r="142" customFormat="false" ht="14.4" hidden="true" customHeight="false" outlineLevel="0" collapsed="false">
      <c r="A142" s="66"/>
      <c r="B142" s="98" t="s">
        <v>185</v>
      </c>
      <c r="C142" s="96" t="s">
        <v>186</v>
      </c>
      <c r="D142" s="41"/>
      <c r="E142" s="89"/>
      <c r="H142" s="66"/>
    </row>
    <row r="143" customFormat="false" ht="14.4" hidden="true" customHeight="false" outlineLevel="0" collapsed="false">
      <c r="A143" s="66"/>
      <c r="B143" s="98" t="s">
        <v>187</v>
      </c>
      <c r="C143" s="96" t="s">
        <v>188</v>
      </c>
      <c r="D143" s="41"/>
      <c r="E143" s="89"/>
      <c r="H143" s="66"/>
    </row>
    <row r="144" customFormat="false" ht="14.4" hidden="true" customHeight="false" outlineLevel="0" collapsed="false">
      <c r="A144" s="66"/>
      <c r="B144" s="98" t="s">
        <v>189</v>
      </c>
      <c r="C144" s="96" t="s">
        <v>190</v>
      </c>
      <c r="D144" s="41"/>
      <c r="E144" s="89"/>
      <c r="H144" s="66"/>
    </row>
    <row r="145" customFormat="false" ht="14.4" hidden="true" customHeight="false" outlineLevel="0" collapsed="false">
      <c r="A145" s="66"/>
      <c r="B145" s="98" t="s">
        <v>191</v>
      </c>
      <c r="C145" s="96" t="s">
        <v>192</v>
      </c>
      <c r="D145" s="41"/>
      <c r="E145" s="89"/>
      <c r="H145" s="66"/>
    </row>
    <row r="146" customFormat="false" ht="14.4" hidden="true" customHeight="false" outlineLevel="0" collapsed="false">
      <c r="A146" s="66"/>
      <c r="B146" s="98" t="s">
        <v>193</v>
      </c>
      <c r="C146" s="96" t="s">
        <v>194</v>
      </c>
      <c r="D146" s="41"/>
      <c r="E146" s="89"/>
      <c r="H146" s="66"/>
    </row>
    <row r="147" customFormat="false" ht="14.4" hidden="true" customHeight="false" outlineLevel="0" collapsed="false">
      <c r="A147" s="66"/>
      <c r="B147" s="98" t="s">
        <v>195</v>
      </c>
      <c r="C147" s="96" t="s">
        <v>196</v>
      </c>
      <c r="D147" s="41"/>
      <c r="E147" s="89"/>
      <c r="H147" s="66"/>
    </row>
    <row r="148" customFormat="false" ht="14.4" hidden="true" customHeight="false" outlineLevel="0" collapsed="false">
      <c r="A148" s="41"/>
      <c r="B148" s="96"/>
      <c r="C148" s="96"/>
      <c r="D148" s="41"/>
      <c r="E148" s="89"/>
      <c r="H148" s="41"/>
    </row>
    <row r="149" customFormat="false" ht="14.4" hidden="true" customHeight="false" outlineLevel="0" collapsed="false">
      <c r="A149" s="104" t="s">
        <v>197</v>
      </c>
      <c r="B149" s="100" t="s">
        <v>29</v>
      </c>
      <c r="C149" s="101" t="s">
        <v>89</v>
      </c>
      <c r="D149" s="102"/>
      <c r="E149" s="89"/>
      <c r="H149" s="104"/>
    </row>
    <row r="150" customFormat="false" ht="14.4" hidden="true" customHeight="false" outlineLevel="0" collapsed="false">
      <c r="A150" s="66"/>
      <c r="B150" s="98" t="s">
        <v>198</v>
      </c>
      <c r="C150" s="96" t="s">
        <v>199</v>
      </c>
      <c r="D150" s="41"/>
      <c r="E150" s="89"/>
      <c r="H150" s="66"/>
    </row>
    <row r="151" customFormat="false" ht="14.4" hidden="true" customHeight="false" outlineLevel="0" collapsed="false">
      <c r="A151" s="66"/>
      <c r="B151" s="98" t="s">
        <v>200</v>
      </c>
      <c r="C151" s="96" t="s">
        <v>201</v>
      </c>
      <c r="D151" s="41"/>
      <c r="E151" s="89"/>
      <c r="H151" s="66"/>
    </row>
    <row r="152" customFormat="false" ht="14.4" hidden="true" customHeight="false" outlineLevel="0" collapsed="false">
      <c r="A152" s="66"/>
      <c r="B152" s="98" t="s">
        <v>202</v>
      </c>
      <c r="C152" s="96" t="s">
        <v>203</v>
      </c>
      <c r="D152" s="41"/>
      <c r="E152" s="89"/>
      <c r="H152" s="66"/>
    </row>
    <row r="153" customFormat="false" ht="14.4" hidden="true" customHeight="false" outlineLevel="0" collapsed="false">
      <c r="A153" s="66"/>
      <c r="B153" s="98" t="s">
        <v>204</v>
      </c>
      <c r="C153" s="96" t="s">
        <v>205</v>
      </c>
      <c r="D153" s="41"/>
      <c r="E153" s="89"/>
      <c r="H153" s="66"/>
    </row>
    <row r="154" customFormat="false" ht="14.4" hidden="true" customHeight="false" outlineLevel="0" collapsed="false">
      <c r="A154" s="66"/>
      <c r="B154" s="98" t="s">
        <v>206</v>
      </c>
      <c r="C154" s="96" t="s">
        <v>207</v>
      </c>
      <c r="D154" s="41"/>
      <c r="E154" s="89"/>
      <c r="H154" s="66"/>
    </row>
    <row r="155" customFormat="false" ht="14.4" hidden="true" customHeight="false" outlineLevel="0" collapsed="false">
      <c r="A155" s="66"/>
      <c r="B155" s="98" t="s">
        <v>208</v>
      </c>
      <c r="C155" s="98" t="s">
        <v>209</v>
      </c>
      <c r="D155" s="99"/>
      <c r="E155" s="89"/>
      <c r="H155" s="66"/>
    </row>
    <row r="156" customFormat="false" ht="14.4" hidden="true" customHeight="false" outlineLevel="0" collapsed="false">
      <c r="A156" s="66"/>
      <c r="B156" s="98" t="s">
        <v>210</v>
      </c>
      <c r="C156" s="98" t="s">
        <v>211</v>
      </c>
      <c r="D156" s="99"/>
      <c r="E156" s="89"/>
      <c r="H156" s="66"/>
    </row>
    <row r="157" customFormat="false" ht="14.4" hidden="true" customHeight="false" outlineLevel="0" collapsed="false">
      <c r="A157" s="66"/>
      <c r="B157" s="98" t="s">
        <v>52</v>
      </c>
      <c r="C157" s="96" t="s">
        <v>212</v>
      </c>
      <c r="D157" s="41"/>
      <c r="E157" s="89"/>
      <c r="H157" s="66"/>
    </row>
    <row r="158" customFormat="false" ht="14.4" hidden="true" customHeight="false" outlineLevel="0" collapsed="false">
      <c r="A158" s="66"/>
      <c r="B158" s="98" t="s">
        <v>213</v>
      </c>
      <c r="C158" s="98" t="s">
        <v>214</v>
      </c>
      <c r="D158" s="99"/>
      <c r="E158" s="89"/>
      <c r="H158" s="66"/>
    </row>
    <row r="159" customFormat="false" ht="14.4" hidden="true" customHeight="false" outlineLevel="0" collapsed="false">
      <c r="A159" s="66"/>
      <c r="B159" s="98" t="s">
        <v>74</v>
      </c>
      <c r="C159" s="98" t="s">
        <v>215</v>
      </c>
      <c r="D159" s="99"/>
      <c r="E159" s="89"/>
      <c r="H159" s="66"/>
    </row>
    <row r="160" customFormat="false" ht="14.4" hidden="true" customHeight="false" outlineLevel="0" collapsed="false">
      <c r="A160" s="66"/>
      <c r="B160" s="98" t="s">
        <v>216</v>
      </c>
      <c r="C160" s="96" t="s">
        <v>217</v>
      </c>
      <c r="D160" s="41"/>
      <c r="E160" s="89"/>
      <c r="H160" s="66"/>
    </row>
    <row r="161" customFormat="false" ht="14.4" hidden="true" customHeight="false" outlineLevel="0" collapsed="false">
      <c r="A161" s="66"/>
      <c r="B161" s="98" t="s">
        <v>218</v>
      </c>
      <c r="C161" s="98" t="s">
        <v>219</v>
      </c>
      <c r="D161" s="99"/>
      <c r="E161" s="89"/>
      <c r="H161" s="66"/>
    </row>
    <row r="162" customFormat="false" ht="14.4" hidden="true" customHeight="false" outlineLevel="0" collapsed="false">
      <c r="A162" s="41"/>
      <c r="B162" s="96"/>
      <c r="C162" s="96"/>
      <c r="D162" s="41"/>
      <c r="E162" s="89"/>
      <c r="H162" s="41"/>
    </row>
    <row r="163" customFormat="false" ht="14.4" hidden="true" customHeight="false" outlineLevel="0" collapsed="false">
      <c r="A163" s="95" t="s">
        <v>61</v>
      </c>
      <c r="B163" s="100" t="s">
        <v>29</v>
      </c>
      <c r="C163" s="101" t="s">
        <v>89</v>
      </c>
      <c r="D163" s="102"/>
      <c r="E163" s="89"/>
      <c r="H163" s="95"/>
    </row>
    <row r="164" customFormat="false" ht="14.4" hidden="true" customHeight="false" outlineLevel="0" collapsed="false">
      <c r="A164" s="66"/>
      <c r="B164" s="98" t="s">
        <v>62</v>
      </c>
      <c r="C164" s="96" t="s">
        <v>220</v>
      </c>
      <c r="D164" s="41"/>
      <c r="E164" s="89"/>
      <c r="H164" s="66"/>
    </row>
    <row r="165" customFormat="false" ht="14.4" hidden="true" customHeight="false" outlineLevel="0" collapsed="false">
      <c r="A165" s="66"/>
      <c r="B165" s="98" t="s">
        <v>221</v>
      </c>
      <c r="C165" s="96" t="s">
        <v>222</v>
      </c>
      <c r="D165" s="41"/>
      <c r="E165" s="89"/>
      <c r="H165" s="66"/>
    </row>
    <row r="166" customFormat="false" ht="14.4" hidden="true" customHeight="false" outlineLevel="0" collapsed="false">
      <c r="A166" s="66"/>
      <c r="B166" s="98" t="s">
        <v>223</v>
      </c>
      <c r="C166" s="96" t="s">
        <v>224</v>
      </c>
      <c r="D166" s="41"/>
      <c r="E166" s="89"/>
      <c r="H166" s="66"/>
    </row>
    <row r="167" customFormat="false" ht="14.4" hidden="true" customHeight="false" outlineLevel="0" collapsed="false">
      <c r="A167" s="66"/>
      <c r="B167" s="98" t="s">
        <v>63</v>
      </c>
      <c r="C167" s="96" t="s">
        <v>225</v>
      </c>
      <c r="D167" s="41"/>
      <c r="E167" s="89"/>
      <c r="H167" s="66"/>
    </row>
    <row r="168" customFormat="false" ht="14.4" hidden="true" customHeight="false" outlineLevel="0" collapsed="false">
      <c r="A168" s="66"/>
      <c r="B168" s="98" t="s">
        <v>226</v>
      </c>
      <c r="C168" s="96" t="s">
        <v>227</v>
      </c>
      <c r="D168" s="41"/>
      <c r="E168" s="89"/>
      <c r="H168" s="66"/>
    </row>
    <row r="169" customFormat="false" ht="14.4" hidden="true" customHeight="false" outlineLevel="0" collapsed="false">
      <c r="A169" s="66"/>
      <c r="B169" s="98" t="s">
        <v>228</v>
      </c>
      <c r="C169" s="96" t="s">
        <v>229</v>
      </c>
      <c r="D169" s="41"/>
      <c r="E169" s="89"/>
      <c r="H169" s="66"/>
    </row>
    <row r="170" customFormat="false" ht="14.4" hidden="true" customHeight="false" outlineLevel="0" collapsed="false">
      <c r="A170" s="66"/>
      <c r="B170" s="98" t="s">
        <v>230</v>
      </c>
      <c r="C170" s="96" t="s">
        <v>231</v>
      </c>
      <c r="D170" s="41"/>
      <c r="E170" s="89"/>
      <c r="H170" s="66"/>
    </row>
    <row r="171" customFormat="false" ht="14.4" hidden="true" customHeight="false" outlineLevel="0" collapsed="false">
      <c r="A171" s="66"/>
      <c r="B171" s="98"/>
      <c r="C171" s="96"/>
      <c r="D171" s="41"/>
      <c r="E171" s="89"/>
      <c r="H171" s="66"/>
    </row>
    <row r="172" customFormat="false" ht="14.4" hidden="true" customHeight="false" outlineLevel="0" collapsed="false">
      <c r="A172" s="104" t="s">
        <v>79</v>
      </c>
      <c r="B172" s="100" t="s">
        <v>29</v>
      </c>
      <c r="C172" s="101" t="s">
        <v>89</v>
      </c>
      <c r="D172" s="102"/>
      <c r="E172" s="89"/>
      <c r="H172" s="104"/>
    </row>
    <row r="173" customFormat="false" ht="14.4" hidden="true" customHeight="false" outlineLevel="0" collapsed="false">
      <c r="A173" s="66"/>
      <c r="B173" s="98" t="s">
        <v>232</v>
      </c>
      <c r="C173" s="96" t="s">
        <v>233</v>
      </c>
      <c r="D173" s="41"/>
      <c r="E173" s="89"/>
      <c r="H173" s="66"/>
    </row>
    <row r="174" customFormat="false" ht="14.4" hidden="true" customHeight="false" outlineLevel="0" collapsed="false">
      <c r="A174" s="66"/>
      <c r="B174" s="98" t="s">
        <v>234</v>
      </c>
      <c r="C174" s="96" t="s">
        <v>235</v>
      </c>
      <c r="D174" s="41"/>
      <c r="E174" s="89"/>
      <c r="H174" s="66"/>
    </row>
    <row r="175" customFormat="false" ht="14.4" hidden="true" customHeight="false" outlineLevel="0" collapsed="false">
      <c r="A175" s="66"/>
      <c r="B175" s="98" t="s">
        <v>236</v>
      </c>
      <c r="C175" s="96" t="s">
        <v>237</v>
      </c>
      <c r="D175" s="41"/>
      <c r="E175" s="89"/>
      <c r="H175" s="66"/>
    </row>
    <row r="176" customFormat="false" ht="14.4" hidden="true" customHeight="false" outlineLevel="0" collapsed="false">
      <c r="A176" s="66"/>
      <c r="B176" s="98" t="s">
        <v>238</v>
      </c>
      <c r="C176" s="96" t="s">
        <v>239</v>
      </c>
      <c r="D176" s="41"/>
      <c r="E176" s="89"/>
      <c r="H176" s="66"/>
    </row>
    <row r="177" customFormat="false" ht="14.4" hidden="true" customHeight="false" outlineLevel="0" collapsed="false">
      <c r="A177" s="66"/>
      <c r="B177" s="98" t="s">
        <v>240</v>
      </c>
      <c r="C177" s="96" t="s">
        <v>241</v>
      </c>
      <c r="D177" s="41"/>
      <c r="E177" s="89"/>
      <c r="H177" s="66"/>
    </row>
    <row r="178" customFormat="false" ht="14.4" hidden="true" customHeight="false" outlineLevel="0" collapsed="false">
      <c r="A178" s="66"/>
      <c r="B178" s="98" t="s">
        <v>242</v>
      </c>
      <c r="C178" s="96" t="s">
        <v>243</v>
      </c>
      <c r="D178" s="41"/>
      <c r="E178" s="89"/>
      <c r="H178" s="66"/>
    </row>
    <row r="179" customFormat="false" ht="14.4" hidden="true" customHeight="false" outlineLevel="0" collapsed="false">
      <c r="A179" s="66"/>
      <c r="B179" s="98" t="s">
        <v>80</v>
      </c>
      <c r="C179" s="96" t="s">
        <v>244</v>
      </c>
      <c r="D179" s="41"/>
      <c r="E179" s="89"/>
      <c r="H179" s="66"/>
    </row>
    <row r="180" customFormat="false" ht="14.4" hidden="true" customHeight="false" outlineLevel="0" collapsed="false">
      <c r="A180" s="66"/>
      <c r="B180" s="98" t="s">
        <v>245</v>
      </c>
      <c r="C180" s="96" t="s">
        <v>246</v>
      </c>
      <c r="D180" s="41"/>
      <c r="E180" s="89"/>
      <c r="H180" s="66"/>
    </row>
    <row r="181" customFormat="false" ht="14.4" hidden="true" customHeight="false" outlineLevel="0" collapsed="false">
      <c r="A181" s="41"/>
      <c r="B181" s="96"/>
      <c r="C181" s="96"/>
      <c r="D181" s="41"/>
      <c r="E181" s="89"/>
      <c r="H181" s="41"/>
    </row>
    <row r="182" customFormat="false" ht="14.4" hidden="true" customHeight="false" outlineLevel="0" collapsed="false">
      <c r="A182" s="104" t="s">
        <v>247</v>
      </c>
      <c r="B182" s="100" t="s">
        <v>29</v>
      </c>
      <c r="C182" s="101" t="s">
        <v>89</v>
      </c>
      <c r="D182" s="102"/>
      <c r="E182" s="89"/>
      <c r="H182" s="104"/>
    </row>
    <row r="183" customFormat="false" ht="14.4" hidden="true" customHeight="false" outlineLevel="0" collapsed="false">
      <c r="A183" s="66"/>
      <c r="B183" s="98" t="s">
        <v>248</v>
      </c>
      <c r="C183" s="96" t="s">
        <v>249</v>
      </c>
      <c r="D183" s="41"/>
      <c r="E183" s="89"/>
      <c r="H183" s="66"/>
    </row>
    <row r="184" customFormat="false" ht="14.4" hidden="true" customHeight="false" outlineLevel="0" collapsed="false">
      <c r="A184" s="66"/>
      <c r="B184" s="98" t="s">
        <v>250</v>
      </c>
      <c r="C184" s="96" t="s">
        <v>251</v>
      </c>
      <c r="D184" s="41"/>
      <c r="E184" s="89"/>
      <c r="H184" s="66"/>
    </row>
    <row r="185" customFormat="false" ht="14.4" hidden="true" customHeight="false" outlineLevel="0" collapsed="false">
      <c r="A185" s="66"/>
      <c r="B185" s="98" t="s">
        <v>252</v>
      </c>
      <c r="C185" s="96" t="s">
        <v>253</v>
      </c>
      <c r="D185" s="41"/>
      <c r="E185" s="89"/>
      <c r="H185" s="66"/>
    </row>
    <row r="186" customFormat="false" ht="14.4" hidden="true" customHeight="false" outlineLevel="0" collapsed="false">
      <c r="A186" s="66"/>
      <c r="B186" s="98" t="s">
        <v>82</v>
      </c>
      <c r="C186" s="96" t="s">
        <v>254</v>
      </c>
      <c r="D186" s="41"/>
      <c r="E186" s="89"/>
      <c r="H186" s="66"/>
    </row>
    <row r="187" customFormat="false" ht="14.4" hidden="true" customHeight="false" outlineLevel="0" collapsed="false">
      <c r="A187" s="66"/>
      <c r="B187" s="96"/>
      <c r="C187" s="96"/>
      <c r="D187" s="41"/>
      <c r="E187" s="89"/>
      <c r="H187" s="66"/>
    </row>
    <row r="188" customFormat="false" ht="14.4" hidden="true" customHeight="false" outlineLevel="0" collapsed="false">
      <c r="A188" s="104" t="s">
        <v>255</v>
      </c>
      <c r="B188" s="100" t="s">
        <v>29</v>
      </c>
      <c r="C188" s="101" t="s">
        <v>89</v>
      </c>
      <c r="D188" s="102"/>
      <c r="E188" s="89"/>
      <c r="H188" s="104"/>
    </row>
    <row r="189" customFormat="false" ht="14.4" hidden="true" customHeight="false" outlineLevel="0" collapsed="false">
      <c r="A189" s="66"/>
      <c r="B189" s="98" t="s">
        <v>65</v>
      </c>
      <c r="C189" s="96" t="s">
        <v>256</v>
      </c>
      <c r="D189" s="41"/>
      <c r="E189" s="89"/>
      <c r="H189" s="66"/>
    </row>
    <row r="190" customFormat="false" ht="14.4" hidden="true" customHeight="false" outlineLevel="0" collapsed="false">
      <c r="A190" s="66"/>
      <c r="B190" s="98" t="s">
        <v>257</v>
      </c>
      <c r="C190" s="96" t="s">
        <v>258</v>
      </c>
      <c r="D190" s="41"/>
      <c r="E190" s="89"/>
      <c r="H190" s="66"/>
    </row>
    <row r="191" customFormat="false" ht="14.4" hidden="true" customHeight="false" outlineLevel="0" collapsed="false">
      <c r="A191" s="66"/>
      <c r="B191" s="98" t="s">
        <v>259</v>
      </c>
      <c r="C191" s="96" t="s">
        <v>260</v>
      </c>
      <c r="D191" s="41"/>
      <c r="E191" s="89"/>
      <c r="H191" s="66"/>
    </row>
    <row r="192" customFormat="false" ht="14.4" hidden="true" customHeight="false" outlineLevel="0" collapsed="false">
      <c r="A192" s="41"/>
      <c r="B192" s="96"/>
      <c r="C192" s="96"/>
      <c r="D192" s="41"/>
      <c r="E192" s="89"/>
      <c r="H192" s="41"/>
    </row>
    <row r="193" customFormat="false" ht="14.4" hidden="true" customHeight="false" outlineLevel="0" collapsed="false">
      <c r="A193" s="104" t="s">
        <v>261</v>
      </c>
      <c r="B193" s="100" t="s">
        <v>29</v>
      </c>
      <c r="C193" s="101" t="s">
        <v>89</v>
      </c>
      <c r="D193" s="102"/>
      <c r="E193" s="89"/>
      <c r="H193" s="104"/>
    </row>
    <row r="194" customFormat="false" ht="14.4" hidden="true" customHeight="false" outlineLevel="0" collapsed="false">
      <c r="A194" s="66"/>
      <c r="B194" s="98" t="s">
        <v>262</v>
      </c>
      <c r="C194" s="96" t="s">
        <v>263</v>
      </c>
      <c r="D194" s="41"/>
      <c r="E194" s="89"/>
      <c r="H194" s="66"/>
    </row>
    <row r="195" customFormat="false" ht="14.4" hidden="true" customHeight="false" outlineLevel="0" collapsed="false">
      <c r="A195" s="66"/>
      <c r="B195" s="98" t="s">
        <v>264</v>
      </c>
      <c r="C195" s="96" t="s">
        <v>265</v>
      </c>
      <c r="D195" s="41"/>
      <c r="E195" s="89"/>
      <c r="H195" s="66"/>
    </row>
    <row r="196" customFormat="false" ht="14.4" hidden="true" customHeight="false" outlineLevel="0" collapsed="false">
      <c r="A196" s="66"/>
      <c r="B196" s="98" t="s">
        <v>266</v>
      </c>
      <c r="C196" s="96" t="s">
        <v>267</v>
      </c>
      <c r="D196" s="41"/>
      <c r="E196" s="89"/>
      <c r="H196" s="66"/>
    </row>
    <row r="197" customFormat="false" ht="14.4" hidden="true" customHeight="false" outlineLevel="0" collapsed="false">
      <c r="A197" s="66"/>
      <c r="B197" s="98" t="s">
        <v>268</v>
      </c>
      <c r="C197" s="96" t="s">
        <v>269</v>
      </c>
      <c r="D197" s="41"/>
      <c r="E197" s="89"/>
      <c r="H197" s="66"/>
    </row>
    <row r="198" customFormat="false" ht="14.4" hidden="true" customHeight="false" outlineLevel="0" collapsed="false">
      <c r="A198" s="66"/>
      <c r="B198" s="98" t="s">
        <v>270</v>
      </c>
      <c r="C198" s="96" t="s">
        <v>271</v>
      </c>
      <c r="D198" s="41"/>
      <c r="E198" s="89"/>
      <c r="H198" s="66"/>
    </row>
    <row r="199" customFormat="false" ht="14.4" hidden="true" customHeight="false" outlineLevel="0" collapsed="false">
      <c r="A199" s="66"/>
      <c r="B199" s="98" t="s">
        <v>272</v>
      </c>
      <c r="C199" s="96" t="s">
        <v>273</v>
      </c>
      <c r="D199" s="41"/>
      <c r="E199" s="89"/>
      <c r="H199" s="66"/>
    </row>
    <row r="200" customFormat="false" ht="14.4" hidden="true" customHeight="false" outlineLevel="0" collapsed="false">
      <c r="A200" s="66"/>
      <c r="B200" s="98" t="s">
        <v>274</v>
      </c>
      <c r="C200" s="96" t="s">
        <v>275</v>
      </c>
      <c r="D200" s="41"/>
      <c r="E200" s="89"/>
      <c r="H200" s="66"/>
    </row>
    <row r="201" customFormat="false" ht="14.4" hidden="true" customHeight="false" outlineLevel="0" collapsed="false">
      <c r="A201" s="41"/>
      <c r="B201" s="96"/>
      <c r="C201" s="96"/>
      <c r="D201" s="41"/>
      <c r="E201" s="89"/>
      <c r="H201" s="41"/>
    </row>
    <row r="202" customFormat="false" ht="14.4" hidden="true" customHeight="false" outlineLevel="0" collapsed="false">
      <c r="A202" s="104" t="s">
        <v>47</v>
      </c>
      <c r="B202" s="100" t="s">
        <v>29</v>
      </c>
      <c r="C202" s="101" t="s">
        <v>89</v>
      </c>
      <c r="D202" s="102"/>
      <c r="E202" s="89"/>
      <c r="H202" s="104"/>
    </row>
    <row r="203" customFormat="false" ht="14.4" hidden="true" customHeight="false" outlineLevel="0" collapsed="false">
      <c r="A203" s="66"/>
      <c r="B203" s="98" t="s">
        <v>48</v>
      </c>
      <c r="C203" s="96" t="s">
        <v>276</v>
      </c>
      <c r="D203" s="41"/>
      <c r="E203" s="89"/>
      <c r="H203" s="66"/>
    </row>
    <row r="204" customFormat="false" ht="14.4" hidden="true" customHeight="false" outlineLevel="0" collapsed="false">
      <c r="A204" s="66"/>
      <c r="B204" s="98" t="s">
        <v>277</v>
      </c>
      <c r="C204" s="96" t="s">
        <v>278</v>
      </c>
      <c r="D204" s="41"/>
      <c r="E204" s="89"/>
      <c r="H204" s="66"/>
    </row>
    <row r="205" customFormat="false" ht="14.4" hidden="true" customHeight="false" outlineLevel="0" collapsed="false">
      <c r="A205" s="66"/>
      <c r="B205" s="98" t="s">
        <v>279</v>
      </c>
      <c r="C205" s="96" t="s">
        <v>280</v>
      </c>
      <c r="D205" s="41"/>
      <c r="E205" s="89"/>
      <c r="H205" s="66"/>
    </row>
    <row r="206" customFormat="false" ht="14.4" hidden="true" customHeight="false" outlineLevel="0" collapsed="false">
      <c r="A206" s="66"/>
      <c r="B206" s="98" t="s">
        <v>281</v>
      </c>
      <c r="C206" s="96" t="s">
        <v>282</v>
      </c>
      <c r="D206" s="41"/>
      <c r="E206" s="89"/>
      <c r="H206" s="66"/>
    </row>
    <row r="207" customFormat="false" ht="14.4" hidden="true" customHeight="false" outlineLevel="0" collapsed="false">
      <c r="A207" s="66"/>
      <c r="B207" s="105" t="s">
        <v>283</v>
      </c>
      <c r="C207" s="106" t="s">
        <v>284</v>
      </c>
      <c r="D207" s="66"/>
      <c r="E207" s="89"/>
      <c r="H207" s="66"/>
    </row>
    <row r="208" customFormat="false" ht="14.4" hidden="true" customHeight="false" outlineLevel="0" collapsed="false">
      <c r="A208" s="66"/>
      <c r="B208" s="98" t="s">
        <v>285</v>
      </c>
      <c r="C208" s="96" t="s">
        <v>286</v>
      </c>
      <c r="D208" s="41"/>
      <c r="E208" s="89"/>
      <c r="H208" s="66"/>
    </row>
    <row r="209" customFormat="false" ht="14.4" hidden="true" customHeight="false" outlineLevel="0" collapsed="false">
      <c r="A209" s="66"/>
      <c r="B209" s="98" t="s">
        <v>287</v>
      </c>
      <c r="C209" s="96" t="s">
        <v>288</v>
      </c>
      <c r="D209" s="41"/>
      <c r="E209" s="89"/>
      <c r="H209" s="66"/>
    </row>
    <row r="210" customFormat="false" ht="14.4" hidden="true" customHeight="false" outlineLevel="0" collapsed="false">
      <c r="A210" s="41"/>
      <c r="B210" s="96"/>
      <c r="C210" s="96"/>
      <c r="D210" s="41"/>
      <c r="E210" s="89"/>
      <c r="H210" s="41"/>
    </row>
    <row r="211" customFormat="false" ht="14.4" hidden="true" customHeight="false" outlineLevel="0" collapsed="false">
      <c r="A211" s="104" t="s">
        <v>39</v>
      </c>
      <c r="B211" s="100" t="s">
        <v>29</v>
      </c>
      <c r="C211" s="101" t="s">
        <v>89</v>
      </c>
      <c r="D211" s="102"/>
      <c r="E211" s="89"/>
      <c r="H211" s="104"/>
    </row>
    <row r="212" customFormat="false" ht="14.4" hidden="true" customHeight="false" outlineLevel="0" collapsed="false">
      <c r="A212" s="66"/>
      <c r="B212" s="98" t="s">
        <v>289</v>
      </c>
      <c r="C212" s="98" t="s">
        <v>290</v>
      </c>
      <c r="D212" s="99"/>
      <c r="E212" s="89"/>
      <c r="H212" s="66"/>
    </row>
    <row r="213" customFormat="false" ht="14.4" hidden="true" customHeight="false" outlineLevel="0" collapsed="false">
      <c r="A213" s="66"/>
      <c r="B213" s="98" t="s">
        <v>291</v>
      </c>
      <c r="C213" s="96" t="s">
        <v>292</v>
      </c>
      <c r="D213" s="41"/>
      <c r="E213" s="89"/>
      <c r="H213" s="66"/>
    </row>
    <row r="214" customFormat="false" ht="14.4" hidden="true" customHeight="false" outlineLevel="0" collapsed="false">
      <c r="A214" s="66"/>
      <c r="B214" s="98" t="s">
        <v>293</v>
      </c>
      <c r="C214" s="96" t="s">
        <v>294</v>
      </c>
      <c r="D214" s="41"/>
      <c r="E214" s="89"/>
      <c r="H214" s="66"/>
    </row>
    <row r="215" customFormat="false" ht="14.4" hidden="true" customHeight="false" outlineLevel="0" collapsed="false">
      <c r="A215" s="66"/>
      <c r="B215" s="98" t="s">
        <v>295</v>
      </c>
      <c r="C215" s="96" t="s">
        <v>296</v>
      </c>
      <c r="D215" s="41"/>
      <c r="E215" s="89"/>
      <c r="H215" s="66"/>
    </row>
    <row r="216" customFormat="false" ht="14.4" hidden="true" customHeight="false" outlineLevel="0" collapsed="false">
      <c r="A216" s="66"/>
      <c r="B216" s="98" t="s">
        <v>40</v>
      </c>
      <c r="C216" s="96" t="s">
        <v>297</v>
      </c>
      <c r="D216" s="41"/>
      <c r="E216" s="89"/>
      <c r="H216" s="66"/>
    </row>
    <row r="217" customFormat="false" ht="14.4" hidden="true" customHeight="false" outlineLevel="0" collapsed="false">
      <c r="A217" s="66"/>
      <c r="B217" s="105" t="s">
        <v>298</v>
      </c>
      <c r="C217" s="106" t="s">
        <v>299</v>
      </c>
      <c r="D217" s="66"/>
      <c r="E217" s="89"/>
      <c r="H217" s="66"/>
    </row>
    <row r="218" customFormat="false" ht="14.4" hidden="true" customHeight="false" outlineLevel="0" collapsed="false">
      <c r="A218" s="66"/>
      <c r="B218" s="98"/>
      <c r="C218" s="96"/>
      <c r="D218" s="41"/>
      <c r="E218" s="89"/>
      <c r="H218" s="66"/>
    </row>
    <row r="219" customFormat="false" ht="14.4" hidden="true" customHeight="false" outlineLevel="0" collapsed="false">
      <c r="A219" s="104" t="s">
        <v>70</v>
      </c>
      <c r="B219" s="100" t="s">
        <v>29</v>
      </c>
      <c r="C219" s="101" t="s">
        <v>89</v>
      </c>
      <c r="D219" s="102"/>
      <c r="E219" s="89"/>
      <c r="H219" s="104"/>
    </row>
    <row r="220" customFormat="false" ht="14.4" hidden="true" customHeight="false" outlineLevel="0" collapsed="false">
      <c r="A220" s="66"/>
      <c r="B220" s="98" t="s">
        <v>71</v>
      </c>
      <c r="C220" s="96" t="s">
        <v>300</v>
      </c>
      <c r="D220" s="41"/>
      <c r="E220" s="89"/>
      <c r="H220" s="66"/>
    </row>
    <row r="221" customFormat="false" ht="14.4" hidden="true" customHeight="false" outlineLevel="0" collapsed="false">
      <c r="A221" s="66"/>
      <c r="B221" s="98" t="s">
        <v>301</v>
      </c>
      <c r="C221" s="96" t="s">
        <v>302</v>
      </c>
      <c r="D221" s="41"/>
      <c r="E221" s="89"/>
      <c r="H221" s="66"/>
    </row>
    <row r="222" customFormat="false" ht="14.4" hidden="true" customHeight="false" outlineLevel="0" collapsed="false">
      <c r="A222" s="66"/>
      <c r="B222" s="98" t="s">
        <v>303</v>
      </c>
      <c r="C222" s="96" t="s">
        <v>304</v>
      </c>
      <c r="D222" s="41"/>
      <c r="E222" s="89"/>
      <c r="H222" s="66"/>
    </row>
    <row r="223" customFormat="false" ht="14.4" hidden="true" customHeight="false" outlineLevel="0" collapsed="false">
      <c r="A223" s="66"/>
      <c r="B223" s="98" t="s">
        <v>305</v>
      </c>
      <c r="C223" s="96" t="s">
        <v>306</v>
      </c>
      <c r="D223" s="41"/>
      <c r="E223" s="89"/>
      <c r="H223" s="66"/>
    </row>
    <row r="224" customFormat="false" ht="14.4" hidden="true" customHeight="false" outlineLevel="0" collapsed="false">
      <c r="A224" s="66"/>
      <c r="B224" s="105" t="s">
        <v>307</v>
      </c>
      <c r="C224" s="106" t="s">
        <v>308</v>
      </c>
      <c r="D224" s="66"/>
      <c r="E224" s="89"/>
      <c r="H224" s="66"/>
    </row>
    <row r="225" customFormat="false" ht="14.4" hidden="true" customHeight="false" outlineLevel="0" collapsed="false">
      <c r="A225" s="66"/>
      <c r="B225" s="98" t="s">
        <v>309</v>
      </c>
      <c r="C225" s="96" t="s">
        <v>310</v>
      </c>
      <c r="D225" s="41"/>
      <c r="E225" s="89"/>
      <c r="H225" s="66"/>
    </row>
    <row r="226" customFormat="false" ht="14.4" hidden="true" customHeight="false" outlineLevel="0" collapsed="false">
      <c r="B226" s="103"/>
      <c r="C226" s="103"/>
      <c r="E226" s="89"/>
    </row>
    <row r="227" customFormat="false" ht="14.4" hidden="true" customHeight="false" outlineLevel="0" collapsed="false">
      <c r="B227" s="103"/>
      <c r="C227" s="103"/>
      <c r="E227" s="89"/>
    </row>
    <row r="228" customFormat="false" ht="14.4" hidden="true" customHeight="false" outlineLevel="0" collapsed="false">
      <c r="A228" s="104" t="s">
        <v>68</v>
      </c>
      <c r="B228" s="100" t="s">
        <v>29</v>
      </c>
      <c r="C228" s="101" t="s">
        <v>89</v>
      </c>
      <c r="D228" s="102"/>
      <c r="E228" s="89"/>
    </row>
    <row r="229" customFormat="false" ht="14.4" hidden="true" customHeight="false" outlineLevel="0" collapsed="false">
      <c r="B229" s="98" t="s">
        <v>156</v>
      </c>
      <c r="C229" s="96" t="s">
        <v>157</v>
      </c>
      <c r="D229" s="41"/>
      <c r="E229" s="89"/>
      <c r="I229" s="99"/>
    </row>
    <row r="230" customFormat="false" ht="14.4" hidden="true" customHeight="false" outlineLevel="0" collapsed="false">
      <c r="B230" s="98" t="s">
        <v>171</v>
      </c>
      <c r="C230" s="96" t="s">
        <v>172</v>
      </c>
      <c r="D230" s="41"/>
      <c r="E230" s="89"/>
      <c r="I230" s="99"/>
    </row>
    <row r="231" customFormat="false" ht="14.4" hidden="true" customHeight="false" outlineLevel="0" collapsed="false">
      <c r="B231" s="98" t="s">
        <v>46</v>
      </c>
      <c r="C231" s="96" t="s">
        <v>158</v>
      </c>
      <c r="D231" s="41"/>
      <c r="E231" s="89"/>
      <c r="I231" s="99"/>
    </row>
    <row r="232" customFormat="false" ht="14.4" hidden="true" customHeight="false" outlineLevel="0" collapsed="false">
      <c r="B232" s="98" t="s">
        <v>173</v>
      </c>
      <c r="C232" s="96" t="s">
        <v>174</v>
      </c>
      <c r="D232" s="41"/>
      <c r="E232" s="89"/>
      <c r="I232" s="99"/>
    </row>
    <row r="233" customFormat="false" ht="14.4" hidden="true" customHeight="false" outlineLevel="0" collapsed="false">
      <c r="B233" s="98" t="s">
        <v>159</v>
      </c>
      <c r="C233" s="96" t="s">
        <v>160</v>
      </c>
      <c r="D233" s="41"/>
      <c r="E233" s="89"/>
      <c r="I233" s="99"/>
    </row>
    <row r="234" customFormat="false" ht="14.4" hidden="true" customHeight="false" outlineLevel="0" collapsed="false">
      <c r="B234" s="98" t="s">
        <v>175</v>
      </c>
      <c r="C234" s="96" t="s">
        <v>176</v>
      </c>
      <c r="D234" s="41"/>
      <c r="E234" s="89"/>
      <c r="I234" s="99"/>
    </row>
    <row r="235" customFormat="false" ht="14.4" hidden="true" customHeight="false" outlineLevel="0" collapsed="false">
      <c r="B235" s="98" t="s">
        <v>161</v>
      </c>
      <c r="C235" s="96" t="s">
        <v>162</v>
      </c>
      <c r="D235" s="41"/>
      <c r="E235" s="89"/>
      <c r="I235" s="99"/>
    </row>
    <row r="236" customFormat="false" ht="14.4" hidden="true" customHeight="false" outlineLevel="0" collapsed="false">
      <c r="B236" s="98" t="s">
        <v>177</v>
      </c>
      <c r="C236" s="96" t="s">
        <v>178</v>
      </c>
      <c r="D236" s="41"/>
      <c r="E236" s="89"/>
      <c r="I236" s="99"/>
    </row>
    <row r="237" customFormat="false" ht="14.4" hidden="true" customHeight="false" outlineLevel="0" collapsed="false">
      <c r="B237" s="98" t="s">
        <v>163</v>
      </c>
      <c r="C237" s="96" t="s">
        <v>164</v>
      </c>
      <c r="D237" s="41"/>
      <c r="E237" s="89"/>
      <c r="I237" s="41"/>
      <c r="K237" s="41"/>
    </row>
    <row r="238" customFormat="false" ht="14.4" hidden="true" customHeight="false" outlineLevel="0" collapsed="false">
      <c r="B238" s="98" t="s">
        <v>179</v>
      </c>
      <c r="C238" s="96" t="s">
        <v>180</v>
      </c>
      <c r="D238" s="41"/>
      <c r="E238" s="89"/>
      <c r="I238" s="41"/>
      <c r="K238" s="41"/>
    </row>
    <row r="239" customFormat="false" ht="14.4" hidden="true" customHeight="false" outlineLevel="0" collapsed="false">
      <c r="B239" s="98" t="s">
        <v>69</v>
      </c>
      <c r="C239" s="96" t="s">
        <v>165</v>
      </c>
      <c r="D239" s="41"/>
      <c r="E239" s="89"/>
      <c r="I239" s="99"/>
    </row>
    <row r="240" customFormat="false" ht="14.4" hidden="true" customHeight="false" outlineLevel="0" collapsed="false">
      <c r="B240" s="98" t="s">
        <v>166</v>
      </c>
      <c r="C240" s="96" t="s">
        <v>167</v>
      </c>
      <c r="D240" s="41"/>
      <c r="E240" s="89"/>
      <c r="I240" s="99"/>
    </row>
    <row r="241" customFormat="false" ht="14.4" hidden="true" customHeight="false" outlineLevel="0" collapsed="false">
      <c r="B241" s="98" t="s">
        <v>168</v>
      </c>
      <c r="C241" s="96" t="s">
        <v>169</v>
      </c>
      <c r="D241" s="41"/>
      <c r="E241" s="89"/>
      <c r="I241" s="99"/>
    </row>
    <row r="242" customFormat="false" ht="14.4" hidden="true" customHeight="false" outlineLevel="0" collapsed="false">
      <c r="B242" s="100" t="s">
        <v>29</v>
      </c>
      <c r="C242" s="101" t="s">
        <v>89</v>
      </c>
      <c r="D242" s="102"/>
      <c r="E242" s="89"/>
      <c r="I242" s="99"/>
    </row>
    <row r="243" customFormat="false" ht="14.4" hidden="true" customHeight="false" outlineLevel="0" collapsed="false">
      <c r="A243" s="104" t="s">
        <v>311</v>
      </c>
      <c r="B243" s="98" t="s">
        <v>289</v>
      </c>
      <c r="C243" s="98" t="s">
        <v>290</v>
      </c>
      <c r="D243" s="99"/>
      <c r="E243" s="89"/>
      <c r="I243" s="99"/>
    </row>
    <row r="244" customFormat="false" ht="14.4" hidden="true" customHeight="false" outlineLevel="0" collapsed="false">
      <c r="B244" s="98" t="s">
        <v>71</v>
      </c>
      <c r="C244" s="96" t="s">
        <v>300</v>
      </c>
      <c r="D244" s="41"/>
      <c r="E244" s="89"/>
      <c r="I244" s="99"/>
    </row>
    <row r="245" customFormat="false" ht="14.4" hidden="true" customHeight="false" outlineLevel="0" collapsed="false">
      <c r="B245" s="98" t="s">
        <v>291</v>
      </c>
      <c r="C245" s="96" t="s">
        <v>292</v>
      </c>
      <c r="D245" s="41"/>
      <c r="E245" s="89"/>
      <c r="I245" s="99"/>
    </row>
    <row r="246" customFormat="false" ht="14.4" hidden="true" customHeight="false" outlineLevel="0" collapsed="false">
      <c r="B246" s="98" t="s">
        <v>301</v>
      </c>
      <c r="C246" s="96" t="s">
        <v>302</v>
      </c>
      <c r="D246" s="41"/>
      <c r="E246" s="91"/>
      <c r="I246" s="99"/>
    </row>
    <row r="247" customFormat="false" ht="14.4" hidden="true" customHeight="false" outlineLevel="0" collapsed="false">
      <c r="B247" s="98" t="s">
        <v>293</v>
      </c>
      <c r="C247" s="96" t="s">
        <v>294</v>
      </c>
      <c r="D247" s="41"/>
      <c r="E247" s="107"/>
      <c r="I247" s="99"/>
    </row>
    <row r="248" customFormat="false" ht="14.4" hidden="true" customHeight="false" outlineLevel="0" collapsed="false">
      <c r="B248" s="98" t="s">
        <v>303</v>
      </c>
      <c r="C248" s="96" t="s">
        <v>304</v>
      </c>
      <c r="D248" s="41"/>
      <c r="E248" s="91"/>
      <c r="I248" s="92"/>
    </row>
    <row r="249" customFormat="false" ht="14.4" hidden="true" customHeight="false" outlineLevel="0" collapsed="false">
      <c r="B249" s="98" t="s">
        <v>295</v>
      </c>
      <c r="C249" s="96" t="s">
        <v>296</v>
      </c>
      <c r="D249" s="41"/>
      <c r="E249" s="107"/>
      <c r="I249" s="99"/>
      <c r="K249" s="41"/>
    </row>
    <row r="250" customFormat="false" ht="14.4" hidden="true" customHeight="false" outlineLevel="0" collapsed="false">
      <c r="B250" s="98" t="s">
        <v>305</v>
      </c>
      <c r="C250" s="96" t="s">
        <v>306</v>
      </c>
      <c r="D250" s="41"/>
      <c r="E250" s="89"/>
      <c r="I250" s="41"/>
      <c r="K250" s="41"/>
    </row>
    <row r="251" customFormat="false" ht="14.4" hidden="true" customHeight="false" outlineLevel="0" collapsed="false">
      <c r="B251" s="98" t="s">
        <v>40</v>
      </c>
      <c r="C251" s="96" t="s">
        <v>297</v>
      </c>
      <c r="D251" s="41"/>
      <c r="E251" s="107"/>
      <c r="I251" s="99"/>
    </row>
    <row r="252" customFormat="false" ht="14.4" hidden="true" customHeight="false" outlineLevel="0" collapsed="false">
      <c r="B252" s="105" t="s">
        <v>307</v>
      </c>
      <c r="C252" s="106" t="s">
        <v>308</v>
      </c>
      <c r="D252" s="66"/>
      <c r="E252" s="108"/>
      <c r="I252" s="99"/>
    </row>
    <row r="253" customFormat="false" ht="14.4" hidden="true" customHeight="false" outlineLevel="0" collapsed="false">
      <c r="B253" s="105" t="s">
        <v>298</v>
      </c>
      <c r="C253" s="106" t="s">
        <v>299</v>
      </c>
      <c r="D253" s="66"/>
      <c r="E253" s="107"/>
      <c r="I253" s="99"/>
    </row>
    <row r="254" customFormat="false" ht="14.4" hidden="true" customHeight="false" outlineLevel="0" collapsed="false">
      <c r="B254" s="98" t="s">
        <v>309</v>
      </c>
      <c r="C254" s="96" t="s">
        <v>310</v>
      </c>
      <c r="D254" s="41"/>
      <c r="E254" s="108"/>
      <c r="I254" s="99"/>
    </row>
    <row r="255" customFormat="false" ht="14.4" hidden="true" customHeight="false" outlineLevel="0" collapsed="false">
      <c r="B255" s="100" t="s">
        <v>29</v>
      </c>
      <c r="C255" s="101" t="s">
        <v>89</v>
      </c>
      <c r="D255" s="102"/>
      <c r="E255" s="107"/>
      <c r="I255" s="92"/>
    </row>
    <row r="256" customFormat="false" ht="14.4" hidden="true" customHeight="false" outlineLevel="0" collapsed="false">
      <c r="A256" s="104" t="s">
        <v>45</v>
      </c>
      <c r="B256" s="98" t="s">
        <v>262</v>
      </c>
      <c r="C256" s="96" t="s">
        <v>263</v>
      </c>
      <c r="D256" s="41"/>
      <c r="E256" s="108"/>
      <c r="I256" s="99"/>
    </row>
    <row r="257" customFormat="false" ht="14.4" hidden="true" customHeight="false" outlineLevel="0" collapsed="false">
      <c r="B257" s="98" t="s">
        <v>156</v>
      </c>
      <c r="C257" s="96" t="s">
        <v>157</v>
      </c>
      <c r="D257" s="41"/>
      <c r="E257" s="107"/>
      <c r="I257" s="99"/>
    </row>
    <row r="258" customFormat="false" ht="14.4" hidden="true" customHeight="false" outlineLevel="0" collapsed="false">
      <c r="B258" s="98" t="s">
        <v>264</v>
      </c>
      <c r="C258" s="96" t="s">
        <v>265</v>
      </c>
      <c r="D258" s="41"/>
      <c r="E258" s="108"/>
      <c r="I258" s="99"/>
    </row>
    <row r="259" customFormat="false" ht="14.4" hidden="true" customHeight="false" outlineLevel="0" collapsed="false">
      <c r="B259" s="98" t="s">
        <v>171</v>
      </c>
      <c r="C259" s="96" t="s">
        <v>172</v>
      </c>
      <c r="D259" s="41"/>
      <c r="E259" s="107"/>
      <c r="I259" s="99"/>
    </row>
    <row r="260" customFormat="false" ht="14.4" hidden="true" customHeight="false" outlineLevel="0" collapsed="false">
      <c r="B260" s="98" t="s">
        <v>266</v>
      </c>
      <c r="C260" s="96" t="s">
        <v>267</v>
      </c>
      <c r="D260" s="41"/>
      <c r="E260" s="108"/>
      <c r="I260" s="99"/>
    </row>
    <row r="261" customFormat="false" ht="14.4" hidden="true" customHeight="false" outlineLevel="0" collapsed="false">
      <c r="B261" s="98" t="s">
        <v>46</v>
      </c>
      <c r="C261" s="96" t="s">
        <v>158</v>
      </c>
      <c r="D261" s="41"/>
      <c r="E261" s="107"/>
      <c r="I261" s="99"/>
    </row>
    <row r="262" customFormat="false" ht="14.4" hidden="true" customHeight="false" outlineLevel="0" collapsed="false">
      <c r="B262" s="98" t="s">
        <v>268</v>
      </c>
      <c r="C262" s="96" t="s">
        <v>269</v>
      </c>
      <c r="D262" s="41"/>
      <c r="E262" s="108"/>
      <c r="I262" s="99"/>
    </row>
    <row r="263" customFormat="false" ht="14.4" hidden="true" customHeight="false" outlineLevel="0" collapsed="false">
      <c r="B263" s="98" t="s">
        <v>173</v>
      </c>
      <c r="C263" s="96" t="s">
        <v>174</v>
      </c>
      <c r="D263" s="41"/>
      <c r="E263" s="107"/>
    </row>
    <row r="264" customFormat="false" ht="14.4" hidden="true" customHeight="false" outlineLevel="0" collapsed="false">
      <c r="B264" s="98" t="s">
        <v>270</v>
      </c>
      <c r="C264" s="96" t="s">
        <v>271</v>
      </c>
      <c r="D264" s="41"/>
      <c r="E264" s="108"/>
    </row>
    <row r="265" customFormat="false" ht="14.4" hidden="true" customHeight="false" outlineLevel="0" collapsed="false">
      <c r="B265" s="98" t="s">
        <v>159</v>
      </c>
      <c r="C265" s="96" t="s">
        <v>160</v>
      </c>
      <c r="D265" s="41"/>
      <c r="E265" s="107"/>
      <c r="I265" s="99"/>
    </row>
    <row r="266" customFormat="false" ht="14.4" hidden="true" customHeight="false" outlineLevel="0" collapsed="false">
      <c r="B266" s="98" t="s">
        <v>272</v>
      </c>
      <c r="C266" s="96" t="s">
        <v>273</v>
      </c>
      <c r="D266" s="41"/>
      <c r="E266" s="108"/>
      <c r="I266" s="99"/>
    </row>
    <row r="267" customFormat="false" ht="14.4" hidden="true" customHeight="false" outlineLevel="0" collapsed="false">
      <c r="B267" s="98" t="s">
        <v>175</v>
      </c>
      <c r="C267" s="96" t="s">
        <v>176</v>
      </c>
      <c r="D267" s="41"/>
      <c r="E267" s="107"/>
      <c r="I267" s="99"/>
    </row>
    <row r="268" customFormat="false" ht="14.4" hidden="true" customHeight="false" outlineLevel="0" collapsed="false">
      <c r="B268" s="98" t="s">
        <v>274</v>
      </c>
      <c r="C268" s="96" t="s">
        <v>275</v>
      </c>
      <c r="D268" s="41"/>
      <c r="E268" s="108"/>
      <c r="I268" s="99"/>
    </row>
    <row r="269" customFormat="false" ht="14.4" hidden="true" customHeight="false" outlineLevel="0" collapsed="false">
      <c r="B269" s="98" t="s">
        <v>161</v>
      </c>
      <c r="C269" s="96" t="s">
        <v>162</v>
      </c>
      <c r="D269" s="41"/>
      <c r="E269" s="107"/>
      <c r="I269" s="99"/>
    </row>
    <row r="270" customFormat="false" ht="14.4" hidden="true" customHeight="false" outlineLevel="0" collapsed="false">
      <c r="B270" s="98" t="s">
        <v>177</v>
      </c>
      <c r="C270" s="96" t="s">
        <v>178</v>
      </c>
      <c r="D270" s="41"/>
      <c r="E270" s="108"/>
      <c r="I270" s="99"/>
    </row>
    <row r="271" customFormat="false" ht="14.4" hidden="true" customHeight="false" outlineLevel="0" collapsed="false">
      <c r="B271" s="98" t="s">
        <v>163</v>
      </c>
      <c r="C271" s="96" t="s">
        <v>164</v>
      </c>
      <c r="D271" s="41"/>
      <c r="E271" s="107"/>
      <c r="I271" s="99"/>
    </row>
    <row r="272" customFormat="false" ht="14.4" hidden="true" customHeight="false" outlineLevel="0" collapsed="false">
      <c r="B272" s="98" t="s">
        <v>179</v>
      </c>
      <c r="C272" s="96" t="s">
        <v>180</v>
      </c>
      <c r="D272" s="41"/>
      <c r="E272" s="108"/>
      <c r="I272" s="99"/>
    </row>
    <row r="273" customFormat="false" ht="14.4" hidden="true" customHeight="false" outlineLevel="0" collapsed="false">
      <c r="B273" s="98" t="s">
        <v>69</v>
      </c>
      <c r="C273" s="96" t="s">
        <v>165</v>
      </c>
      <c r="D273" s="41"/>
      <c r="E273" s="107"/>
      <c r="I273" s="99"/>
    </row>
    <row r="274" customFormat="false" ht="14.4" hidden="true" customHeight="false" outlineLevel="0" collapsed="false">
      <c r="B274" s="98" t="s">
        <v>166</v>
      </c>
      <c r="C274" s="96" t="s">
        <v>167</v>
      </c>
      <c r="D274" s="41"/>
      <c r="E274" s="108"/>
      <c r="I274" s="99"/>
    </row>
    <row r="275" customFormat="false" ht="14.4" hidden="true" customHeight="false" outlineLevel="0" collapsed="false">
      <c r="B275" s="98" t="s">
        <v>168</v>
      </c>
      <c r="C275" s="96" t="s">
        <v>169</v>
      </c>
      <c r="D275" s="41"/>
      <c r="E275" s="107"/>
      <c r="I275" s="99"/>
    </row>
    <row r="276" customFormat="false" ht="14.4" hidden="true" customHeight="false" outlineLevel="0" collapsed="false">
      <c r="B276" s="98"/>
      <c r="C276" s="96"/>
      <c r="D276" s="41"/>
      <c r="E276" s="107"/>
      <c r="I276" s="99"/>
    </row>
    <row r="277" customFormat="false" ht="14.4" hidden="true" customHeight="false" outlineLevel="0" collapsed="false">
      <c r="B277" s="100" t="s">
        <v>29</v>
      </c>
      <c r="C277" s="101" t="s">
        <v>89</v>
      </c>
      <c r="D277" s="102"/>
      <c r="E277" s="108"/>
      <c r="I277" s="99"/>
    </row>
    <row r="278" customFormat="false" ht="14.4" hidden="true" customHeight="false" outlineLevel="0" collapsed="false">
      <c r="A278" s="104" t="s">
        <v>312</v>
      </c>
      <c r="B278" s="98" t="s">
        <v>132</v>
      </c>
      <c r="C278" s="96" t="s">
        <v>133</v>
      </c>
      <c r="D278" s="41"/>
      <c r="E278" s="107"/>
      <c r="I278" s="41"/>
    </row>
    <row r="279" customFormat="false" ht="14.4" hidden="true" customHeight="false" outlineLevel="0" collapsed="false">
      <c r="B279" s="98" t="s">
        <v>139</v>
      </c>
      <c r="C279" s="96" t="s">
        <v>140</v>
      </c>
      <c r="D279" s="41"/>
      <c r="E279" s="108"/>
      <c r="I279" s="99"/>
    </row>
    <row r="280" customFormat="false" ht="14.4" hidden="true" customHeight="false" outlineLevel="0" collapsed="false">
      <c r="B280" s="98" t="s">
        <v>134</v>
      </c>
      <c r="C280" s="96" t="s">
        <v>135</v>
      </c>
      <c r="D280" s="41"/>
      <c r="E280" s="107"/>
      <c r="I280" s="99"/>
    </row>
    <row r="281" customFormat="false" ht="14.4" hidden="true" customHeight="false" outlineLevel="0" collapsed="false">
      <c r="B281" s="98" t="s">
        <v>141</v>
      </c>
      <c r="C281" s="96" t="s">
        <v>142</v>
      </c>
      <c r="D281" s="41"/>
      <c r="E281" s="89"/>
      <c r="I281" s="99"/>
    </row>
    <row r="282" customFormat="false" ht="14.4" hidden="true" customHeight="false" outlineLevel="0" collapsed="false">
      <c r="B282" s="98" t="s">
        <v>76</v>
      </c>
      <c r="C282" s="96" t="s">
        <v>136</v>
      </c>
      <c r="D282" s="41"/>
      <c r="E282" s="89"/>
      <c r="I282" s="99"/>
    </row>
    <row r="283" customFormat="false" ht="14.4" hidden="true" customHeight="false" outlineLevel="0" collapsed="false">
      <c r="B283" s="98" t="s">
        <v>143</v>
      </c>
      <c r="C283" s="96" t="s">
        <v>144</v>
      </c>
      <c r="D283" s="41"/>
      <c r="E283" s="107"/>
      <c r="I283" s="41"/>
      <c r="K283" s="41"/>
    </row>
    <row r="284" customFormat="false" ht="14.4" hidden="true" customHeight="false" outlineLevel="0" collapsed="false">
      <c r="B284" s="98" t="s">
        <v>137</v>
      </c>
      <c r="C284" s="96" t="s">
        <v>138</v>
      </c>
      <c r="D284" s="41"/>
      <c r="E284" s="107"/>
      <c r="I284" s="99"/>
      <c r="K284" s="41"/>
    </row>
    <row r="285" customFormat="false" ht="14.4" hidden="true" customHeight="false" outlineLevel="0" collapsed="false">
      <c r="B285" s="98" t="s">
        <v>54</v>
      </c>
      <c r="C285" s="96" t="s">
        <v>145</v>
      </c>
      <c r="D285" s="41"/>
      <c r="E285" s="107"/>
      <c r="I285" s="99"/>
    </row>
    <row r="286" customFormat="false" ht="14.4" hidden="true" customHeight="false" outlineLevel="0" collapsed="false">
      <c r="B286" s="98" t="s">
        <v>146</v>
      </c>
      <c r="C286" s="96" t="s">
        <v>147</v>
      </c>
      <c r="D286" s="41"/>
      <c r="E286" s="107"/>
      <c r="I286" s="99"/>
    </row>
    <row r="288" customFormat="false" ht="14.4" hidden="true" customHeight="false" outlineLevel="0" collapsed="false">
      <c r="B288" s="103" t="s">
        <v>313</v>
      </c>
      <c r="C288" s="103" t="s">
        <v>314</v>
      </c>
      <c r="D288" s="103" t="s">
        <v>315</v>
      </c>
      <c r="E288" s="103" t="s">
        <v>316</v>
      </c>
    </row>
    <row r="289" customFormat="false" ht="14.4" hidden="true" customHeight="false" outlineLevel="0" collapsed="false">
      <c r="B289" s="0" t="s">
        <v>55</v>
      </c>
      <c r="C289" s="41" t="s">
        <v>55</v>
      </c>
      <c r="D289" s="41" t="s">
        <v>317</v>
      </c>
      <c r="E289" s="41" t="str">
        <f aca="false">CONCATENATE(Table_Name[[#This Row],[Table name]],"[Link]")</f>
        <v>Abs[Link]</v>
      </c>
    </row>
    <row r="290" customFormat="false" ht="14.4" hidden="true" customHeight="false" outlineLevel="0" collapsed="false">
      <c r="B290" s="0" t="s">
        <v>66</v>
      </c>
      <c r="C290" s="41" t="s">
        <v>66</v>
      </c>
      <c r="D290" s="41" t="s">
        <v>318</v>
      </c>
      <c r="E290" s="41" t="str">
        <f aca="false">CONCATENATE(Table_Name[[#This Row],[Table name]],"[Link]")</f>
        <v>Calves[Link]</v>
      </c>
    </row>
    <row r="291" customFormat="false" ht="14.4" hidden="true" customHeight="false" outlineLevel="0" collapsed="false">
      <c r="B291" s="0" t="s">
        <v>83</v>
      </c>
      <c r="C291" s="41" t="s">
        <v>83</v>
      </c>
      <c r="D291" s="41" t="s">
        <v>319</v>
      </c>
      <c r="E291" s="41" t="str">
        <f aca="false">CONCATENATE(Table_Name[[#This Row],[Table name]],"[Link]")</f>
        <v>Biceps[Link]</v>
      </c>
    </row>
    <row r="292" customFormat="false" ht="14.4" hidden="true" customHeight="false" outlineLevel="0" collapsed="false">
      <c r="B292" s="0" t="s">
        <v>131</v>
      </c>
      <c r="C292" s="41" t="s">
        <v>320</v>
      </c>
      <c r="D292" s="41" t="s">
        <v>321</v>
      </c>
      <c r="E292" s="41" t="str">
        <f aca="false">CONCATENATE(Table_Name[[#This Row],[Table name]],"[Link]")</f>
        <v>Rear_Delts[Link]</v>
      </c>
    </row>
    <row r="293" customFormat="false" ht="14.4" hidden="true" customHeight="false" outlineLevel="0" collapsed="false">
      <c r="B293" s="0" t="s">
        <v>53</v>
      </c>
      <c r="C293" s="41" t="s">
        <v>322</v>
      </c>
      <c r="D293" s="41" t="s">
        <v>323</v>
      </c>
      <c r="E293" s="41" t="str">
        <f aca="false">CONCATENATE(Table_Name[[#This Row],[Table name]],"[Link]")</f>
        <v>Side_Delts[Link]</v>
      </c>
    </row>
    <row r="294" customFormat="false" ht="14.4" hidden="true" customHeight="false" outlineLevel="0" collapsed="false">
      <c r="B294" s="0" t="s">
        <v>85</v>
      </c>
      <c r="C294" s="41" t="s">
        <v>85</v>
      </c>
      <c r="D294" s="41" t="s">
        <v>324</v>
      </c>
      <c r="E294" s="41" t="str">
        <f aca="false">CONCATENATE(Table_Name[[#This Row],[Table name]],"[Link]")</f>
        <v>Traps[Link]</v>
      </c>
    </row>
    <row r="295" customFormat="false" ht="14.4" hidden="true" customHeight="false" outlineLevel="0" collapsed="false">
      <c r="B295" s="0" t="s">
        <v>155</v>
      </c>
      <c r="C295" s="41" t="s">
        <v>325</v>
      </c>
      <c r="D295" s="41" t="s">
        <v>326</v>
      </c>
      <c r="E295" s="41" t="str">
        <f aca="false">CONCATENATE(Table_Name[[#This Row],[Table name]],"[Link]")</f>
        <v>Horizontal_Triceps[Link]</v>
      </c>
    </row>
    <row r="296" customFormat="false" ht="14.4" hidden="true" customHeight="false" outlineLevel="0" collapsed="false">
      <c r="B296" s="0" t="s">
        <v>170</v>
      </c>
      <c r="C296" s="41" t="s">
        <v>327</v>
      </c>
      <c r="D296" s="41" t="s">
        <v>328</v>
      </c>
      <c r="E296" s="41" t="str">
        <f aca="false">CONCATENATE(Table_Name[[#This Row],[Table name]],"[Link]")</f>
        <v>Vertical_Triceps[Link]</v>
      </c>
    </row>
    <row r="297" customFormat="false" ht="14.4" hidden="true" customHeight="false" outlineLevel="0" collapsed="false">
      <c r="B297" s="0" t="s">
        <v>49</v>
      </c>
      <c r="C297" s="41" t="s">
        <v>329</v>
      </c>
      <c r="D297" s="41" t="s">
        <v>330</v>
      </c>
      <c r="E297" s="41" t="str">
        <f aca="false">CONCATENATE(Table_Name[[#This Row],[Table name]],"[Link]")</f>
        <v>Horizonal_Back[Link]</v>
      </c>
    </row>
    <row r="298" customFormat="false" ht="14.4" hidden="true" customHeight="false" outlineLevel="0" collapsed="false">
      <c r="B298" s="0" t="s">
        <v>51</v>
      </c>
      <c r="C298" s="41" t="s">
        <v>331</v>
      </c>
      <c r="D298" s="41" t="s">
        <v>332</v>
      </c>
      <c r="E298" s="41" t="str">
        <f aca="false">CONCATENATE(Table_Name[[#This Row],[Table name]],"[Link]")</f>
        <v>Vertical_Back[Link]</v>
      </c>
    </row>
    <row r="299" customFormat="false" ht="14.4" hidden="true" customHeight="false" outlineLevel="0" collapsed="false">
      <c r="B299" s="0" t="s">
        <v>61</v>
      </c>
      <c r="C299" s="41" t="s">
        <v>61</v>
      </c>
      <c r="D299" s="41" t="s">
        <v>333</v>
      </c>
      <c r="E299" s="41" t="str">
        <f aca="false">CONCATENATE(Table_Name[[#This Row],[Table name]],"[Link]")</f>
        <v>Quads[Link]</v>
      </c>
    </row>
    <row r="300" customFormat="false" ht="14.4" hidden="true" customHeight="false" outlineLevel="0" collapsed="false">
      <c r="B300" s="0" t="s">
        <v>79</v>
      </c>
      <c r="C300" s="41" t="s">
        <v>79</v>
      </c>
      <c r="D300" s="41" t="s">
        <v>334</v>
      </c>
      <c r="E300" s="41" t="str">
        <f aca="false">CONCATENATE(Table_Name[[#This Row],[Table name]],"[Link]")</f>
        <v>Glutes[Link]</v>
      </c>
    </row>
    <row r="301" customFormat="false" ht="14.4" hidden="true" customHeight="false" outlineLevel="0" collapsed="false">
      <c r="B301" s="0" t="s">
        <v>81</v>
      </c>
      <c r="C301" s="41" t="s">
        <v>335</v>
      </c>
      <c r="D301" s="41" t="s">
        <v>336</v>
      </c>
      <c r="E301" s="41" t="str">
        <f aca="false">CONCATENATE(Table_Name[[#This Row],[Table name]],"[Link]")</f>
        <v>Hamstrings_Hip_Hinge[Link]</v>
      </c>
    </row>
    <row r="302" customFormat="false" ht="14.4" hidden="true" customHeight="false" outlineLevel="0" collapsed="false">
      <c r="B302" s="0" t="s">
        <v>64</v>
      </c>
      <c r="C302" s="41" t="s">
        <v>337</v>
      </c>
      <c r="D302" s="41" t="s">
        <v>338</v>
      </c>
      <c r="E302" s="41" t="str">
        <f aca="false">CONCATENATE(Table_Name[[#This Row],[Table name]],"[Link]")</f>
        <v>Hamstrings_Isolation[Link]</v>
      </c>
    </row>
    <row r="303" customFormat="false" ht="14.4" hidden="true" customHeight="false" outlineLevel="0" collapsed="false">
      <c r="B303" s="0" t="s">
        <v>261</v>
      </c>
      <c r="C303" s="41" t="s">
        <v>339</v>
      </c>
      <c r="D303" s="41" t="s">
        <v>340</v>
      </c>
      <c r="E303" s="41" t="str">
        <f aca="false">CONCATENATE(Table_Name[[#This Row],[Table name]],"[Link]")</f>
        <v>Chest_Isolation[Link]</v>
      </c>
    </row>
    <row r="304" customFormat="false" ht="14.4" hidden="true" customHeight="false" outlineLevel="0" collapsed="false">
      <c r="B304" s="0" t="s">
        <v>47</v>
      </c>
      <c r="C304" s="41" t="s">
        <v>341</v>
      </c>
      <c r="D304" s="41" t="s">
        <v>342</v>
      </c>
      <c r="E304" s="41" t="str">
        <f aca="false">CONCATENATE(Table_Name[[#This Row],[Table name]],"[Link]")</f>
        <v>Horizontal_Push[Link]</v>
      </c>
    </row>
    <row r="305" customFormat="false" ht="14.4" hidden="true" customHeight="false" outlineLevel="0" collapsed="false">
      <c r="B305" s="0" t="s">
        <v>39</v>
      </c>
      <c r="C305" s="41" t="s">
        <v>343</v>
      </c>
      <c r="D305" s="41" t="s">
        <v>344</v>
      </c>
      <c r="E305" s="41" t="str">
        <f aca="false">CONCATENATE(Table_Name[[#This Row],[Table name]],"[Link]")</f>
        <v>Incline_Push[Link]</v>
      </c>
    </row>
    <row r="306" customFormat="false" ht="14.4" hidden="true" customHeight="false" outlineLevel="0" collapsed="false">
      <c r="B306" s="0" t="s">
        <v>70</v>
      </c>
      <c r="C306" s="41" t="s">
        <v>345</v>
      </c>
      <c r="D306" s="41" t="s">
        <v>346</v>
      </c>
      <c r="E306" s="41" t="str">
        <f aca="false">CONCATENATE(Table_Name[[#This Row],[Table name]],"[Link]")</f>
        <v>Front_Delts[Link]</v>
      </c>
    </row>
    <row r="307" customFormat="false" ht="14.4" hidden="true" customHeight="false" outlineLevel="0" collapsed="false">
      <c r="B307" s="0" t="s">
        <v>68</v>
      </c>
      <c r="C307" s="41" t="s">
        <v>68</v>
      </c>
      <c r="D307" s="41" t="s">
        <v>347</v>
      </c>
      <c r="E307" s="41" t="str">
        <f aca="false">CONCATENATE(Table_Name[[#This Row],[Table name]],"[Link]")</f>
        <v>Triceps[Link]</v>
      </c>
    </row>
    <row r="308" customFormat="false" ht="14.4" hidden="true" customHeight="false" outlineLevel="0" collapsed="false">
      <c r="B308" s="0" t="s">
        <v>311</v>
      </c>
      <c r="C308" s="41" t="s">
        <v>348</v>
      </c>
      <c r="D308" s="41" t="s">
        <v>349</v>
      </c>
      <c r="E308" s="41" t="str">
        <f aca="false">CONCATENATE(Table_Name[[#This Row],[Table name]],"[Link]")</f>
        <v>Incline_Push_or_Front_Delts[Link]</v>
      </c>
    </row>
    <row r="309" customFormat="false" ht="14.4" hidden="true" customHeight="false" outlineLevel="0" collapsed="false">
      <c r="B309" s="0" t="s">
        <v>45</v>
      </c>
      <c r="C309" s="41" t="s">
        <v>350</v>
      </c>
      <c r="D309" s="41" t="s">
        <v>351</v>
      </c>
      <c r="E309" s="41" t="str">
        <f aca="false">CONCATENATE(Table_Name[[#This Row],[Table name]],"[Link]")</f>
        <v>Chest_Isolation_or_Triceps[Link]</v>
      </c>
    </row>
    <row r="310" customFormat="false" ht="14.4" hidden="true" customHeight="false" outlineLevel="0" collapsed="false">
      <c r="B310" s="0" t="s">
        <v>75</v>
      </c>
      <c r="C310" s="41" t="s">
        <v>352</v>
      </c>
      <c r="D310" s="41" t="s">
        <v>353</v>
      </c>
      <c r="E310" s="41" t="str">
        <f aca="false">CONCATENATE(Table_Name[[#This Row],[Table name]],"[Link]")</f>
        <v>Rear_or_Side_Delts[Link]</v>
      </c>
    </row>
    <row r="312" customFormat="false" ht="14.4" hidden="true" customHeight="false" outlineLevel="0" collapsed="false">
      <c r="B312" s="109" t="s">
        <v>29</v>
      </c>
      <c r="C312" s="103" t="s">
        <v>89</v>
      </c>
      <c r="D312" s="109" t="s">
        <v>313</v>
      </c>
    </row>
    <row r="313" customFormat="false" ht="14.4" hidden="true" customHeight="false" outlineLevel="0" collapsed="false">
      <c r="B313" s="41" t="s">
        <v>90</v>
      </c>
      <c r="C313" s="0" t="s">
        <v>91</v>
      </c>
      <c r="D313" s="0" t="s">
        <v>55</v>
      </c>
    </row>
    <row r="314" customFormat="false" ht="14.4" hidden="true" customHeight="false" outlineLevel="0" collapsed="false">
      <c r="B314" s="41" t="s">
        <v>92</v>
      </c>
      <c r="C314" s="0" t="s">
        <v>93</v>
      </c>
      <c r="D314" s="0" t="s">
        <v>55</v>
      </c>
    </row>
    <row r="315" customFormat="false" ht="14.4" hidden="true" customHeight="false" outlineLevel="0" collapsed="false">
      <c r="B315" s="41" t="s">
        <v>94</v>
      </c>
      <c r="C315" s="0" t="s">
        <v>95</v>
      </c>
      <c r="D315" s="0" t="s">
        <v>55</v>
      </c>
    </row>
    <row r="316" customFormat="false" ht="14.4" hidden="true" customHeight="false" outlineLevel="0" collapsed="false">
      <c r="B316" s="41" t="s">
        <v>96</v>
      </c>
      <c r="C316" s="0" t="s">
        <v>97</v>
      </c>
      <c r="D316" s="0" t="s">
        <v>55</v>
      </c>
    </row>
    <row r="317" customFormat="false" ht="14.4" hidden="true" customHeight="false" outlineLevel="0" collapsed="false">
      <c r="B317" s="99" t="s">
        <v>98</v>
      </c>
      <c r="C317" s="0" t="s">
        <v>99</v>
      </c>
      <c r="D317" s="0" t="s">
        <v>55</v>
      </c>
    </row>
    <row r="318" customFormat="false" ht="14.4" hidden="true" customHeight="false" outlineLevel="0" collapsed="false">
      <c r="B318" s="41" t="s">
        <v>56</v>
      </c>
      <c r="C318" s="0" t="s">
        <v>100</v>
      </c>
      <c r="D318" s="0" t="s">
        <v>55</v>
      </c>
    </row>
    <row r="319" customFormat="false" ht="14.4" hidden="true" customHeight="false" outlineLevel="0" collapsed="false">
      <c r="B319" s="41" t="s">
        <v>101</v>
      </c>
      <c r="C319" s="0" t="s">
        <v>102</v>
      </c>
      <c r="D319" s="0" t="s">
        <v>55</v>
      </c>
    </row>
    <row r="320" customFormat="false" ht="14.4" hidden="true" customHeight="false" outlineLevel="0" collapsed="false">
      <c r="B320" s="41" t="s">
        <v>110</v>
      </c>
      <c r="C320" s="0" t="s">
        <v>111</v>
      </c>
      <c r="D320" s="0" t="s">
        <v>83</v>
      </c>
    </row>
    <row r="321" customFormat="false" ht="14.4" hidden="true" customHeight="false" outlineLevel="0" collapsed="false">
      <c r="B321" s="41" t="s">
        <v>112</v>
      </c>
      <c r="C321" s="0" t="s">
        <v>113</v>
      </c>
      <c r="D321" s="0" t="s">
        <v>83</v>
      </c>
    </row>
    <row r="322" customFormat="false" ht="14.4" hidden="true" customHeight="false" outlineLevel="0" collapsed="false">
      <c r="B322" s="41" t="s">
        <v>114</v>
      </c>
      <c r="C322" s="0" t="s">
        <v>115</v>
      </c>
      <c r="D322" s="0" t="s">
        <v>83</v>
      </c>
    </row>
    <row r="323" customFormat="false" ht="14.4" hidden="true" customHeight="false" outlineLevel="0" collapsed="false">
      <c r="B323" s="41" t="s">
        <v>116</v>
      </c>
      <c r="C323" s="0" t="s">
        <v>117</v>
      </c>
      <c r="D323" s="0" t="s">
        <v>83</v>
      </c>
    </row>
    <row r="324" customFormat="false" ht="14.4" hidden="true" customHeight="false" outlineLevel="0" collapsed="false">
      <c r="B324" s="41" t="s">
        <v>118</v>
      </c>
      <c r="C324" s="0" t="s">
        <v>119</v>
      </c>
      <c r="D324" s="0" t="s">
        <v>83</v>
      </c>
    </row>
    <row r="325" customFormat="false" ht="14.4" hidden="true" customHeight="false" outlineLevel="0" collapsed="false">
      <c r="B325" s="41" t="s">
        <v>120</v>
      </c>
      <c r="C325" s="0" t="s">
        <v>121</v>
      </c>
      <c r="D325" s="0" t="s">
        <v>83</v>
      </c>
    </row>
    <row r="326" customFormat="false" ht="14.4" hidden="true" customHeight="false" outlineLevel="0" collapsed="false">
      <c r="B326" s="41" t="s">
        <v>122</v>
      </c>
      <c r="C326" s="0" t="s">
        <v>123</v>
      </c>
      <c r="D326" s="0" t="s">
        <v>83</v>
      </c>
    </row>
    <row r="327" customFormat="false" ht="14.4" hidden="true" customHeight="false" outlineLevel="0" collapsed="false">
      <c r="B327" s="41" t="s">
        <v>84</v>
      </c>
      <c r="C327" s="0" t="s">
        <v>124</v>
      </c>
      <c r="D327" s="0" t="s">
        <v>83</v>
      </c>
    </row>
    <row r="328" customFormat="false" ht="14.4" hidden="true" customHeight="false" outlineLevel="0" collapsed="false">
      <c r="B328" s="99" t="s">
        <v>125</v>
      </c>
      <c r="C328" s="0" t="s">
        <v>126</v>
      </c>
      <c r="D328" s="0" t="s">
        <v>83</v>
      </c>
    </row>
    <row r="329" customFormat="false" ht="14.4" hidden="true" customHeight="false" outlineLevel="0" collapsed="false">
      <c r="B329" s="41" t="s">
        <v>127</v>
      </c>
      <c r="C329" s="0" t="s">
        <v>128</v>
      </c>
      <c r="D329" s="0" t="s">
        <v>83</v>
      </c>
    </row>
    <row r="330" customFormat="false" ht="14.4" hidden="true" customHeight="false" outlineLevel="0" collapsed="false">
      <c r="B330" s="41" t="s">
        <v>129</v>
      </c>
      <c r="C330" s="0" t="s">
        <v>130</v>
      </c>
      <c r="D330" s="0" t="s">
        <v>83</v>
      </c>
    </row>
    <row r="331" customFormat="false" ht="14.4" hidden="true" customHeight="false" outlineLevel="0" collapsed="false">
      <c r="B331" s="41" t="s">
        <v>67</v>
      </c>
      <c r="C331" s="0" t="s">
        <v>103</v>
      </c>
      <c r="D331" s="0" t="s">
        <v>66</v>
      </c>
    </row>
    <row r="332" customFormat="false" ht="14.4" hidden="true" customHeight="false" outlineLevel="0" collapsed="false">
      <c r="B332" s="41" t="s">
        <v>104</v>
      </c>
      <c r="C332" s="0" t="s">
        <v>105</v>
      </c>
      <c r="D332" s="0" t="s">
        <v>66</v>
      </c>
    </row>
    <row r="333" customFormat="false" ht="14.4" hidden="true" customHeight="false" outlineLevel="0" collapsed="false">
      <c r="B333" s="41" t="s">
        <v>106</v>
      </c>
      <c r="C333" s="0" t="s">
        <v>107</v>
      </c>
      <c r="D333" s="0" t="s">
        <v>66</v>
      </c>
    </row>
    <row r="334" customFormat="false" ht="14.4" hidden="true" customHeight="false" outlineLevel="0" collapsed="false">
      <c r="B334" s="41" t="s">
        <v>108</v>
      </c>
      <c r="C334" s="0" t="s">
        <v>109</v>
      </c>
      <c r="D334" s="0" t="s">
        <v>66</v>
      </c>
    </row>
    <row r="335" customFormat="false" ht="14.4" hidden="true" customHeight="false" outlineLevel="0" collapsed="false">
      <c r="B335" s="41" t="s">
        <v>262</v>
      </c>
      <c r="C335" s="0" t="s">
        <v>263</v>
      </c>
      <c r="D335" s="0" t="s">
        <v>261</v>
      </c>
    </row>
    <row r="336" customFormat="false" ht="14.4" hidden="true" customHeight="false" outlineLevel="0" collapsed="false">
      <c r="B336" s="41" t="s">
        <v>264</v>
      </c>
      <c r="C336" s="0" t="s">
        <v>265</v>
      </c>
      <c r="D336" s="0" t="s">
        <v>261</v>
      </c>
    </row>
    <row r="337" customFormat="false" ht="14.4" hidden="true" customHeight="false" outlineLevel="0" collapsed="false">
      <c r="B337" s="41" t="s">
        <v>266</v>
      </c>
      <c r="C337" s="0" t="s">
        <v>267</v>
      </c>
      <c r="D337" s="0" t="s">
        <v>261</v>
      </c>
    </row>
    <row r="338" customFormat="false" ht="14.4" hidden="true" customHeight="false" outlineLevel="0" collapsed="false">
      <c r="B338" s="41" t="s">
        <v>268</v>
      </c>
      <c r="C338" s="0" t="s">
        <v>269</v>
      </c>
      <c r="D338" s="0" t="s">
        <v>261</v>
      </c>
    </row>
    <row r="339" customFormat="false" ht="14.4" hidden="true" customHeight="false" outlineLevel="0" collapsed="false">
      <c r="B339" s="41" t="s">
        <v>270</v>
      </c>
      <c r="C339" s="0" t="s">
        <v>271</v>
      </c>
      <c r="D339" s="0" t="s">
        <v>261</v>
      </c>
    </row>
    <row r="340" customFormat="false" ht="14.4" hidden="true" customHeight="false" outlineLevel="0" collapsed="false">
      <c r="B340" s="41" t="s">
        <v>272</v>
      </c>
      <c r="C340" s="0" t="s">
        <v>273</v>
      </c>
      <c r="D340" s="0" t="s">
        <v>261</v>
      </c>
    </row>
    <row r="341" customFormat="false" ht="14.4" hidden="true" customHeight="false" outlineLevel="0" collapsed="false">
      <c r="B341" s="41" t="s">
        <v>274</v>
      </c>
      <c r="C341" s="0" t="s">
        <v>275</v>
      </c>
      <c r="D341" s="0" t="s">
        <v>261</v>
      </c>
    </row>
    <row r="342" customFormat="false" ht="14.4" hidden="true" customHeight="false" outlineLevel="0" collapsed="false">
      <c r="B342" s="41" t="s">
        <v>262</v>
      </c>
      <c r="C342" s="0" t="s">
        <v>263</v>
      </c>
      <c r="D342" s="0" t="s">
        <v>45</v>
      </c>
    </row>
    <row r="343" customFormat="false" ht="14.4" hidden="true" customHeight="false" outlineLevel="0" collapsed="false">
      <c r="B343" s="41" t="s">
        <v>156</v>
      </c>
      <c r="C343" s="0" t="s">
        <v>157</v>
      </c>
      <c r="D343" s="0" t="s">
        <v>45</v>
      </c>
    </row>
    <row r="344" customFormat="false" ht="14.4" hidden="true" customHeight="false" outlineLevel="0" collapsed="false">
      <c r="B344" s="41" t="s">
        <v>264</v>
      </c>
      <c r="C344" s="0" t="s">
        <v>265</v>
      </c>
      <c r="D344" s="0" t="s">
        <v>45</v>
      </c>
    </row>
    <row r="345" customFormat="false" ht="14.4" hidden="true" customHeight="false" outlineLevel="0" collapsed="false">
      <c r="B345" s="41" t="s">
        <v>171</v>
      </c>
      <c r="C345" s="0" t="s">
        <v>172</v>
      </c>
      <c r="D345" s="0" t="s">
        <v>45</v>
      </c>
    </row>
    <row r="346" customFormat="false" ht="14.4" hidden="true" customHeight="false" outlineLevel="0" collapsed="false">
      <c r="B346" s="41" t="s">
        <v>266</v>
      </c>
      <c r="C346" s="0" t="s">
        <v>267</v>
      </c>
      <c r="D346" s="0" t="s">
        <v>45</v>
      </c>
    </row>
    <row r="347" customFormat="false" ht="14.4" hidden="true" customHeight="false" outlineLevel="0" collapsed="false">
      <c r="B347" s="41" t="s">
        <v>46</v>
      </c>
      <c r="C347" s="0" t="s">
        <v>158</v>
      </c>
      <c r="D347" s="0" t="s">
        <v>45</v>
      </c>
    </row>
    <row r="348" customFormat="false" ht="14.4" hidden="true" customHeight="false" outlineLevel="0" collapsed="false">
      <c r="B348" s="41" t="s">
        <v>268</v>
      </c>
      <c r="C348" s="0" t="s">
        <v>269</v>
      </c>
      <c r="D348" s="0" t="s">
        <v>45</v>
      </c>
    </row>
    <row r="349" customFormat="false" ht="14.4" hidden="true" customHeight="false" outlineLevel="0" collapsed="false">
      <c r="B349" s="41" t="s">
        <v>173</v>
      </c>
      <c r="C349" s="0" t="s">
        <v>174</v>
      </c>
      <c r="D349" s="0" t="s">
        <v>45</v>
      </c>
    </row>
    <row r="350" customFormat="false" ht="14.4" hidden="true" customHeight="false" outlineLevel="0" collapsed="false">
      <c r="B350" s="41" t="s">
        <v>270</v>
      </c>
      <c r="C350" s="0" t="s">
        <v>271</v>
      </c>
      <c r="D350" s="0" t="s">
        <v>45</v>
      </c>
    </row>
    <row r="351" customFormat="false" ht="14.4" hidden="true" customHeight="false" outlineLevel="0" collapsed="false">
      <c r="B351" s="41" t="s">
        <v>159</v>
      </c>
      <c r="C351" s="0" t="s">
        <v>160</v>
      </c>
      <c r="D351" s="0" t="s">
        <v>45</v>
      </c>
    </row>
    <row r="352" customFormat="false" ht="14.4" hidden="true" customHeight="false" outlineLevel="0" collapsed="false">
      <c r="B352" s="41" t="s">
        <v>272</v>
      </c>
      <c r="C352" s="0" t="s">
        <v>273</v>
      </c>
      <c r="D352" s="0" t="s">
        <v>45</v>
      </c>
    </row>
    <row r="353" customFormat="false" ht="14.4" hidden="true" customHeight="false" outlineLevel="0" collapsed="false">
      <c r="B353" s="41" t="s">
        <v>175</v>
      </c>
      <c r="C353" s="0" t="s">
        <v>176</v>
      </c>
      <c r="D353" s="0" t="s">
        <v>45</v>
      </c>
    </row>
    <row r="354" customFormat="false" ht="14.4" hidden="true" customHeight="false" outlineLevel="0" collapsed="false">
      <c r="B354" s="41" t="s">
        <v>274</v>
      </c>
      <c r="C354" s="0" t="s">
        <v>275</v>
      </c>
      <c r="D354" s="0" t="s">
        <v>45</v>
      </c>
    </row>
    <row r="355" customFormat="false" ht="14.4" hidden="true" customHeight="false" outlineLevel="0" collapsed="false">
      <c r="B355" s="41" t="s">
        <v>161</v>
      </c>
      <c r="C355" s="0" t="s">
        <v>162</v>
      </c>
      <c r="D355" s="0" t="s">
        <v>45</v>
      </c>
    </row>
    <row r="356" customFormat="false" ht="14.4" hidden="true" customHeight="false" outlineLevel="0" collapsed="false">
      <c r="B356" s="41" t="s">
        <v>177</v>
      </c>
      <c r="C356" s="0" t="s">
        <v>178</v>
      </c>
      <c r="D356" s="0" t="s">
        <v>45</v>
      </c>
    </row>
    <row r="357" customFormat="false" ht="14.4" hidden="true" customHeight="false" outlineLevel="0" collapsed="false">
      <c r="B357" s="41" t="s">
        <v>163</v>
      </c>
      <c r="C357" s="0" t="s">
        <v>164</v>
      </c>
      <c r="D357" s="0" t="s">
        <v>45</v>
      </c>
    </row>
    <row r="358" customFormat="false" ht="14.4" hidden="true" customHeight="false" outlineLevel="0" collapsed="false">
      <c r="B358" s="41" t="s">
        <v>179</v>
      </c>
      <c r="C358" s="0" t="s">
        <v>180</v>
      </c>
      <c r="D358" s="0" t="s">
        <v>45</v>
      </c>
    </row>
    <row r="359" customFormat="false" ht="14.4" hidden="true" customHeight="false" outlineLevel="0" collapsed="false">
      <c r="B359" s="41" t="s">
        <v>69</v>
      </c>
      <c r="C359" s="0" t="s">
        <v>165</v>
      </c>
      <c r="D359" s="0" t="s">
        <v>45</v>
      </c>
    </row>
    <row r="360" customFormat="false" ht="14.4" hidden="true" customHeight="false" outlineLevel="0" collapsed="false">
      <c r="B360" s="41" t="s">
        <v>166</v>
      </c>
      <c r="C360" s="0" t="s">
        <v>167</v>
      </c>
      <c r="D360" s="0" t="s">
        <v>45</v>
      </c>
    </row>
    <row r="361" customFormat="false" ht="14.4" hidden="true" customHeight="false" outlineLevel="0" collapsed="false">
      <c r="B361" s="41" t="s">
        <v>168</v>
      </c>
      <c r="C361" s="0" t="s">
        <v>169</v>
      </c>
      <c r="D361" s="0" t="s">
        <v>45</v>
      </c>
    </row>
    <row r="362" customFormat="false" ht="14.4" hidden="true" customHeight="false" outlineLevel="0" collapsed="false">
      <c r="B362" s="41" t="s">
        <v>71</v>
      </c>
      <c r="C362" s="0" t="s">
        <v>300</v>
      </c>
      <c r="D362" s="0" t="s">
        <v>70</v>
      </c>
    </row>
    <row r="363" customFormat="false" ht="14.4" hidden="true" customHeight="false" outlineLevel="0" collapsed="false">
      <c r="B363" s="41" t="s">
        <v>301</v>
      </c>
      <c r="C363" s="0" t="s">
        <v>302</v>
      </c>
      <c r="D363" s="0" t="s">
        <v>70</v>
      </c>
    </row>
    <row r="364" customFormat="false" ht="14.4" hidden="true" customHeight="false" outlineLevel="0" collapsed="false">
      <c r="B364" s="41" t="s">
        <v>303</v>
      </c>
      <c r="C364" s="0" t="s">
        <v>304</v>
      </c>
      <c r="D364" s="0" t="s">
        <v>70</v>
      </c>
    </row>
    <row r="365" customFormat="false" ht="14.4" hidden="true" customHeight="false" outlineLevel="0" collapsed="false">
      <c r="B365" s="41" t="s">
        <v>305</v>
      </c>
      <c r="C365" s="0" t="s">
        <v>306</v>
      </c>
      <c r="D365" s="0" t="s">
        <v>70</v>
      </c>
    </row>
    <row r="366" customFormat="false" ht="14.4" hidden="true" customHeight="false" outlineLevel="0" collapsed="false">
      <c r="B366" s="66" t="s">
        <v>307</v>
      </c>
      <c r="C366" s="0" t="s">
        <v>308</v>
      </c>
      <c r="D366" s="0" t="s">
        <v>70</v>
      </c>
    </row>
    <row r="367" customFormat="false" ht="14.4" hidden="true" customHeight="false" outlineLevel="0" collapsed="false">
      <c r="B367" s="41" t="s">
        <v>309</v>
      </c>
      <c r="C367" s="0" t="s">
        <v>310</v>
      </c>
      <c r="D367" s="0" t="s">
        <v>70</v>
      </c>
    </row>
    <row r="368" customFormat="false" ht="14.4" hidden="true" customHeight="false" outlineLevel="0" collapsed="false">
      <c r="B368" s="41" t="s">
        <v>232</v>
      </c>
      <c r="C368" s="0" t="s">
        <v>233</v>
      </c>
      <c r="D368" s="0" t="s">
        <v>79</v>
      </c>
    </row>
    <row r="369" customFormat="false" ht="14.4" hidden="true" customHeight="false" outlineLevel="0" collapsed="false">
      <c r="B369" s="41" t="s">
        <v>234</v>
      </c>
      <c r="C369" s="0" t="s">
        <v>235</v>
      </c>
      <c r="D369" s="0" t="s">
        <v>79</v>
      </c>
    </row>
    <row r="370" customFormat="false" ht="14.4" hidden="true" customHeight="false" outlineLevel="0" collapsed="false">
      <c r="B370" s="41" t="s">
        <v>236</v>
      </c>
      <c r="C370" s="0" t="s">
        <v>237</v>
      </c>
      <c r="D370" s="0" t="s">
        <v>79</v>
      </c>
    </row>
    <row r="371" customFormat="false" ht="14.4" hidden="true" customHeight="false" outlineLevel="0" collapsed="false">
      <c r="B371" s="41" t="s">
        <v>238</v>
      </c>
      <c r="C371" s="0" t="s">
        <v>239</v>
      </c>
      <c r="D371" s="0" t="s">
        <v>79</v>
      </c>
    </row>
    <row r="372" customFormat="false" ht="14.4" hidden="true" customHeight="false" outlineLevel="0" collapsed="false">
      <c r="B372" s="41" t="s">
        <v>240</v>
      </c>
      <c r="C372" s="0" t="s">
        <v>241</v>
      </c>
      <c r="D372" s="0" t="s">
        <v>79</v>
      </c>
    </row>
    <row r="373" customFormat="false" ht="14.4" hidden="true" customHeight="false" outlineLevel="0" collapsed="false">
      <c r="B373" s="41" t="s">
        <v>242</v>
      </c>
      <c r="C373" s="0" t="s">
        <v>243</v>
      </c>
      <c r="D373" s="0" t="s">
        <v>79</v>
      </c>
    </row>
    <row r="374" customFormat="false" ht="14.4" hidden="true" customHeight="false" outlineLevel="0" collapsed="false">
      <c r="B374" s="41" t="s">
        <v>80</v>
      </c>
      <c r="C374" s="0" t="s">
        <v>244</v>
      </c>
      <c r="D374" s="0" t="s">
        <v>79</v>
      </c>
    </row>
    <row r="375" customFormat="false" ht="14.4" hidden="true" customHeight="false" outlineLevel="0" collapsed="false">
      <c r="B375" s="41" t="s">
        <v>245</v>
      </c>
      <c r="C375" s="0" t="s">
        <v>246</v>
      </c>
      <c r="D375" s="0" t="s">
        <v>79</v>
      </c>
    </row>
    <row r="376" customFormat="false" ht="14.4" hidden="true" customHeight="false" outlineLevel="0" collapsed="false">
      <c r="B376" s="41" t="s">
        <v>248</v>
      </c>
      <c r="C376" s="0" t="s">
        <v>249</v>
      </c>
      <c r="D376" s="0" t="s">
        <v>247</v>
      </c>
    </row>
    <row r="377" customFormat="false" ht="14.4" hidden="true" customHeight="false" outlineLevel="0" collapsed="false">
      <c r="B377" s="41" t="s">
        <v>250</v>
      </c>
      <c r="C377" s="0" t="s">
        <v>251</v>
      </c>
      <c r="D377" s="0" t="s">
        <v>247</v>
      </c>
    </row>
    <row r="378" customFormat="false" ht="14.4" hidden="true" customHeight="false" outlineLevel="0" collapsed="false">
      <c r="B378" s="41" t="s">
        <v>252</v>
      </c>
      <c r="C378" s="0" t="s">
        <v>253</v>
      </c>
      <c r="D378" s="0" t="s">
        <v>247</v>
      </c>
    </row>
    <row r="379" customFormat="false" ht="14.4" hidden="true" customHeight="false" outlineLevel="0" collapsed="false">
      <c r="B379" s="41" t="s">
        <v>82</v>
      </c>
      <c r="C379" s="0" t="s">
        <v>254</v>
      </c>
      <c r="D379" s="0" t="s">
        <v>247</v>
      </c>
    </row>
    <row r="380" customFormat="false" ht="14.4" hidden="true" customHeight="false" outlineLevel="0" collapsed="false">
      <c r="B380" s="41" t="s">
        <v>65</v>
      </c>
      <c r="C380" s="0" t="s">
        <v>256</v>
      </c>
      <c r="D380" s="0" t="s">
        <v>255</v>
      </c>
    </row>
    <row r="381" customFormat="false" ht="14.4" hidden="true" customHeight="false" outlineLevel="0" collapsed="false">
      <c r="B381" s="41" t="s">
        <v>257</v>
      </c>
      <c r="C381" s="0" t="s">
        <v>258</v>
      </c>
      <c r="D381" s="0" t="s">
        <v>255</v>
      </c>
    </row>
    <row r="382" customFormat="false" ht="14.4" hidden="true" customHeight="false" outlineLevel="0" collapsed="false">
      <c r="B382" s="41" t="s">
        <v>259</v>
      </c>
      <c r="C382" s="0" t="s">
        <v>260</v>
      </c>
      <c r="D382" s="0" t="s">
        <v>255</v>
      </c>
    </row>
    <row r="383" customFormat="false" ht="14.4" hidden="true" customHeight="false" outlineLevel="0" collapsed="false">
      <c r="B383" s="41" t="s">
        <v>50</v>
      </c>
      <c r="C383" s="0" t="s">
        <v>182</v>
      </c>
      <c r="D383" s="0" t="s">
        <v>181</v>
      </c>
    </row>
    <row r="384" customFormat="false" ht="14.4" hidden="true" customHeight="false" outlineLevel="0" collapsed="false">
      <c r="B384" s="41" t="s">
        <v>183</v>
      </c>
      <c r="C384" s="0" t="s">
        <v>184</v>
      </c>
      <c r="D384" s="0" t="s">
        <v>181</v>
      </c>
    </row>
    <row r="385" customFormat="false" ht="14.4" hidden="true" customHeight="false" outlineLevel="0" collapsed="false">
      <c r="B385" s="41" t="s">
        <v>185</v>
      </c>
      <c r="C385" s="0" t="s">
        <v>186</v>
      </c>
      <c r="D385" s="0" t="s">
        <v>181</v>
      </c>
    </row>
    <row r="386" customFormat="false" ht="14.4" hidden="true" customHeight="false" outlineLevel="0" collapsed="false">
      <c r="B386" s="41" t="s">
        <v>187</v>
      </c>
      <c r="C386" s="0" t="s">
        <v>188</v>
      </c>
      <c r="D386" s="0" t="s">
        <v>181</v>
      </c>
    </row>
    <row r="387" customFormat="false" ht="14.4" hidden="true" customHeight="false" outlineLevel="0" collapsed="false">
      <c r="B387" s="41" t="s">
        <v>189</v>
      </c>
      <c r="C387" s="0" t="s">
        <v>190</v>
      </c>
      <c r="D387" s="0" t="s">
        <v>181</v>
      </c>
    </row>
    <row r="388" customFormat="false" ht="14.4" hidden="true" customHeight="false" outlineLevel="0" collapsed="false">
      <c r="B388" s="41" t="s">
        <v>191</v>
      </c>
      <c r="C388" s="0" t="s">
        <v>192</v>
      </c>
      <c r="D388" s="0" t="s">
        <v>181</v>
      </c>
    </row>
    <row r="389" customFormat="false" ht="14.4" hidden="true" customHeight="false" outlineLevel="0" collapsed="false">
      <c r="B389" s="41" t="s">
        <v>193</v>
      </c>
      <c r="C389" s="0" t="s">
        <v>194</v>
      </c>
      <c r="D389" s="0" t="s">
        <v>181</v>
      </c>
    </row>
    <row r="390" customFormat="false" ht="14.4" hidden="true" customHeight="false" outlineLevel="0" collapsed="false">
      <c r="B390" s="41" t="s">
        <v>195</v>
      </c>
      <c r="C390" s="0" t="s">
        <v>196</v>
      </c>
      <c r="D390" s="0" t="s">
        <v>181</v>
      </c>
    </row>
    <row r="391" customFormat="false" ht="14.4" hidden="true" customHeight="false" outlineLevel="0" collapsed="false">
      <c r="B391" s="41" t="s">
        <v>48</v>
      </c>
      <c r="C391" s="0" t="s">
        <v>276</v>
      </c>
      <c r="D391" s="0" t="s">
        <v>47</v>
      </c>
    </row>
    <row r="392" customFormat="false" ht="14.4" hidden="true" customHeight="false" outlineLevel="0" collapsed="false">
      <c r="B392" s="41" t="s">
        <v>277</v>
      </c>
      <c r="C392" s="0" t="s">
        <v>278</v>
      </c>
      <c r="D392" s="0" t="s">
        <v>47</v>
      </c>
    </row>
    <row r="393" customFormat="false" ht="14.4" hidden="true" customHeight="false" outlineLevel="0" collapsed="false">
      <c r="B393" s="41" t="s">
        <v>279</v>
      </c>
      <c r="C393" s="0" t="s">
        <v>280</v>
      </c>
      <c r="D393" s="0" t="s">
        <v>47</v>
      </c>
    </row>
    <row r="394" customFormat="false" ht="14.4" hidden="true" customHeight="false" outlineLevel="0" collapsed="false">
      <c r="B394" s="41" t="s">
        <v>281</v>
      </c>
      <c r="C394" s="0" t="s">
        <v>282</v>
      </c>
      <c r="D394" s="0" t="s">
        <v>47</v>
      </c>
    </row>
    <row r="395" customFormat="false" ht="14.4" hidden="true" customHeight="false" outlineLevel="0" collapsed="false">
      <c r="B395" s="66" t="s">
        <v>283</v>
      </c>
      <c r="C395" s="0" t="s">
        <v>284</v>
      </c>
      <c r="D395" s="0" t="s">
        <v>47</v>
      </c>
    </row>
    <row r="396" customFormat="false" ht="14.4" hidden="true" customHeight="false" outlineLevel="0" collapsed="false">
      <c r="B396" s="41" t="s">
        <v>285</v>
      </c>
      <c r="C396" s="0" t="s">
        <v>286</v>
      </c>
      <c r="D396" s="0" t="s">
        <v>47</v>
      </c>
    </row>
    <row r="397" customFormat="false" ht="14.4" hidden="true" customHeight="false" outlineLevel="0" collapsed="false">
      <c r="B397" s="41" t="s">
        <v>287</v>
      </c>
      <c r="C397" s="0" t="s">
        <v>288</v>
      </c>
      <c r="D397" s="0" t="s">
        <v>47</v>
      </c>
    </row>
    <row r="398" customFormat="false" ht="14.4" hidden="true" customHeight="false" outlineLevel="0" collapsed="false">
      <c r="B398" s="41" t="s">
        <v>156</v>
      </c>
      <c r="C398" s="0" t="s">
        <v>157</v>
      </c>
      <c r="D398" s="0" t="s">
        <v>155</v>
      </c>
    </row>
    <row r="399" customFormat="false" ht="14.4" hidden="true" customHeight="false" outlineLevel="0" collapsed="false">
      <c r="B399" s="41" t="s">
        <v>46</v>
      </c>
      <c r="C399" s="0" t="s">
        <v>158</v>
      </c>
      <c r="D399" s="0" t="s">
        <v>155</v>
      </c>
    </row>
    <row r="400" customFormat="false" ht="14.4" hidden="true" customHeight="false" outlineLevel="0" collapsed="false">
      <c r="B400" s="41" t="s">
        <v>159</v>
      </c>
      <c r="C400" s="0" t="s">
        <v>160</v>
      </c>
      <c r="D400" s="0" t="s">
        <v>155</v>
      </c>
    </row>
    <row r="401" customFormat="false" ht="14.4" hidden="true" customHeight="false" outlineLevel="0" collapsed="false">
      <c r="B401" s="41" t="s">
        <v>161</v>
      </c>
      <c r="C401" s="0" t="s">
        <v>162</v>
      </c>
      <c r="D401" s="0" t="s">
        <v>155</v>
      </c>
    </row>
    <row r="402" customFormat="false" ht="14.4" hidden="true" customHeight="false" outlineLevel="0" collapsed="false">
      <c r="B402" s="41" t="s">
        <v>163</v>
      </c>
      <c r="C402" s="0" t="s">
        <v>164</v>
      </c>
      <c r="D402" s="0" t="s">
        <v>155</v>
      </c>
    </row>
    <row r="403" customFormat="false" ht="14.4" hidden="true" customHeight="false" outlineLevel="0" collapsed="false">
      <c r="B403" s="41" t="s">
        <v>69</v>
      </c>
      <c r="C403" s="0" t="s">
        <v>165</v>
      </c>
      <c r="D403" s="0" t="s">
        <v>155</v>
      </c>
    </row>
    <row r="404" customFormat="false" ht="14.4" hidden="true" customHeight="false" outlineLevel="0" collapsed="false">
      <c r="B404" s="41" t="s">
        <v>166</v>
      </c>
      <c r="C404" s="0" t="s">
        <v>167</v>
      </c>
      <c r="D404" s="0" t="s">
        <v>155</v>
      </c>
    </row>
    <row r="405" customFormat="false" ht="14.4" hidden="true" customHeight="false" outlineLevel="0" collapsed="false">
      <c r="B405" s="41" t="s">
        <v>168</v>
      </c>
      <c r="C405" s="0" t="s">
        <v>169</v>
      </c>
      <c r="D405" s="0" t="s">
        <v>155</v>
      </c>
    </row>
    <row r="406" customFormat="false" ht="14.4" hidden="true" customHeight="false" outlineLevel="0" collapsed="false">
      <c r="B406" s="99" t="s">
        <v>289</v>
      </c>
      <c r="C406" s="0" t="s">
        <v>290</v>
      </c>
      <c r="D406" s="0" t="s">
        <v>39</v>
      </c>
    </row>
    <row r="407" customFormat="false" ht="14.4" hidden="true" customHeight="false" outlineLevel="0" collapsed="false">
      <c r="B407" s="41" t="s">
        <v>291</v>
      </c>
      <c r="C407" s="0" t="s">
        <v>292</v>
      </c>
      <c r="D407" s="0" t="s">
        <v>39</v>
      </c>
    </row>
    <row r="408" customFormat="false" ht="14.4" hidden="true" customHeight="false" outlineLevel="0" collapsed="false">
      <c r="B408" s="41" t="s">
        <v>293</v>
      </c>
      <c r="C408" s="0" t="s">
        <v>294</v>
      </c>
      <c r="D408" s="0" t="s">
        <v>39</v>
      </c>
    </row>
    <row r="409" customFormat="false" ht="14.4" hidden="true" customHeight="false" outlineLevel="0" collapsed="false">
      <c r="B409" s="41" t="s">
        <v>295</v>
      </c>
      <c r="C409" s="0" t="s">
        <v>296</v>
      </c>
      <c r="D409" s="0" t="s">
        <v>39</v>
      </c>
    </row>
    <row r="410" customFormat="false" ht="14.4" hidden="true" customHeight="false" outlineLevel="0" collapsed="false">
      <c r="B410" s="41" t="s">
        <v>40</v>
      </c>
      <c r="C410" s="0" t="s">
        <v>297</v>
      </c>
      <c r="D410" s="0" t="s">
        <v>39</v>
      </c>
    </row>
    <row r="411" customFormat="false" ht="14.4" hidden="true" customHeight="false" outlineLevel="0" collapsed="false">
      <c r="B411" s="66" t="s">
        <v>298</v>
      </c>
      <c r="C411" s="0" t="s">
        <v>299</v>
      </c>
      <c r="D411" s="0" t="s">
        <v>39</v>
      </c>
    </row>
    <row r="412" customFormat="false" ht="14.4" hidden="true" customHeight="false" outlineLevel="0" collapsed="false">
      <c r="B412" s="99" t="s">
        <v>289</v>
      </c>
      <c r="C412" s="0" t="s">
        <v>290</v>
      </c>
      <c r="D412" s="0" t="s">
        <v>311</v>
      </c>
    </row>
    <row r="413" customFormat="false" ht="14.4" hidden="true" customHeight="false" outlineLevel="0" collapsed="false">
      <c r="B413" s="41" t="s">
        <v>71</v>
      </c>
      <c r="C413" s="0" t="s">
        <v>300</v>
      </c>
      <c r="D413" s="0" t="s">
        <v>311</v>
      </c>
    </row>
    <row r="414" customFormat="false" ht="14.4" hidden="true" customHeight="false" outlineLevel="0" collapsed="false">
      <c r="B414" s="41" t="s">
        <v>291</v>
      </c>
      <c r="C414" s="0" t="s">
        <v>292</v>
      </c>
      <c r="D414" s="0" t="s">
        <v>311</v>
      </c>
    </row>
    <row r="415" customFormat="false" ht="14.4" hidden="true" customHeight="false" outlineLevel="0" collapsed="false">
      <c r="B415" s="41" t="s">
        <v>301</v>
      </c>
      <c r="C415" s="0" t="s">
        <v>302</v>
      </c>
      <c r="D415" s="0" t="s">
        <v>311</v>
      </c>
    </row>
    <row r="416" customFormat="false" ht="14.4" hidden="true" customHeight="false" outlineLevel="0" collapsed="false">
      <c r="B416" s="41" t="s">
        <v>293</v>
      </c>
      <c r="C416" s="0" t="s">
        <v>294</v>
      </c>
      <c r="D416" s="0" t="s">
        <v>311</v>
      </c>
    </row>
    <row r="417" customFormat="false" ht="14.4" hidden="true" customHeight="false" outlineLevel="0" collapsed="false">
      <c r="B417" s="41" t="s">
        <v>303</v>
      </c>
      <c r="C417" s="0" t="s">
        <v>304</v>
      </c>
      <c r="D417" s="0" t="s">
        <v>311</v>
      </c>
    </row>
    <row r="418" customFormat="false" ht="14.4" hidden="true" customHeight="false" outlineLevel="0" collapsed="false">
      <c r="B418" s="41" t="s">
        <v>295</v>
      </c>
      <c r="C418" s="0" t="s">
        <v>296</v>
      </c>
      <c r="D418" s="0" t="s">
        <v>311</v>
      </c>
    </row>
    <row r="419" customFormat="false" ht="14.4" hidden="true" customHeight="false" outlineLevel="0" collapsed="false">
      <c r="B419" s="41" t="s">
        <v>305</v>
      </c>
      <c r="C419" s="0" t="s">
        <v>306</v>
      </c>
      <c r="D419" s="0" t="s">
        <v>311</v>
      </c>
    </row>
    <row r="420" customFormat="false" ht="14.4" hidden="true" customHeight="false" outlineLevel="0" collapsed="false">
      <c r="B420" s="41" t="s">
        <v>40</v>
      </c>
      <c r="C420" s="0" t="s">
        <v>297</v>
      </c>
      <c r="D420" s="0" t="s">
        <v>311</v>
      </c>
    </row>
    <row r="421" customFormat="false" ht="14.4" hidden="true" customHeight="false" outlineLevel="0" collapsed="false">
      <c r="B421" s="66" t="s">
        <v>307</v>
      </c>
      <c r="C421" s="0" t="s">
        <v>308</v>
      </c>
      <c r="D421" s="0" t="s">
        <v>311</v>
      </c>
    </row>
    <row r="422" customFormat="false" ht="14.4" hidden="true" customHeight="false" outlineLevel="0" collapsed="false">
      <c r="B422" s="66" t="s">
        <v>298</v>
      </c>
      <c r="C422" s="0" t="s">
        <v>299</v>
      </c>
      <c r="D422" s="0" t="s">
        <v>311</v>
      </c>
    </row>
    <row r="423" customFormat="false" ht="14.4" hidden="true" customHeight="false" outlineLevel="0" collapsed="false">
      <c r="B423" s="41" t="s">
        <v>309</v>
      </c>
      <c r="C423" s="0" t="s">
        <v>310</v>
      </c>
      <c r="D423" s="0" t="s">
        <v>311</v>
      </c>
    </row>
    <row r="424" customFormat="false" ht="14.4" hidden="true" customHeight="false" outlineLevel="0" collapsed="false">
      <c r="B424" s="41" t="s">
        <v>62</v>
      </c>
      <c r="C424" s="0" t="s">
        <v>220</v>
      </c>
      <c r="D424" s="0" t="s">
        <v>61</v>
      </c>
    </row>
    <row r="425" customFormat="false" ht="14.4" hidden="true" customHeight="false" outlineLevel="0" collapsed="false">
      <c r="B425" s="41" t="s">
        <v>221</v>
      </c>
      <c r="C425" s="0" t="s">
        <v>222</v>
      </c>
      <c r="D425" s="0" t="s">
        <v>61</v>
      </c>
    </row>
    <row r="426" customFormat="false" ht="14.4" hidden="true" customHeight="false" outlineLevel="0" collapsed="false">
      <c r="B426" s="41" t="s">
        <v>223</v>
      </c>
      <c r="C426" s="0" t="s">
        <v>224</v>
      </c>
      <c r="D426" s="0" t="s">
        <v>61</v>
      </c>
    </row>
    <row r="427" customFormat="false" ht="14.4" hidden="true" customHeight="false" outlineLevel="0" collapsed="false">
      <c r="B427" s="41" t="s">
        <v>63</v>
      </c>
      <c r="C427" s="0" t="s">
        <v>225</v>
      </c>
      <c r="D427" s="0" t="s">
        <v>61</v>
      </c>
    </row>
    <row r="428" customFormat="false" ht="14.4" hidden="true" customHeight="false" outlineLevel="0" collapsed="false">
      <c r="B428" s="41" t="s">
        <v>226</v>
      </c>
      <c r="C428" s="0" t="s">
        <v>227</v>
      </c>
      <c r="D428" s="0" t="s">
        <v>61</v>
      </c>
    </row>
    <row r="429" customFormat="false" ht="14.4" hidden="true" customHeight="false" outlineLevel="0" collapsed="false">
      <c r="B429" s="41" t="s">
        <v>228</v>
      </c>
      <c r="C429" s="0" t="s">
        <v>229</v>
      </c>
      <c r="D429" s="0" t="s">
        <v>61</v>
      </c>
    </row>
    <row r="430" customFormat="false" ht="14.4" hidden="true" customHeight="false" outlineLevel="0" collapsed="false">
      <c r="B430" s="41" t="s">
        <v>230</v>
      </c>
      <c r="C430" s="0" t="s">
        <v>231</v>
      </c>
      <c r="D430" s="0" t="s">
        <v>61</v>
      </c>
    </row>
    <row r="431" customFormat="false" ht="14.4" hidden="true" customHeight="false" outlineLevel="0" collapsed="false">
      <c r="B431" s="41" t="s">
        <v>132</v>
      </c>
      <c r="C431" s="0" t="s">
        <v>133</v>
      </c>
      <c r="D431" s="0" t="s">
        <v>131</v>
      </c>
    </row>
    <row r="432" customFormat="false" ht="14.4" hidden="true" customHeight="false" outlineLevel="0" collapsed="false">
      <c r="B432" s="41" t="s">
        <v>134</v>
      </c>
      <c r="C432" s="0" t="s">
        <v>135</v>
      </c>
      <c r="D432" s="0" t="s">
        <v>131</v>
      </c>
    </row>
    <row r="433" customFormat="false" ht="14.4" hidden="true" customHeight="false" outlineLevel="0" collapsed="false">
      <c r="B433" s="41" t="s">
        <v>76</v>
      </c>
      <c r="C433" s="0" t="s">
        <v>136</v>
      </c>
      <c r="D433" s="0" t="s">
        <v>131</v>
      </c>
    </row>
    <row r="434" customFormat="false" ht="14.4" hidden="true" customHeight="false" outlineLevel="0" collapsed="false">
      <c r="B434" s="41" t="s">
        <v>137</v>
      </c>
      <c r="C434" s="0" t="s">
        <v>138</v>
      </c>
      <c r="D434" s="0" t="s">
        <v>131</v>
      </c>
    </row>
    <row r="435" customFormat="false" ht="14.4" hidden="true" customHeight="false" outlineLevel="0" collapsed="false">
      <c r="B435" s="41" t="s">
        <v>132</v>
      </c>
      <c r="C435" s="0" t="s">
        <v>133</v>
      </c>
      <c r="D435" s="0" t="s">
        <v>312</v>
      </c>
    </row>
    <row r="436" customFormat="false" ht="14.4" hidden="true" customHeight="false" outlineLevel="0" collapsed="false">
      <c r="B436" s="41" t="s">
        <v>139</v>
      </c>
      <c r="C436" s="0" t="s">
        <v>140</v>
      </c>
      <c r="D436" s="0" t="s">
        <v>312</v>
      </c>
    </row>
    <row r="437" customFormat="false" ht="14.4" hidden="true" customHeight="false" outlineLevel="0" collapsed="false">
      <c r="B437" s="41" t="s">
        <v>134</v>
      </c>
      <c r="C437" s="0" t="s">
        <v>135</v>
      </c>
      <c r="D437" s="0" t="s">
        <v>312</v>
      </c>
    </row>
    <row r="438" customFormat="false" ht="14.4" hidden="true" customHeight="false" outlineLevel="0" collapsed="false">
      <c r="B438" s="41" t="s">
        <v>141</v>
      </c>
      <c r="C438" s="0" t="s">
        <v>142</v>
      </c>
      <c r="D438" s="0" t="s">
        <v>312</v>
      </c>
    </row>
    <row r="439" customFormat="false" ht="14.4" hidden="true" customHeight="false" outlineLevel="0" collapsed="false">
      <c r="B439" s="41" t="s">
        <v>76</v>
      </c>
      <c r="C439" s="0" t="s">
        <v>136</v>
      </c>
      <c r="D439" s="0" t="s">
        <v>312</v>
      </c>
    </row>
    <row r="440" customFormat="false" ht="14.4" hidden="true" customHeight="false" outlineLevel="0" collapsed="false">
      <c r="B440" s="41" t="s">
        <v>143</v>
      </c>
      <c r="C440" s="0" t="s">
        <v>144</v>
      </c>
      <c r="D440" s="0" t="s">
        <v>312</v>
      </c>
    </row>
    <row r="441" customFormat="false" ht="14.4" hidden="true" customHeight="false" outlineLevel="0" collapsed="false">
      <c r="B441" s="41" t="s">
        <v>137</v>
      </c>
      <c r="C441" s="0" t="s">
        <v>138</v>
      </c>
      <c r="D441" s="0" t="s">
        <v>312</v>
      </c>
    </row>
    <row r="442" customFormat="false" ht="14.4" hidden="true" customHeight="false" outlineLevel="0" collapsed="false">
      <c r="B442" s="41" t="s">
        <v>54</v>
      </c>
      <c r="C442" s="0" t="s">
        <v>145</v>
      </c>
      <c r="D442" s="0" t="s">
        <v>312</v>
      </c>
    </row>
    <row r="443" customFormat="false" ht="14.4" hidden="true" customHeight="false" outlineLevel="0" collapsed="false">
      <c r="B443" s="41" t="s">
        <v>146</v>
      </c>
      <c r="C443" s="0" t="s">
        <v>147</v>
      </c>
      <c r="D443" s="0" t="s">
        <v>312</v>
      </c>
    </row>
    <row r="444" customFormat="false" ht="14.4" hidden="true" customHeight="false" outlineLevel="0" collapsed="false">
      <c r="B444" s="41" t="s">
        <v>139</v>
      </c>
      <c r="C444" s="0" t="s">
        <v>140</v>
      </c>
      <c r="D444" s="104" t="s">
        <v>53</v>
      </c>
    </row>
    <row r="445" customFormat="false" ht="14.4" hidden="true" customHeight="false" outlineLevel="0" collapsed="false">
      <c r="B445" s="41" t="s">
        <v>141</v>
      </c>
      <c r="C445" s="0" t="s">
        <v>142</v>
      </c>
      <c r="D445" s="104" t="s">
        <v>53</v>
      </c>
    </row>
    <row r="446" customFormat="false" ht="14.4" hidden="true" customHeight="false" outlineLevel="0" collapsed="false">
      <c r="B446" s="41" t="s">
        <v>143</v>
      </c>
      <c r="C446" s="0" t="s">
        <v>144</v>
      </c>
      <c r="D446" s="104" t="s">
        <v>53</v>
      </c>
    </row>
    <row r="447" customFormat="false" ht="14.4" hidden="true" customHeight="false" outlineLevel="0" collapsed="false">
      <c r="B447" s="41" t="s">
        <v>54</v>
      </c>
      <c r="C447" s="0" t="s">
        <v>145</v>
      </c>
      <c r="D447" s="104" t="s">
        <v>53</v>
      </c>
    </row>
    <row r="448" customFormat="false" ht="14.4" hidden="true" customHeight="false" outlineLevel="0" collapsed="false">
      <c r="B448" s="41" t="s">
        <v>146</v>
      </c>
      <c r="C448" s="0" t="s">
        <v>147</v>
      </c>
      <c r="D448" s="104" t="s">
        <v>53</v>
      </c>
    </row>
    <row r="449" customFormat="false" ht="14.4" hidden="true" customHeight="false" outlineLevel="0" collapsed="false">
      <c r="B449" s="41" t="s">
        <v>148</v>
      </c>
      <c r="C449" s="0" t="s">
        <v>149</v>
      </c>
      <c r="D449" s="0" t="s">
        <v>85</v>
      </c>
    </row>
    <row r="450" customFormat="false" ht="14.4" hidden="true" customHeight="false" outlineLevel="0" collapsed="false">
      <c r="B450" s="41" t="s">
        <v>150</v>
      </c>
      <c r="C450" s="0" t="s">
        <v>151</v>
      </c>
      <c r="D450" s="0" t="s">
        <v>85</v>
      </c>
    </row>
    <row r="451" customFormat="false" ht="14.4" hidden="true" customHeight="false" outlineLevel="0" collapsed="false">
      <c r="B451" s="41" t="s">
        <v>86</v>
      </c>
      <c r="C451" s="0" t="s">
        <v>152</v>
      </c>
      <c r="D451" s="0" t="s">
        <v>85</v>
      </c>
    </row>
    <row r="452" customFormat="false" ht="14.4" hidden="true" customHeight="false" outlineLevel="0" collapsed="false">
      <c r="B452" s="41" t="s">
        <v>153</v>
      </c>
      <c r="C452" s="0" t="s">
        <v>154</v>
      </c>
      <c r="D452" s="0" t="s">
        <v>85</v>
      </c>
    </row>
    <row r="453" customFormat="false" ht="14.4" hidden="true" customHeight="false" outlineLevel="0" collapsed="false">
      <c r="B453" s="41" t="s">
        <v>156</v>
      </c>
      <c r="C453" s="0" t="s">
        <v>157</v>
      </c>
      <c r="D453" s="0" t="s">
        <v>68</v>
      </c>
    </row>
    <row r="454" customFormat="false" ht="14.4" hidden="true" customHeight="false" outlineLevel="0" collapsed="false">
      <c r="B454" s="41" t="s">
        <v>171</v>
      </c>
      <c r="C454" s="0" t="s">
        <v>172</v>
      </c>
      <c r="D454" s="0" t="s">
        <v>68</v>
      </c>
    </row>
    <row r="455" customFormat="false" ht="14.4" hidden="true" customHeight="false" outlineLevel="0" collapsed="false">
      <c r="B455" s="41" t="s">
        <v>46</v>
      </c>
      <c r="C455" s="0" t="s">
        <v>158</v>
      </c>
      <c r="D455" s="0" t="s">
        <v>68</v>
      </c>
    </row>
    <row r="456" customFormat="false" ht="14.4" hidden="true" customHeight="false" outlineLevel="0" collapsed="false">
      <c r="B456" s="41" t="s">
        <v>173</v>
      </c>
      <c r="C456" s="0" t="s">
        <v>174</v>
      </c>
      <c r="D456" s="0" t="s">
        <v>68</v>
      </c>
    </row>
    <row r="457" customFormat="false" ht="14.4" hidden="true" customHeight="false" outlineLevel="0" collapsed="false">
      <c r="B457" s="41" t="s">
        <v>159</v>
      </c>
      <c r="C457" s="0" t="s">
        <v>160</v>
      </c>
      <c r="D457" s="0" t="s">
        <v>68</v>
      </c>
    </row>
    <row r="458" customFormat="false" ht="14.4" hidden="true" customHeight="false" outlineLevel="0" collapsed="false">
      <c r="B458" s="41" t="s">
        <v>175</v>
      </c>
      <c r="C458" s="0" t="s">
        <v>176</v>
      </c>
      <c r="D458" s="0" t="s">
        <v>68</v>
      </c>
    </row>
    <row r="459" customFormat="false" ht="14.4" hidden="true" customHeight="false" outlineLevel="0" collapsed="false">
      <c r="B459" s="41" t="s">
        <v>161</v>
      </c>
      <c r="C459" s="0" t="s">
        <v>162</v>
      </c>
      <c r="D459" s="0" t="s">
        <v>68</v>
      </c>
    </row>
    <row r="460" customFormat="false" ht="14.4" hidden="true" customHeight="false" outlineLevel="0" collapsed="false">
      <c r="B460" s="41" t="s">
        <v>177</v>
      </c>
      <c r="C460" s="0" t="s">
        <v>178</v>
      </c>
      <c r="D460" s="0" t="s">
        <v>68</v>
      </c>
    </row>
    <row r="461" customFormat="false" ht="14.4" hidden="true" customHeight="false" outlineLevel="0" collapsed="false">
      <c r="B461" s="41" t="s">
        <v>163</v>
      </c>
      <c r="C461" s="0" t="s">
        <v>164</v>
      </c>
      <c r="D461" s="0" t="s">
        <v>68</v>
      </c>
    </row>
    <row r="462" customFormat="false" ht="14.4" hidden="true" customHeight="false" outlineLevel="0" collapsed="false">
      <c r="B462" s="41" t="s">
        <v>179</v>
      </c>
      <c r="C462" s="0" t="s">
        <v>180</v>
      </c>
      <c r="D462" s="0" t="s">
        <v>68</v>
      </c>
    </row>
    <row r="463" customFormat="false" ht="14.4" hidden="true" customHeight="false" outlineLevel="0" collapsed="false">
      <c r="B463" s="41" t="s">
        <v>69</v>
      </c>
      <c r="C463" s="0" t="s">
        <v>165</v>
      </c>
      <c r="D463" s="0" t="s">
        <v>68</v>
      </c>
    </row>
    <row r="464" customFormat="false" ht="14.4" hidden="true" customHeight="false" outlineLevel="0" collapsed="false">
      <c r="B464" s="41" t="s">
        <v>166</v>
      </c>
      <c r="C464" s="0" t="s">
        <v>167</v>
      </c>
      <c r="D464" s="0" t="s">
        <v>68</v>
      </c>
    </row>
    <row r="465" customFormat="false" ht="14.4" hidden="true" customHeight="false" outlineLevel="0" collapsed="false">
      <c r="B465" s="41" t="s">
        <v>168</v>
      </c>
      <c r="C465" s="0" t="s">
        <v>169</v>
      </c>
      <c r="D465" s="0" t="s">
        <v>68</v>
      </c>
    </row>
    <row r="466" customFormat="false" ht="14.4" hidden="true" customHeight="false" outlineLevel="0" collapsed="false">
      <c r="B466" s="41" t="s">
        <v>198</v>
      </c>
      <c r="C466" s="0" t="s">
        <v>199</v>
      </c>
      <c r="D466" s="0" t="s">
        <v>197</v>
      </c>
    </row>
    <row r="467" customFormat="false" ht="14.4" hidden="true" customHeight="false" outlineLevel="0" collapsed="false">
      <c r="B467" s="41" t="s">
        <v>200</v>
      </c>
      <c r="C467" s="0" t="s">
        <v>201</v>
      </c>
      <c r="D467" s="0" t="s">
        <v>197</v>
      </c>
    </row>
    <row r="468" customFormat="false" ht="14.4" hidden="true" customHeight="false" outlineLevel="0" collapsed="false">
      <c r="B468" s="41" t="s">
        <v>202</v>
      </c>
      <c r="C468" s="0" t="s">
        <v>203</v>
      </c>
      <c r="D468" s="0" t="s">
        <v>197</v>
      </c>
    </row>
    <row r="469" customFormat="false" ht="14.4" hidden="true" customHeight="false" outlineLevel="0" collapsed="false">
      <c r="B469" s="41" t="s">
        <v>204</v>
      </c>
      <c r="C469" s="0" t="s">
        <v>205</v>
      </c>
      <c r="D469" s="0" t="s">
        <v>197</v>
      </c>
    </row>
    <row r="470" customFormat="false" ht="14.4" hidden="true" customHeight="false" outlineLevel="0" collapsed="false">
      <c r="B470" s="41" t="s">
        <v>206</v>
      </c>
      <c r="C470" s="0" t="s">
        <v>207</v>
      </c>
      <c r="D470" s="0" t="s">
        <v>197</v>
      </c>
    </row>
    <row r="471" customFormat="false" ht="14.4" hidden="true" customHeight="false" outlineLevel="0" collapsed="false">
      <c r="B471" s="99" t="s">
        <v>208</v>
      </c>
      <c r="C471" s="0" t="s">
        <v>209</v>
      </c>
      <c r="D471" s="0" t="s">
        <v>197</v>
      </c>
    </row>
    <row r="472" customFormat="false" ht="14.4" hidden="true" customHeight="false" outlineLevel="0" collapsed="false">
      <c r="B472" s="99" t="s">
        <v>210</v>
      </c>
      <c r="C472" s="0" t="s">
        <v>211</v>
      </c>
      <c r="D472" s="0" t="s">
        <v>197</v>
      </c>
    </row>
    <row r="473" customFormat="false" ht="14.4" hidden="true" customHeight="false" outlineLevel="0" collapsed="false">
      <c r="B473" s="41" t="s">
        <v>52</v>
      </c>
      <c r="C473" s="0" t="s">
        <v>212</v>
      </c>
      <c r="D473" s="0" t="s">
        <v>197</v>
      </c>
    </row>
    <row r="474" customFormat="false" ht="14.4" hidden="true" customHeight="false" outlineLevel="0" collapsed="false">
      <c r="B474" s="99" t="s">
        <v>213</v>
      </c>
      <c r="C474" s="0" t="s">
        <v>214</v>
      </c>
      <c r="D474" s="0" t="s">
        <v>197</v>
      </c>
    </row>
    <row r="475" customFormat="false" ht="14.4" hidden="true" customHeight="false" outlineLevel="0" collapsed="false">
      <c r="B475" s="99" t="s">
        <v>74</v>
      </c>
      <c r="C475" s="0" t="s">
        <v>215</v>
      </c>
      <c r="D475" s="0" t="s">
        <v>197</v>
      </c>
    </row>
    <row r="476" customFormat="false" ht="14.4" hidden="true" customHeight="false" outlineLevel="0" collapsed="false">
      <c r="B476" s="41" t="s">
        <v>216</v>
      </c>
      <c r="C476" s="0" t="s">
        <v>217</v>
      </c>
      <c r="D476" s="0" t="s">
        <v>197</v>
      </c>
    </row>
    <row r="477" customFormat="false" ht="14.4" hidden="true" customHeight="false" outlineLevel="0" collapsed="false">
      <c r="B477" s="99" t="s">
        <v>218</v>
      </c>
      <c r="C477" s="0" t="s">
        <v>219</v>
      </c>
      <c r="D477" s="0" t="s">
        <v>197</v>
      </c>
    </row>
    <row r="478" customFormat="false" ht="14.4" hidden="true" customHeight="false" outlineLevel="0" collapsed="false">
      <c r="B478" s="41" t="s">
        <v>171</v>
      </c>
      <c r="C478" s="0" t="s">
        <v>172</v>
      </c>
      <c r="D478" s="0" t="s">
        <v>170</v>
      </c>
    </row>
    <row r="479" customFormat="false" ht="14.4" hidden="true" customHeight="false" outlineLevel="0" collapsed="false">
      <c r="B479" s="41" t="s">
        <v>173</v>
      </c>
      <c r="C479" s="0" t="s">
        <v>174</v>
      </c>
      <c r="D479" s="0" t="s">
        <v>170</v>
      </c>
    </row>
    <row r="480" customFormat="false" ht="14.4" hidden="true" customHeight="false" outlineLevel="0" collapsed="false">
      <c r="B480" s="41" t="s">
        <v>175</v>
      </c>
      <c r="C480" s="0" t="s">
        <v>176</v>
      </c>
      <c r="D480" s="0" t="s">
        <v>170</v>
      </c>
    </row>
    <row r="481" customFormat="false" ht="14.4" hidden="true" customHeight="false" outlineLevel="0" collapsed="false">
      <c r="B481" s="41" t="s">
        <v>177</v>
      </c>
      <c r="C481" s="0" t="s">
        <v>178</v>
      </c>
      <c r="D481" s="0" t="s">
        <v>170</v>
      </c>
    </row>
    <row r="482" customFormat="false" ht="14.4" hidden="true" customHeight="false" outlineLevel="0" collapsed="false">
      <c r="B482" s="41" t="s">
        <v>179</v>
      </c>
      <c r="C482" s="0" t="s">
        <v>180</v>
      </c>
      <c r="D482" s="0" t="s">
        <v>170</v>
      </c>
    </row>
  </sheetData>
  <mergeCells count="28">
    <mergeCell ref="H10:M10"/>
    <mergeCell ref="N10:S10"/>
    <mergeCell ref="T10:Y10"/>
    <mergeCell ref="Z10:AE10"/>
    <mergeCell ref="AF10:AK10"/>
    <mergeCell ref="AL10:AQ10"/>
    <mergeCell ref="AR10:AU10"/>
    <mergeCell ref="H20:M20"/>
    <mergeCell ref="N20:S20"/>
    <mergeCell ref="T20:Y20"/>
    <mergeCell ref="Z20:AE20"/>
    <mergeCell ref="AF20:AK20"/>
    <mergeCell ref="AL20:AQ20"/>
    <mergeCell ref="AR20:AU20"/>
    <mergeCell ref="H29:M29"/>
    <mergeCell ref="N29:S29"/>
    <mergeCell ref="T29:Y29"/>
    <mergeCell ref="Z29:AE29"/>
    <mergeCell ref="AF29:AK29"/>
    <mergeCell ref="AL29:AQ29"/>
    <mergeCell ref="AR29:AU29"/>
    <mergeCell ref="H39:M39"/>
    <mergeCell ref="N39:S39"/>
    <mergeCell ref="T39:Y39"/>
    <mergeCell ref="Z39:AE39"/>
    <mergeCell ref="AF39:AK39"/>
    <mergeCell ref="AL39:AQ39"/>
    <mergeCell ref="AR39:AU39"/>
  </mergeCells>
  <dataValidations count="2">
    <dataValidation allowBlank="true" operator="between" showDropDown="false" showErrorMessage="true" showInputMessage="true" sqref="C13:C19 C23:C28 C32:C38 C42:C47" type="list">
      <formula1>INDIRECT(D13)</formula1>
      <formula2>0</formula2>
    </dataValidation>
    <dataValidation allowBlank="true" operator="between" showDropDown="false" showErrorMessage="true" showInputMessage="true" sqref="S13:T19 Y13:Y19 AE13:AE19 AK13:AK19 AQ13:AQ19 S23:T28 Y23:Y28 AE23:AE28 AK23:AK28 AQ23:AQ28 M32:M38 S32:T38 Y32:Y38 AE32:AE38 AK32:AK38 M42:M47 S42:T47 Y42:Y47 AE42:AE47 AK42:AK47" type="list">
      <formula1>$C$68:$C$72</formula1>
      <formula2>0</formula2>
    </dataValidation>
  </dataValidations>
  <hyperlinks>
    <hyperlink ref="B76" r:id="rId1" display="Machine Crunch"/>
    <hyperlink ref="B77" r:id="rId2" display="Slant Board Sit-Up"/>
    <hyperlink ref="B78" r:id="rId3" display="Reaching Sit-Up"/>
    <hyperlink ref="B79" r:id="rId4" display="V-Up"/>
    <hyperlink ref="B80" r:id="rId5" display="Modified Candlestick"/>
    <hyperlink ref="C80" r:id="rId6" display="https://youtu.be/sPIBL43Ds48"/>
    <hyperlink ref="B81" r:id="rId7" display="Hanging Knee Raise"/>
    <hyperlink ref="B82" r:id="rId8" display="Hanging Strait Leg Raise"/>
    <hyperlink ref="B85" r:id="rId9" display="Calves on Calf Machine"/>
    <hyperlink ref="B86" r:id="rId10" display="Stair Calves"/>
    <hyperlink ref="B87" r:id="rId11" display="Calves on Leg Press"/>
    <hyperlink ref="B88" r:id="rId12" display="Smith Machine Calves"/>
    <hyperlink ref="B91" r:id="rId13" display="Barbell Curl"/>
    <hyperlink ref="B92" r:id="rId14" display="EZ Curl "/>
    <hyperlink ref="B93" r:id="rId15" display="Close Grip Barbell Curl"/>
    <hyperlink ref="B94" r:id="rId16" display="2-Arm Dumbbell Curl"/>
    <hyperlink ref="B95" r:id="rId17" display="Cable Curl"/>
    <hyperlink ref="B96" r:id="rId18" display="Incline Dumbbell Curl"/>
    <hyperlink ref="B97" r:id="rId19" display="Dummbell Twist Curl"/>
    <hyperlink ref="B98" r:id="rId20" display="Hammer Curl"/>
    <hyperlink ref="B99" r:id="rId21" display="Dumbbell Spider Curl"/>
    <hyperlink ref="C99" r:id="rId22" display="https://youtu.be/y_GK6fn7raU"/>
    <hyperlink ref="B100" r:id="rId23" display="Alternating Dumbbell Curl"/>
    <hyperlink ref="B101" r:id="rId24" display="Cable Rope Twist Curl"/>
    <hyperlink ref="B104" r:id="rId25" display="Barbell Facepull"/>
    <hyperlink ref="B105" r:id="rId26" display="Dumbbell Facepull"/>
    <hyperlink ref="B106" r:id="rId27" display="Cable Facepull"/>
    <hyperlink ref="B107" r:id="rId28" display="Dumbbell Rear Lateral Raise"/>
    <hyperlink ref="B110" r:id="rId29" display="Barbell Upright Row"/>
    <hyperlink ref="B111" r:id="rId30" display="Dumbbell Upright Row"/>
    <hyperlink ref="B112" r:id="rId31" display="Cable Upright Row"/>
    <hyperlink ref="B113" r:id="rId32" display="Dumbbell Side Lateral Raise"/>
    <hyperlink ref="B114" r:id="rId33" display="Thumbs Down Lateral Raise"/>
    <hyperlink ref="B117" r:id="rId34" display="Barbell Shrug"/>
    <hyperlink ref="B118" r:id="rId35" display="Barbell Bent Over Shrug"/>
    <hyperlink ref="B119" r:id="rId36" display="Dumbbell Shrug"/>
    <hyperlink ref="B120" r:id="rId37" display="Dumbbell Bent Over Shrug"/>
    <hyperlink ref="B123" r:id="rId38" display="Skullcrusher"/>
    <hyperlink ref="B124" r:id="rId39" display="JM Press"/>
    <hyperlink ref="B125" r:id="rId40" display="Dips"/>
    <hyperlink ref="B126" r:id="rId41" display="Assisted Dips"/>
    <hyperlink ref="B127" r:id="rId42" display="Dumbbell Skullcrusher"/>
    <hyperlink ref="B128" r:id="rId43" display="Cable Tricep Pushdown"/>
    <hyperlink ref="B129" r:id="rId44" display="Cable Rope Pushdown"/>
    <hyperlink ref="B130" r:id="rId45" display="Bar Skull"/>
    <hyperlink ref="B133" r:id="rId46" display="EZ Bar Overhead Tricep Extension"/>
    <hyperlink ref="B134" r:id="rId47" display="Barbell Overhead Tricep Extension"/>
    <hyperlink ref="B135" r:id="rId48" display="Seated EZ Bar Overhead Tricep Extension"/>
    <hyperlink ref="B136" r:id="rId49" display="Seated Barbell Overhead Tricep Extension"/>
    <hyperlink ref="B137" r:id="rId50" display="Cable Overhead Tricep Extension"/>
    <hyperlink ref="B140" r:id="rId51" display="Barbell Bent Over Row"/>
    <hyperlink ref="B141" r:id="rId52" display="Underhand EZ Bar Row"/>
    <hyperlink ref="B142" r:id="rId53" display="Row to Chest"/>
    <hyperlink ref="B143" r:id="rId54" display="1-Arm Dumbbell Row"/>
    <hyperlink ref="B144" r:id="rId55" display="Chest Supported Row"/>
    <hyperlink ref="B145" r:id="rId56" display="Row Machine"/>
    <hyperlink ref="B146" r:id="rId57" display="2-Arm Dumbbell Row"/>
    <hyperlink ref="B147" r:id="rId58" display="Cable Row"/>
    <hyperlink ref="B150" r:id="rId59" display="Overhand Pullup"/>
    <hyperlink ref="B151" r:id="rId60" display="Parallel Pullup"/>
    <hyperlink ref="B152" r:id="rId61" display="Underhand Pullup"/>
    <hyperlink ref="B153" r:id="rId62" display="Wide Grip Pullup"/>
    <hyperlink ref="B154" r:id="rId63" display="Assisted Overhand Pullup"/>
    <hyperlink ref="B155" r:id="rId64" display="Assisted Parallel Pullup"/>
    <hyperlink ref="C155" r:id="rId65" display="https://youtu.be/UNo4yBbidG4"/>
    <hyperlink ref="B156" r:id="rId66" display="Assisted Underhand Pullup"/>
    <hyperlink ref="C156" r:id="rId67" display="https://youtu.be/2PC8eYTte5w"/>
    <hyperlink ref="B157" r:id="rId68" display="Normal Grip Pulldown"/>
    <hyperlink ref="B158" r:id="rId69" display="Parallel Pulldown"/>
    <hyperlink ref="C158" r:id="rId70" display="https://youtu.be/uMjeHo2_EwM"/>
    <hyperlink ref="B159" r:id="rId71" display="Underhand Pulldown"/>
    <hyperlink ref="C159" r:id="rId72" display="https://youtu.be/bxfHw1LvH24"/>
    <hyperlink ref="B160" r:id="rId73" display="Wide-Grip Pulldown"/>
    <hyperlink ref="B161" r:id="rId74" display="Narrow Grip Pulldown"/>
    <hyperlink ref="C161" r:id="rId75" display="https://youtu.be/QzjjwxZOVdE"/>
    <hyperlink ref="B164" r:id="rId76" display="High Bar Squat"/>
    <hyperlink ref="B165" r:id="rId77" display="Close Stance Feet Forward Squats"/>
    <hyperlink ref="B166" r:id="rId78" display="Machine Feet Forward Squat"/>
    <hyperlink ref="B167" r:id="rId79" display="Leg Press"/>
    <hyperlink ref="B168" r:id="rId80" display="Hack Squat"/>
    <hyperlink ref="B169" r:id="rId81" display="Front Squat "/>
    <hyperlink ref="B170" r:id="rId82" display="Front Squat (Alernate Grip)"/>
    <hyperlink ref="B173" r:id="rId83" display="Barbell Walking Lunge"/>
    <hyperlink ref="B174" r:id="rId84" display="Dumbbell Walking Lunge"/>
    <hyperlink ref="B175" r:id="rId85" display="Sumo Squat"/>
    <hyperlink ref="B176" r:id="rId86" display="Deficit Deadlift "/>
    <hyperlink ref="B177" r:id="rId87" display="25's Deadlift"/>
    <hyperlink ref="B178" r:id="rId88" display="Sumo Deadlift"/>
    <hyperlink ref="B179" r:id="rId89" display="Deadlift"/>
    <hyperlink ref="B180" r:id="rId90" display="Hex Bar Deadlift"/>
    <hyperlink ref="B183" r:id="rId91" display="Stiff-Legged Deadlift"/>
    <hyperlink ref="B184" r:id="rId92" display="Low Bar Good Morning"/>
    <hyperlink ref="B185" r:id="rId93" display="High Bar Good Morning"/>
    <hyperlink ref="B186" r:id="rId94" display="45 Degree Back Raise"/>
    <hyperlink ref="B189" r:id="rId95" display="Lying Leg Curl"/>
    <hyperlink ref="B190" r:id="rId96" display="Seated Leg Curl"/>
    <hyperlink ref="B191" r:id="rId97" display="Single-Leg Leg Curl"/>
    <hyperlink ref="B194" r:id="rId98" display="Flat Dumbbell Flye"/>
    <hyperlink ref="B195" r:id="rId99" display="Incline Dumbbell Flye"/>
    <hyperlink ref="B196" r:id="rId100" display="Cable Flye"/>
    <hyperlink ref="B197" r:id="rId101" display="High Cable Flye"/>
    <hyperlink ref="B198" r:id="rId102" display="Machine Chest Flye"/>
    <hyperlink ref="B199" r:id="rId103" display="Cable Incline Flye"/>
    <hyperlink ref="B200" r:id="rId104" display="Pec Dec Flye"/>
    <hyperlink ref="B203" r:id="rId105" display="Medium Grip Bench Press"/>
    <hyperlink ref="B204" r:id="rId106" display="Wide Grip Bench Press"/>
    <hyperlink ref="B205" r:id="rId107" display="Flat Dumbbell Bench Press"/>
    <hyperlink ref="B206" r:id="rId108" display="Close Grip Bench Press"/>
    <hyperlink ref="B207" r:id="rId109" display="Flat Machine Bench Press"/>
    <hyperlink ref="B208" r:id="rId110" display="Pushup"/>
    <hyperlink ref="B209" r:id="rId111" display="Close Grip Pushup"/>
    <hyperlink ref="B212" r:id="rId112" display="Incline Medium Grip Bench Press"/>
    <hyperlink ref="C212" r:id="rId113" display="https://youtu.be/zWRCV_td3I8"/>
    <hyperlink ref="B213" r:id="rId114" display="Incline Wide Grip Bench Press"/>
    <hyperlink ref="B214" r:id="rId115" display="Low Incline Dumbbell Press"/>
    <hyperlink ref="B215" r:id="rId116" display="Incline Dumbbell Press"/>
    <hyperlink ref="B216" r:id="rId117" display="Incline Close Grip Bench Press"/>
    <hyperlink ref="B217" r:id="rId118" display="Incline Machine Bench Press"/>
    <hyperlink ref="B220" r:id="rId119" display="Standing Barbell Shoulder Press"/>
    <hyperlink ref="B221" r:id="rId120" display="Seated Barbell Shoulder Press"/>
    <hyperlink ref="B222" r:id="rId121" display="Seated Dumbbell Shoulder Press"/>
    <hyperlink ref="B223" r:id="rId122" display="High Incline Dumbbell Press"/>
    <hyperlink ref="B224" r:id="rId123" display="Shoulder Press Machine"/>
    <hyperlink ref="B225" r:id="rId124" display="Standing Dumbbell Shoulder Press"/>
    <hyperlink ref="B229" r:id="rId125" display="Skullcrusher"/>
    <hyperlink ref="B230" r:id="rId126" display="EZ Bar Overhead Tricep Extension"/>
    <hyperlink ref="B231" r:id="rId127" display="JM Press"/>
    <hyperlink ref="B232" r:id="rId128" display="Barbell Overhead Tricep Extension"/>
    <hyperlink ref="B233" r:id="rId129" display="Dips"/>
    <hyperlink ref="B234" r:id="rId130" display="Seated EZ Bar Overhead Tricep Extension"/>
    <hyperlink ref="B235" r:id="rId131" display="Assisted Dips"/>
    <hyperlink ref="B236" r:id="rId132" display="Seated Barbell Overhead Tricep Extension"/>
    <hyperlink ref="B237" r:id="rId133" display="Dumbbell Skullcrusher"/>
    <hyperlink ref="B238" r:id="rId134" display="Cable Overhead Tricep Extension"/>
    <hyperlink ref="B239" r:id="rId135" display="Cable Tricep Pushdown"/>
    <hyperlink ref="B240" r:id="rId136" display="Cable Rope Pushdown"/>
    <hyperlink ref="B241" r:id="rId137" display="Bar Skull"/>
    <hyperlink ref="B243" r:id="rId138" display="Incline Medium Grip Bench Press"/>
    <hyperlink ref="C243" r:id="rId139" display="https://youtu.be/zWRCV_td3I8"/>
    <hyperlink ref="B244" r:id="rId140" display="Standing Barbell Shoulder Press"/>
    <hyperlink ref="B245" r:id="rId141" display="Incline Wide Grip Bench Press"/>
    <hyperlink ref="B246" r:id="rId142" display="Seated Barbell Shoulder Press"/>
    <hyperlink ref="B247" r:id="rId143" display="Low Incline Dumbbell Press"/>
    <hyperlink ref="B248" r:id="rId144" display="Seated Dumbbell Shoulder Press"/>
    <hyperlink ref="B249" r:id="rId145" display="Incline Dumbbell Press"/>
    <hyperlink ref="B250" r:id="rId146" display="High Incline Dumbbell Press"/>
    <hyperlink ref="B251" r:id="rId147" display="Incline Close Grip Bench Press"/>
    <hyperlink ref="B252" r:id="rId148" display="Shoulder Press Machine"/>
    <hyperlink ref="B253" r:id="rId149" display="Incline Machine Bench Press"/>
    <hyperlink ref="B254" r:id="rId150" display="Standing Dumbbell Shoulder Press"/>
    <hyperlink ref="B256" r:id="rId151" display="Flat Dumbbell Flye"/>
    <hyperlink ref="B257" r:id="rId152" display="Skullcrusher"/>
    <hyperlink ref="B258" r:id="rId153" display="Incline Dumbbell Flye"/>
    <hyperlink ref="B259" r:id="rId154" display="EZ Bar Overhead Tricep Extension"/>
    <hyperlink ref="B260" r:id="rId155" display="Cable Flye"/>
    <hyperlink ref="B261" r:id="rId156" display="JM Press"/>
    <hyperlink ref="B262" r:id="rId157" display="High Cable Flye"/>
    <hyperlink ref="B263" r:id="rId158" display="Barbell Overhead Tricep Extension"/>
    <hyperlink ref="B264" r:id="rId159" display="Machine Chest Flye"/>
    <hyperlink ref="B265" r:id="rId160" display="Dips"/>
    <hyperlink ref="B266" r:id="rId161" display="Cable Incline Flye"/>
    <hyperlink ref="B267" r:id="rId162" display="Seated EZ Bar Overhead Tricep Extension"/>
    <hyperlink ref="B268" r:id="rId163" display="Pec Dec Flye"/>
    <hyperlink ref="B269" r:id="rId164" display="Assisted Dips"/>
    <hyperlink ref="B270" r:id="rId165" display="Seated Barbell Overhead Tricep Extension"/>
    <hyperlink ref="B271" r:id="rId166" display="Dumbbell Skullcrusher"/>
    <hyperlink ref="B272" r:id="rId167" display="Cable Overhead Tricep Extension"/>
    <hyperlink ref="B273" r:id="rId168" display="Cable Tricep Pushdown"/>
    <hyperlink ref="B274" r:id="rId169" display="Cable Rope Pushdown"/>
    <hyperlink ref="B275" r:id="rId170" display="Bar Skull"/>
    <hyperlink ref="B278" r:id="rId171" display="Barbell Facepull"/>
    <hyperlink ref="B279" r:id="rId172" display="Barbell Upright Row"/>
    <hyperlink ref="B280" r:id="rId173" display="Dumbbell Facepull"/>
    <hyperlink ref="B281" r:id="rId174" display="Dumbbell Upright Row"/>
    <hyperlink ref="B282" r:id="rId175" display="Cable Facepull"/>
    <hyperlink ref="B283" r:id="rId176" display="Cable Upright Row"/>
    <hyperlink ref="B284" r:id="rId177" display="Dumbbell Rear Lateral Raise"/>
    <hyperlink ref="B285" r:id="rId178" display="Dumbbell Side Lateral Raise"/>
    <hyperlink ref="B286" r:id="rId179" display="Thumbs Down Lateral Rais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80"/>
  <tableParts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U4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4.4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35.89"/>
    <col collapsed="false" customWidth="true" hidden="false" outlineLevel="0" max="3" min="3" style="0" width="38.89"/>
    <col collapsed="false" customWidth="true" hidden="true" outlineLevel="0" max="4" min="4" style="0" width="36"/>
    <col collapsed="false" customWidth="true" hidden="true" outlineLevel="0" max="5" min="5" style="0" width="32.11"/>
    <col collapsed="false" customWidth="true" hidden="false" outlineLevel="0" max="6" min="6" style="0" width="25.33"/>
    <col collapsed="false" customWidth="true" hidden="false" outlineLevel="0" max="7" min="7" style="0" width="18.44"/>
    <col collapsed="false" customWidth="true" hidden="false" outlineLevel="0" max="8" min="8" style="0" width="36.11"/>
    <col collapsed="false" customWidth="true" hidden="false" outlineLevel="0" max="9" min="9" style="0" width="10"/>
    <col collapsed="false" customWidth="true" hidden="false" outlineLevel="0" max="10" min="10" style="0" width="7.56"/>
    <col collapsed="false" customWidth="true" hidden="false" outlineLevel="0" max="11" min="11" style="0" width="9"/>
    <col collapsed="false" customWidth="true" hidden="false" outlineLevel="0" max="12" min="12" style="0" width="11.33"/>
    <col collapsed="false" customWidth="true" hidden="false" outlineLevel="0" max="13" min="13" style="0" width="7.56"/>
    <col collapsed="false" customWidth="true" hidden="false" outlineLevel="0" max="14" min="14" style="0" width="35.66"/>
    <col collapsed="false" customWidth="true" hidden="false" outlineLevel="0" max="15" min="15" style="0" width="4.66"/>
    <col collapsed="false" customWidth="true" hidden="false" outlineLevel="0" max="16" min="16" style="0" width="7.56"/>
    <col collapsed="false" customWidth="true" hidden="false" outlineLevel="0" max="17" min="17" style="0" width="9"/>
    <col collapsed="false" customWidth="true" hidden="false" outlineLevel="0" max="18" min="18" style="0" width="11.33"/>
    <col collapsed="false" customWidth="true" hidden="false" outlineLevel="0" max="19" min="19" style="0" width="7.56"/>
    <col collapsed="false" customWidth="true" hidden="false" outlineLevel="0" max="20" min="20" style="0" width="36.33"/>
    <col collapsed="false" customWidth="true" hidden="false" outlineLevel="0" max="21" min="21" style="0" width="8.89"/>
    <col collapsed="false" customWidth="true" hidden="false" outlineLevel="0" max="22" min="22" style="0" width="7.56"/>
    <col collapsed="false" customWidth="true" hidden="false" outlineLevel="0" max="23" min="23" style="0" width="9"/>
    <col collapsed="false" customWidth="true" hidden="false" outlineLevel="0" max="24" min="24" style="0" width="11.33"/>
    <col collapsed="false" customWidth="true" hidden="false" outlineLevel="0" max="25" min="25" style="0" width="7.56"/>
    <col collapsed="false" customWidth="true" hidden="false" outlineLevel="0" max="26" min="26" style="0" width="36.33"/>
    <col collapsed="false" customWidth="true" hidden="false" outlineLevel="0" max="27" min="27" style="0" width="8.89"/>
    <col collapsed="false" customWidth="true" hidden="false" outlineLevel="0" max="28" min="28" style="0" width="7.56"/>
    <col collapsed="false" customWidth="true" hidden="false" outlineLevel="0" max="29" min="29" style="0" width="9"/>
    <col collapsed="false" customWidth="true" hidden="false" outlineLevel="0" max="30" min="30" style="0" width="11.33"/>
    <col collapsed="false" customWidth="true" hidden="false" outlineLevel="0" max="31" min="31" style="0" width="7.56"/>
    <col collapsed="false" customWidth="true" hidden="false" outlineLevel="0" max="32" min="32" style="0" width="36.33"/>
    <col collapsed="false" customWidth="true" hidden="false" outlineLevel="0" max="33" min="33" style="0" width="8.89"/>
    <col collapsed="false" customWidth="true" hidden="false" outlineLevel="0" max="34" min="34" style="0" width="7.56"/>
    <col collapsed="false" customWidth="true" hidden="false" outlineLevel="0" max="35" min="35" style="0" width="9"/>
    <col collapsed="false" customWidth="true" hidden="false" outlineLevel="0" max="36" min="36" style="0" width="11.33"/>
    <col collapsed="false" customWidth="true" hidden="false" outlineLevel="0" max="37" min="37" style="0" width="7.56"/>
    <col collapsed="false" customWidth="true" hidden="false" outlineLevel="0" max="38" min="38" style="0" width="35.33"/>
    <col collapsed="false" customWidth="true" hidden="false" outlineLevel="0" max="39" min="39" style="0" width="8.89"/>
    <col collapsed="false" customWidth="true" hidden="false" outlineLevel="0" max="40" min="40" style="0" width="7.56"/>
    <col collapsed="false" customWidth="true" hidden="false" outlineLevel="0" max="41" min="41" style="0" width="9"/>
    <col collapsed="false" customWidth="true" hidden="false" outlineLevel="0" max="42" min="42" style="0" width="11.33"/>
    <col collapsed="false" customWidth="true" hidden="false" outlineLevel="0" max="43" min="43" style="0" width="7.56"/>
    <col collapsed="false" customWidth="true" hidden="false" outlineLevel="0" max="44" min="44" style="0" width="35.44"/>
    <col collapsed="false" customWidth="true" hidden="false" outlineLevel="0" max="45" min="45" style="0" width="4.66"/>
    <col collapsed="false" customWidth="true" hidden="false" outlineLevel="0" max="46" min="46" style="0" width="7.56"/>
    <col collapsed="false" customWidth="true" hidden="false" outlineLevel="0" max="48" min="47" style="0" width="17.67"/>
    <col collapsed="false" customWidth="true" hidden="false" outlineLevel="0" max="49" min="49" style="0" width="15.11"/>
    <col collapsed="false" customWidth="true" hidden="false" outlineLevel="0" max="50" min="50" style="0" width="17.67"/>
    <col collapsed="false" customWidth="true" hidden="false" outlineLevel="0" max="1025" min="51" style="0" width="8.67"/>
  </cols>
  <sheetData>
    <row r="1" customFormat="false" ht="18.6" hidden="false" customHeight="false" outlineLevel="0" collapsed="false">
      <c r="C1" s="1" t="s">
        <v>0</v>
      </c>
      <c r="D1" s="2"/>
      <c r="E1" s="3"/>
      <c r="F1" s="4" t="s">
        <v>1</v>
      </c>
      <c r="G1" s="5" t="s">
        <v>2</v>
      </c>
      <c r="H1" s="6" t="s">
        <v>3</v>
      </c>
      <c r="I1" s="7" t="s">
        <v>4</v>
      </c>
      <c r="J1" s="8"/>
      <c r="K1" s="8"/>
      <c r="L1" s="8"/>
      <c r="M1" s="8"/>
      <c r="N1" s="8"/>
      <c r="O1" s="8"/>
      <c r="P1" s="8"/>
      <c r="Q1" s="8"/>
      <c r="R1" s="8"/>
      <c r="S1" s="8"/>
      <c r="T1" s="9"/>
      <c r="U1" s="10" t="s">
        <v>5</v>
      </c>
      <c r="V1" s="11"/>
      <c r="W1" s="12"/>
      <c r="X1" s="12"/>
      <c r="Y1" s="12"/>
      <c r="Z1" s="12"/>
      <c r="AA1" s="13"/>
      <c r="AB1" s="12"/>
      <c r="AC1" s="12"/>
      <c r="AD1" s="12"/>
      <c r="AE1" s="12"/>
      <c r="AF1" s="12"/>
      <c r="AG1" s="13"/>
      <c r="AH1" s="12"/>
      <c r="AI1" s="12"/>
      <c r="AJ1" s="12"/>
      <c r="AK1" s="12"/>
      <c r="AL1" s="12"/>
      <c r="AM1" s="14"/>
      <c r="AN1" s="15"/>
      <c r="AO1" s="15"/>
      <c r="AP1" s="15"/>
      <c r="AQ1" s="15"/>
      <c r="AR1" s="15"/>
      <c r="AS1" s="16"/>
      <c r="AT1" s="17"/>
    </row>
    <row r="2" customFormat="false" ht="18.6" hidden="false" customHeight="false" outlineLevel="0" collapsed="false">
      <c r="F2" s="18" t="s">
        <v>6</v>
      </c>
      <c r="G2" s="19" t="s">
        <v>7</v>
      </c>
      <c r="H2" s="20" t="s">
        <v>8</v>
      </c>
      <c r="I2" s="21" t="s">
        <v>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4" t="s">
        <v>10</v>
      </c>
      <c r="V2" s="25"/>
      <c r="W2" s="26"/>
      <c r="X2" s="26"/>
      <c r="Y2" s="26"/>
      <c r="Z2" s="26"/>
      <c r="AA2" s="25"/>
      <c r="AB2" s="25"/>
      <c r="AC2" s="26"/>
      <c r="AD2" s="26"/>
      <c r="AE2" s="26"/>
      <c r="AF2" s="26"/>
      <c r="AG2" s="25"/>
      <c r="AH2" s="25"/>
      <c r="AI2" s="26"/>
      <c r="AJ2" s="26"/>
      <c r="AK2" s="26"/>
      <c r="AL2" s="26"/>
      <c r="AM2" s="25"/>
      <c r="AN2" s="27"/>
      <c r="AO2" s="28"/>
    </row>
    <row r="3" customFormat="false" ht="18.6" hidden="false" customHeight="false" outlineLevel="0" collapsed="false">
      <c r="C3" s="0" t="s">
        <v>11</v>
      </c>
      <c r="F3" s="29" t="s">
        <v>12</v>
      </c>
      <c r="G3" s="30" t="s">
        <v>13</v>
      </c>
      <c r="H3" s="31" t="s">
        <v>14</v>
      </c>
      <c r="I3" s="21" t="s">
        <v>15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Y3" s="28"/>
      <c r="Z3" s="28"/>
      <c r="AA3" s="28"/>
      <c r="AB3" s="28"/>
      <c r="AC3" s="28"/>
      <c r="AD3" s="28"/>
      <c r="AE3" s="28"/>
      <c r="AF3" s="28"/>
      <c r="AG3" s="28"/>
      <c r="AN3" s="28"/>
      <c r="AO3" s="28"/>
    </row>
    <row r="4" customFormat="false" ht="14.4" hidden="false" customHeight="false" outlineLevel="0" collapsed="false">
      <c r="G4" s="0" t="s">
        <v>11</v>
      </c>
      <c r="I4" s="21" t="s">
        <v>16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</row>
    <row r="5" customFormat="false" ht="14.4" hidden="false" customHeight="false" outlineLevel="0" collapsed="false">
      <c r="I5" s="21" t="s">
        <v>17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Y5" s="28"/>
      <c r="Z5" s="28"/>
      <c r="AA5" s="28"/>
      <c r="AB5" s="28"/>
      <c r="AC5" s="28"/>
      <c r="AD5" s="28"/>
      <c r="AE5" s="28"/>
      <c r="AF5" s="28"/>
      <c r="AG5" s="28"/>
    </row>
    <row r="6" customFormat="false" ht="15" hidden="false" customHeight="false" outlineLevel="0" collapsed="false">
      <c r="I6" s="32" t="s">
        <v>18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Y6" s="28"/>
      <c r="Z6" s="28"/>
      <c r="AA6" s="28"/>
      <c r="AB6" s="28"/>
      <c r="AC6" s="28"/>
      <c r="AD6" s="28"/>
      <c r="AE6" s="28"/>
      <c r="AF6" s="28"/>
      <c r="AG6" s="28"/>
    </row>
    <row r="9" customFormat="false" ht="15" hidden="false" customHeight="false" outlineLevel="0" collapsed="false"/>
    <row r="10" customFormat="false" ht="18.6" hidden="false" customHeight="false" outlineLevel="0" collapsed="false">
      <c r="G10" s="35" t="s">
        <v>19</v>
      </c>
      <c r="H10" s="36" t="s">
        <v>20</v>
      </c>
      <c r="I10" s="36"/>
      <c r="J10" s="36"/>
      <c r="K10" s="36"/>
      <c r="L10" s="36"/>
      <c r="M10" s="36"/>
      <c r="N10" s="37" t="s">
        <v>21</v>
      </c>
      <c r="O10" s="37"/>
      <c r="P10" s="37"/>
      <c r="Q10" s="37"/>
      <c r="R10" s="37"/>
      <c r="S10" s="37"/>
      <c r="T10" s="38" t="s">
        <v>22</v>
      </c>
      <c r="U10" s="38"/>
      <c r="V10" s="38"/>
      <c r="W10" s="38"/>
      <c r="X10" s="38"/>
      <c r="Y10" s="38"/>
      <c r="Z10" s="38" t="s">
        <v>23</v>
      </c>
      <c r="AA10" s="38"/>
      <c r="AB10" s="38"/>
      <c r="AC10" s="38"/>
      <c r="AD10" s="38"/>
      <c r="AE10" s="38"/>
      <c r="AF10" s="38" t="s">
        <v>24</v>
      </c>
      <c r="AG10" s="38"/>
      <c r="AH10" s="38"/>
      <c r="AI10" s="38"/>
      <c r="AJ10" s="38"/>
      <c r="AK10" s="38"/>
      <c r="AL10" s="39" t="s">
        <v>25</v>
      </c>
      <c r="AM10" s="39"/>
      <c r="AN10" s="39"/>
      <c r="AO10" s="39"/>
      <c r="AP10" s="39"/>
      <c r="AQ10" s="39"/>
      <c r="AR10" s="40" t="s">
        <v>26</v>
      </c>
      <c r="AS10" s="40"/>
      <c r="AT10" s="40"/>
      <c r="AU10" s="40"/>
    </row>
    <row r="11" customFormat="false" ht="15" hidden="false" customHeight="false" outlineLevel="0" collapsed="false">
      <c r="B11" s="41"/>
      <c r="C11" s="41" t="s">
        <v>27</v>
      </c>
      <c r="D11" s="41"/>
      <c r="E11" s="41"/>
      <c r="F11" s="41"/>
      <c r="G11" s="42" t="s">
        <v>28</v>
      </c>
      <c r="H11" s="43" t="s">
        <v>29</v>
      </c>
      <c r="I11" s="44" t="s">
        <v>30</v>
      </c>
      <c r="J11" s="45" t="s">
        <v>31</v>
      </c>
      <c r="K11" s="46" t="s">
        <v>32</v>
      </c>
      <c r="L11" s="46" t="s">
        <v>33</v>
      </c>
      <c r="M11" s="47" t="s">
        <v>34</v>
      </c>
      <c r="N11" s="48" t="s">
        <v>29</v>
      </c>
      <c r="O11" s="48" t="s">
        <v>30</v>
      </c>
      <c r="P11" s="45" t="s">
        <v>31</v>
      </c>
      <c r="Q11" s="46" t="s">
        <v>32</v>
      </c>
      <c r="R11" s="46" t="s">
        <v>33</v>
      </c>
      <c r="S11" s="47" t="s">
        <v>34</v>
      </c>
      <c r="T11" s="48" t="s">
        <v>29</v>
      </c>
      <c r="U11" s="48" t="s">
        <v>30</v>
      </c>
      <c r="V11" s="45" t="s">
        <v>31</v>
      </c>
      <c r="W11" s="46" t="s">
        <v>32</v>
      </c>
      <c r="X11" s="46" t="s">
        <v>33</v>
      </c>
      <c r="Y11" s="47" t="s">
        <v>34</v>
      </c>
      <c r="Z11" s="48" t="s">
        <v>29</v>
      </c>
      <c r="AA11" s="48" t="s">
        <v>30</v>
      </c>
      <c r="AB11" s="45" t="s">
        <v>31</v>
      </c>
      <c r="AC11" s="46" t="s">
        <v>32</v>
      </c>
      <c r="AD11" s="46" t="s">
        <v>33</v>
      </c>
      <c r="AE11" s="47" t="s">
        <v>34</v>
      </c>
      <c r="AF11" s="48" t="s">
        <v>29</v>
      </c>
      <c r="AG11" s="48" t="s">
        <v>30</v>
      </c>
      <c r="AH11" s="45" t="s">
        <v>31</v>
      </c>
      <c r="AI11" s="46" t="s">
        <v>32</v>
      </c>
      <c r="AJ11" s="46" t="s">
        <v>33</v>
      </c>
      <c r="AK11" s="47" t="s">
        <v>34</v>
      </c>
      <c r="AL11" s="48" t="s">
        <v>29</v>
      </c>
      <c r="AM11" s="48" t="s">
        <v>30</v>
      </c>
      <c r="AN11" s="45" t="s">
        <v>31</v>
      </c>
      <c r="AO11" s="46" t="s">
        <v>32</v>
      </c>
      <c r="AP11" s="46" t="s">
        <v>33</v>
      </c>
      <c r="AQ11" s="47" t="s">
        <v>34</v>
      </c>
      <c r="AR11" s="48" t="s">
        <v>29</v>
      </c>
      <c r="AS11" s="48" t="s">
        <v>30</v>
      </c>
      <c r="AT11" s="45" t="s">
        <v>31</v>
      </c>
      <c r="AU11" s="49" t="s">
        <v>32</v>
      </c>
    </row>
    <row r="12" customFormat="false" ht="15" hidden="false" customHeight="false" outlineLevel="0" collapsed="false">
      <c r="B12" s="50" t="s">
        <v>35</v>
      </c>
      <c r="C12" s="51" t="s">
        <v>36</v>
      </c>
      <c r="D12" s="52"/>
      <c r="E12" s="52"/>
      <c r="F12" s="51" t="s">
        <v>37</v>
      </c>
      <c r="G12" s="51" t="s">
        <v>38</v>
      </c>
      <c r="H12" s="46" t="s">
        <v>36</v>
      </c>
      <c r="I12" s="53"/>
      <c r="J12" s="53"/>
      <c r="K12" s="53"/>
      <c r="L12" s="53"/>
      <c r="M12" s="54"/>
      <c r="N12" s="43" t="s">
        <v>36</v>
      </c>
      <c r="O12" s="53"/>
      <c r="P12" s="53"/>
      <c r="Q12" s="53"/>
      <c r="R12" s="53"/>
      <c r="S12" s="54"/>
      <c r="T12" s="43" t="s">
        <v>36</v>
      </c>
      <c r="U12" s="53"/>
      <c r="V12" s="53"/>
      <c r="W12" s="53"/>
      <c r="X12" s="53"/>
      <c r="Y12" s="54"/>
      <c r="Z12" s="43" t="s">
        <v>36</v>
      </c>
      <c r="AA12" s="53"/>
      <c r="AB12" s="53"/>
      <c r="AC12" s="53"/>
      <c r="AD12" s="53"/>
      <c r="AE12" s="54"/>
      <c r="AF12" s="43" t="s">
        <v>36</v>
      </c>
      <c r="AG12" s="53"/>
      <c r="AH12" s="53"/>
      <c r="AI12" s="53"/>
      <c r="AJ12" s="53"/>
      <c r="AK12" s="54"/>
      <c r="AL12" s="43" t="s">
        <v>36</v>
      </c>
      <c r="AM12" s="53"/>
      <c r="AN12" s="53"/>
      <c r="AO12" s="53"/>
      <c r="AP12" s="53"/>
      <c r="AQ12" s="53"/>
      <c r="AR12" s="43" t="s">
        <v>36</v>
      </c>
      <c r="AS12" s="53"/>
      <c r="AT12" s="53"/>
      <c r="AU12" s="54"/>
    </row>
    <row r="13" customFormat="false" ht="15" hidden="false" customHeight="false" outlineLevel="0" collapsed="false">
      <c r="B13" s="55" t="s">
        <v>39</v>
      </c>
      <c r="C13" s="56"/>
      <c r="D13" s="57" t="str">
        <f aca="false" t="array" ref="D13:D13">INDEX(Table_Name76[Name List],MATCH(B13,Table_Name76[Category],0))</f>
        <v>Incline_Push[Exercise]</v>
      </c>
      <c r="E13" s="58" t="e">
        <f aca="false" t="array" ref="E13:E13">INDEX(Links97[Link],MATCH(C13,Links97[Exercise],0))</f>
        <v>#N/A</v>
      </c>
      <c r="F13" s="59" t="e">
        <f aca="false">HYPERLINK(E13,"Video")</f>
        <v>#N/A</v>
      </c>
      <c r="G13" s="60"/>
      <c r="H13" s="61" t="n">
        <f aca="false">C13</f>
        <v>0</v>
      </c>
      <c r="I13" s="62" t="n">
        <v>2</v>
      </c>
      <c r="J13" s="62" t="n">
        <f aca="false">MROUND(((G13)*0.85),5)</f>
        <v>0</v>
      </c>
      <c r="K13" s="62" t="s">
        <v>41</v>
      </c>
      <c r="L13" s="62"/>
      <c r="M13" s="42"/>
      <c r="N13" s="63" t="n">
        <f aca="false">C13</f>
        <v>0</v>
      </c>
      <c r="O13" s="62" t="n">
        <f aca="false">I13+(M37)</f>
        <v>2</v>
      </c>
      <c r="P13" s="62" t="n">
        <f aca="false">MROUND((J13*1.02),5)</f>
        <v>0</v>
      </c>
      <c r="Q13" s="62" t="s">
        <v>41</v>
      </c>
      <c r="R13" s="62"/>
      <c r="S13" s="64"/>
      <c r="T13" s="65" t="n">
        <f aca="false">C13</f>
        <v>0</v>
      </c>
      <c r="U13" s="62" t="n">
        <f aca="false">O13+(S37)</f>
        <v>2</v>
      </c>
      <c r="V13" s="62" t="n">
        <f aca="false">MROUND((J13*1.04),5)</f>
        <v>0</v>
      </c>
      <c r="W13" s="62" t="s">
        <v>42</v>
      </c>
      <c r="X13" s="62"/>
      <c r="Y13" s="64"/>
      <c r="Z13" s="66" t="n">
        <f aca="false">C13</f>
        <v>0</v>
      </c>
      <c r="AA13" s="62" t="n">
        <f aca="false">U13+(Y37)</f>
        <v>2</v>
      </c>
      <c r="AB13" s="62" t="n">
        <f aca="false">MROUND((P13*1.04),5)</f>
        <v>0</v>
      </c>
      <c r="AC13" s="62" t="s">
        <v>42</v>
      </c>
      <c r="AD13" s="62"/>
      <c r="AE13" s="64"/>
      <c r="AF13" s="66" t="n">
        <f aca="false">C13</f>
        <v>0</v>
      </c>
      <c r="AG13" s="62" t="n">
        <f aca="false">AA13+(AE37)</f>
        <v>2</v>
      </c>
      <c r="AH13" s="62" t="n">
        <f aca="false">MROUND((V13*1.04),5)</f>
        <v>0</v>
      </c>
      <c r="AI13" s="62" t="s">
        <v>42</v>
      </c>
      <c r="AJ13" s="62"/>
      <c r="AK13" s="64"/>
      <c r="AL13" s="63" t="n">
        <f aca="false">C13</f>
        <v>0</v>
      </c>
      <c r="AM13" s="62" t="n">
        <f aca="false">AG13+(AK37)</f>
        <v>2</v>
      </c>
      <c r="AN13" s="62" t="n">
        <f aca="false">MROUND((J13*1.1),5)</f>
        <v>0</v>
      </c>
      <c r="AO13" s="62" t="s">
        <v>43</v>
      </c>
      <c r="AP13" s="62"/>
      <c r="AQ13" s="64"/>
      <c r="AR13" s="63" t="n">
        <f aca="false">C13</f>
        <v>0</v>
      </c>
      <c r="AS13" s="62" t="n">
        <v>2</v>
      </c>
      <c r="AT13" s="67" t="n">
        <f aca="false">J13</f>
        <v>0</v>
      </c>
      <c r="AU13" s="42" t="s">
        <v>44</v>
      </c>
    </row>
    <row r="14" customFormat="false" ht="15" hidden="false" customHeight="false" outlineLevel="0" collapsed="false">
      <c r="B14" s="68" t="s">
        <v>45</v>
      </c>
      <c r="C14" s="69"/>
      <c r="D14" s="70" t="str">
        <f aca="false" t="array" ref="D14:D14">INDEX(Table_Name76[Name List],MATCH(B14,Table_Name76[Category],0))</f>
        <v>Chest_Isolation_or_Triceps[Exercise]</v>
      </c>
      <c r="E14" s="71" t="e">
        <f aca="false" t="array" ref="E14:E14">INDEX(Links97[Link],MATCH(C14,Links97[Exercise],0))</f>
        <v>#N/A</v>
      </c>
      <c r="F14" s="72" t="e">
        <f aca="false">HYPERLINK(E14,"Video")</f>
        <v>#N/A</v>
      </c>
      <c r="G14" s="73"/>
      <c r="H14" s="61" t="n">
        <f aca="false">C14</f>
        <v>0</v>
      </c>
      <c r="I14" s="62" t="n">
        <v>2</v>
      </c>
      <c r="J14" s="62" t="n">
        <f aca="false">MROUND(((G14)*0.85),5)</f>
        <v>0</v>
      </c>
      <c r="K14" s="62" t="s">
        <v>41</v>
      </c>
      <c r="L14" s="62"/>
      <c r="M14" s="42"/>
      <c r="N14" s="63" t="n">
        <f aca="false">C14</f>
        <v>0</v>
      </c>
      <c r="O14" s="62" t="n">
        <f aca="false">I14+(M36)</f>
        <v>2</v>
      </c>
      <c r="P14" s="62" t="n">
        <f aca="false">MROUND((J14*1.02),5)</f>
        <v>0</v>
      </c>
      <c r="Q14" s="62" t="s">
        <v>41</v>
      </c>
      <c r="R14" s="62"/>
      <c r="S14" s="64"/>
      <c r="T14" s="65" t="n">
        <f aca="false">C14</f>
        <v>0</v>
      </c>
      <c r="U14" s="62" t="n">
        <f aca="false">O14+(S36)</f>
        <v>2</v>
      </c>
      <c r="V14" s="62" t="n">
        <f aca="false">MROUND((J14*1.04),5)</f>
        <v>0</v>
      </c>
      <c r="W14" s="62" t="s">
        <v>42</v>
      </c>
      <c r="X14" s="62"/>
      <c r="Y14" s="64"/>
      <c r="Z14" s="66" t="n">
        <f aca="false">C14</f>
        <v>0</v>
      </c>
      <c r="AA14" s="62" t="n">
        <f aca="false">U14+(Y36)</f>
        <v>2</v>
      </c>
      <c r="AB14" s="62" t="n">
        <f aca="false">MROUND((P14*1.04),5)</f>
        <v>0</v>
      </c>
      <c r="AC14" s="62" t="s">
        <v>42</v>
      </c>
      <c r="AD14" s="62"/>
      <c r="AE14" s="64"/>
      <c r="AF14" s="66" t="n">
        <f aca="false">C14</f>
        <v>0</v>
      </c>
      <c r="AG14" s="62" t="n">
        <f aca="false">AA14+(AE36)</f>
        <v>2</v>
      </c>
      <c r="AH14" s="62" t="n">
        <f aca="false">MROUND((V14*1.04),5)</f>
        <v>0</v>
      </c>
      <c r="AI14" s="62" t="s">
        <v>42</v>
      </c>
      <c r="AJ14" s="62"/>
      <c r="AK14" s="64"/>
      <c r="AL14" s="63" t="n">
        <f aca="false">C14</f>
        <v>0</v>
      </c>
      <c r="AM14" s="62" t="n">
        <f aca="false">AG14+(AK36)</f>
        <v>2</v>
      </c>
      <c r="AN14" s="62" t="n">
        <f aca="false">MROUND((J14*1.1),5)</f>
        <v>0</v>
      </c>
      <c r="AO14" s="62" t="s">
        <v>43</v>
      </c>
      <c r="AP14" s="62"/>
      <c r="AQ14" s="64"/>
      <c r="AR14" s="63" t="n">
        <f aca="false">C14</f>
        <v>0</v>
      </c>
      <c r="AS14" s="62" t="n">
        <v>2</v>
      </c>
      <c r="AT14" s="67" t="n">
        <f aca="false">J14</f>
        <v>0</v>
      </c>
      <c r="AU14" s="42" t="s">
        <v>44</v>
      </c>
    </row>
    <row r="15" customFormat="false" ht="15" hidden="false" customHeight="false" outlineLevel="0" collapsed="false">
      <c r="B15" s="68" t="s">
        <v>47</v>
      </c>
      <c r="C15" s="69"/>
      <c r="D15" s="70" t="str">
        <f aca="false" t="array" ref="D15:D15">INDEX(Table_Name76[Name List],MATCH(B15,Table_Name76[Category],0))</f>
        <v>Horizontal_Push[Exercise]</v>
      </c>
      <c r="E15" s="71" t="e">
        <f aca="false" t="array" ref="E15:E15">INDEX(Links97[Link],MATCH(C15,Links97[Exercise],0))</f>
        <v>#N/A</v>
      </c>
      <c r="F15" s="72" t="e">
        <f aca="false">HYPERLINK(E15,"Video")</f>
        <v>#N/A</v>
      </c>
      <c r="G15" s="73"/>
      <c r="H15" s="61" t="n">
        <f aca="false">C15</f>
        <v>0</v>
      </c>
      <c r="I15" s="62" t="n">
        <v>2</v>
      </c>
      <c r="J15" s="62" t="n">
        <f aca="false">MROUND(((G15)*0.85),5)</f>
        <v>0</v>
      </c>
      <c r="K15" s="62" t="s">
        <v>41</v>
      </c>
      <c r="L15" s="62"/>
      <c r="M15" s="42"/>
      <c r="N15" s="63" t="n">
        <f aca="false">C15</f>
        <v>0</v>
      </c>
      <c r="O15" s="62" t="n">
        <f aca="false">I15+(M36)</f>
        <v>2</v>
      </c>
      <c r="P15" s="62" t="n">
        <f aca="false">MROUND((J15*1.02),5)</f>
        <v>0</v>
      </c>
      <c r="Q15" s="62" t="s">
        <v>41</v>
      </c>
      <c r="R15" s="62"/>
      <c r="S15" s="64"/>
      <c r="T15" s="65" t="n">
        <f aca="false">C15</f>
        <v>0</v>
      </c>
      <c r="U15" s="62" t="n">
        <f aca="false">O15+(S36)</f>
        <v>2</v>
      </c>
      <c r="V15" s="62" t="n">
        <f aca="false">MROUND((J15*1.04),5)</f>
        <v>0</v>
      </c>
      <c r="W15" s="62" t="s">
        <v>42</v>
      </c>
      <c r="X15" s="62"/>
      <c r="Y15" s="64"/>
      <c r="Z15" s="66" t="n">
        <f aca="false">C15</f>
        <v>0</v>
      </c>
      <c r="AA15" s="62" t="n">
        <f aca="false">U15+(Y36)</f>
        <v>2</v>
      </c>
      <c r="AB15" s="62" t="n">
        <f aca="false">MROUND((P15*1.04),5)</f>
        <v>0</v>
      </c>
      <c r="AC15" s="62" t="s">
        <v>42</v>
      </c>
      <c r="AD15" s="62"/>
      <c r="AE15" s="64"/>
      <c r="AF15" s="66" t="n">
        <f aca="false">C15</f>
        <v>0</v>
      </c>
      <c r="AG15" s="62" t="n">
        <f aca="false">AA15+(AE36)</f>
        <v>2</v>
      </c>
      <c r="AH15" s="62" t="n">
        <f aca="false">MROUND((V15*1.04),5)</f>
        <v>0</v>
      </c>
      <c r="AI15" s="62" t="s">
        <v>42</v>
      </c>
      <c r="AJ15" s="62"/>
      <c r="AK15" s="64"/>
      <c r="AL15" s="63" t="n">
        <f aca="false">C15</f>
        <v>0</v>
      </c>
      <c r="AM15" s="62" t="n">
        <f aca="false">AG15+(AK36)</f>
        <v>2</v>
      </c>
      <c r="AN15" s="62" t="n">
        <f aca="false">MROUND((J15*1.1),5)</f>
        <v>0</v>
      </c>
      <c r="AO15" s="62" t="s">
        <v>43</v>
      </c>
      <c r="AP15" s="62"/>
      <c r="AQ15" s="64"/>
      <c r="AR15" s="63" t="n">
        <f aca="false">C15</f>
        <v>0</v>
      </c>
      <c r="AS15" s="62" t="n">
        <v>2</v>
      </c>
      <c r="AT15" s="67" t="n">
        <f aca="false">J15</f>
        <v>0</v>
      </c>
      <c r="AU15" s="42" t="s">
        <v>44</v>
      </c>
    </row>
    <row r="16" customFormat="false" ht="15" hidden="false" customHeight="false" outlineLevel="0" collapsed="false">
      <c r="B16" s="68" t="s">
        <v>49</v>
      </c>
      <c r="C16" s="69"/>
      <c r="D16" s="70" t="str">
        <f aca="false" t="array" ref="D16:D16">INDEX(Table_Name76[Name List],MATCH(B16,Table_Name76[Category],0))</f>
        <v>Horizontal_Back[Exercise]</v>
      </c>
      <c r="E16" s="71" t="e">
        <f aca="false" t="array" ref="E16:E16">INDEX(Links97[Link],MATCH(C16,Links97[Exercise],0))</f>
        <v>#N/A</v>
      </c>
      <c r="F16" s="72" t="e">
        <f aca="false">HYPERLINK(E16,"Video")</f>
        <v>#N/A</v>
      </c>
      <c r="G16" s="73"/>
      <c r="H16" s="61" t="n">
        <f aca="false">C16</f>
        <v>0</v>
      </c>
      <c r="I16" s="62" t="n">
        <v>2</v>
      </c>
      <c r="J16" s="62" t="n">
        <f aca="false">MROUND(((G16)*0.85),5)</f>
        <v>0</v>
      </c>
      <c r="K16" s="62" t="s">
        <v>41</v>
      </c>
      <c r="L16" s="62"/>
      <c r="M16" s="42"/>
      <c r="N16" s="63" t="n">
        <f aca="false">C16</f>
        <v>0</v>
      </c>
      <c r="O16" s="62" t="n">
        <f aca="false">I16+(M34)</f>
        <v>2</v>
      </c>
      <c r="P16" s="62" t="n">
        <f aca="false">MROUND((J16*1.02),5)</f>
        <v>0</v>
      </c>
      <c r="Q16" s="62" t="s">
        <v>41</v>
      </c>
      <c r="R16" s="62"/>
      <c r="S16" s="64"/>
      <c r="T16" s="65" t="n">
        <f aca="false">C16</f>
        <v>0</v>
      </c>
      <c r="U16" s="62" t="n">
        <f aca="false">O16+(S34)</f>
        <v>2</v>
      </c>
      <c r="V16" s="62" t="n">
        <f aca="false">MROUND((J16*1.04),5)</f>
        <v>0</v>
      </c>
      <c r="W16" s="62" t="s">
        <v>42</v>
      </c>
      <c r="X16" s="62"/>
      <c r="Y16" s="64"/>
      <c r="Z16" s="66" t="n">
        <f aca="false">C16</f>
        <v>0</v>
      </c>
      <c r="AA16" s="62" t="n">
        <f aca="false">U16+(Y34)</f>
        <v>2</v>
      </c>
      <c r="AB16" s="62" t="n">
        <f aca="false">MROUND((P16*1.04),5)</f>
        <v>0</v>
      </c>
      <c r="AC16" s="62" t="s">
        <v>42</v>
      </c>
      <c r="AD16" s="62"/>
      <c r="AE16" s="64"/>
      <c r="AF16" s="66" t="n">
        <f aca="false">C16</f>
        <v>0</v>
      </c>
      <c r="AG16" s="62" t="n">
        <f aca="false">AA16+(AE34)</f>
        <v>2</v>
      </c>
      <c r="AH16" s="62" t="n">
        <f aca="false">MROUND((V16*1.04),5)</f>
        <v>0</v>
      </c>
      <c r="AI16" s="62" t="s">
        <v>42</v>
      </c>
      <c r="AJ16" s="62"/>
      <c r="AK16" s="64"/>
      <c r="AL16" s="63" t="n">
        <f aca="false">C16</f>
        <v>0</v>
      </c>
      <c r="AM16" s="62" t="n">
        <f aca="false">AG16+(AK34)</f>
        <v>2</v>
      </c>
      <c r="AN16" s="62" t="n">
        <f aca="false">MROUND((J16*1.1),5)</f>
        <v>0</v>
      </c>
      <c r="AO16" s="62" t="s">
        <v>43</v>
      </c>
      <c r="AP16" s="62"/>
      <c r="AQ16" s="64"/>
      <c r="AR16" s="63" t="n">
        <f aca="false">C16</f>
        <v>0</v>
      </c>
      <c r="AS16" s="62" t="n">
        <v>2</v>
      </c>
      <c r="AT16" s="67" t="n">
        <f aca="false">J16</f>
        <v>0</v>
      </c>
      <c r="AU16" s="42" t="s">
        <v>44</v>
      </c>
    </row>
    <row r="17" customFormat="false" ht="15" hidden="false" customHeight="false" outlineLevel="0" collapsed="false">
      <c r="B17" s="68" t="s">
        <v>51</v>
      </c>
      <c r="C17" s="69"/>
      <c r="D17" s="70" t="str">
        <f aca="false" t="array" ref="D17:D17">INDEX(Table_Name76[Name List],MATCH(B17,Table_Name76[Category],0))</f>
        <v>Vertical_Back[Exercise]</v>
      </c>
      <c r="E17" s="71" t="e">
        <f aca="false" t="array" ref="E17:E17">INDEX(Links97[Link],MATCH(C17,Links97[Exercise],0))</f>
        <v>#N/A</v>
      </c>
      <c r="F17" s="72" t="e">
        <f aca="false">HYPERLINK(E17,"Video")</f>
        <v>#N/A</v>
      </c>
      <c r="G17" s="73"/>
      <c r="H17" s="61" t="n">
        <f aca="false">C17</f>
        <v>0</v>
      </c>
      <c r="I17" s="62" t="n">
        <v>2</v>
      </c>
      <c r="J17" s="62" t="n">
        <f aca="false">MROUND(((G17)*0.85),5)</f>
        <v>0</v>
      </c>
      <c r="K17" s="62" t="s">
        <v>41</v>
      </c>
      <c r="L17" s="62"/>
      <c r="M17" s="42"/>
      <c r="N17" s="63" t="n">
        <f aca="false">C17</f>
        <v>0</v>
      </c>
      <c r="O17" s="62" t="n">
        <f aca="false">I17+(M32)</f>
        <v>2</v>
      </c>
      <c r="P17" s="62" t="n">
        <f aca="false">MROUND((J17*1.02),5)</f>
        <v>0</v>
      </c>
      <c r="Q17" s="62" t="s">
        <v>41</v>
      </c>
      <c r="R17" s="62"/>
      <c r="S17" s="64"/>
      <c r="T17" s="65" t="n">
        <f aca="false">C17</f>
        <v>0</v>
      </c>
      <c r="U17" s="62" t="n">
        <f aca="false">O17+(S32)</f>
        <v>2</v>
      </c>
      <c r="V17" s="62" t="n">
        <f aca="false">MROUND((J17*1.04),5)</f>
        <v>0</v>
      </c>
      <c r="W17" s="62" t="s">
        <v>42</v>
      </c>
      <c r="X17" s="62"/>
      <c r="Y17" s="64"/>
      <c r="Z17" s="66" t="n">
        <f aca="false">C17</f>
        <v>0</v>
      </c>
      <c r="AA17" s="62" t="n">
        <f aca="false">U17+(Y32)</f>
        <v>2</v>
      </c>
      <c r="AB17" s="62" t="n">
        <f aca="false">MROUND((P17*1.04),5)</f>
        <v>0</v>
      </c>
      <c r="AC17" s="62" t="s">
        <v>42</v>
      </c>
      <c r="AD17" s="62"/>
      <c r="AE17" s="64"/>
      <c r="AF17" s="66" t="n">
        <f aca="false">C17</f>
        <v>0</v>
      </c>
      <c r="AG17" s="62" t="n">
        <f aca="false">AA17+(AE32)</f>
        <v>2</v>
      </c>
      <c r="AH17" s="62" t="n">
        <f aca="false">MROUND((V17*1.04),5)</f>
        <v>0</v>
      </c>
      <c r="AI17" s="62" t="s">
        <v>42</v>
      </c>
      <c r="AJ17" s="62"/>
      <c r="AK17" s="64"/>
      <c r="AL17" s="63" t="n">
        <f aca="false">C17</f>
        <v>0</v>
      </c>
      <c r="AM17" s="62" t="n">
        <f aca="false">AG17+(AK32)</f>
        <v>2</v>
      </c>
      <c r="AN17" s="62" t="n">
        <f aca="false">MROUND((J17*1.1),5)</f>
        <v>0</v>
      </c>
      <c r="AO17" s="62" t="s">
        <v>43</v>
      </c>
      <c r="AP17" s="62"/>
      <c r="AQ17" s="64"/>
      <c r="AR17" s="63" t="n">
        <f aca="false">C17</f>
        <v>0</v>
      </c>
      <c r="AS17" s="62" t="n">
        <v>2</v>
      </c>
      <c r="AT17" s="67" t="n">
        <f aca="false">J17</f>
        <v>0</v>
      </c>
      <c r="AU17" s="42" t="s">
        <v>44</v>
      </c>
    </row>
    <row r="18" customFormat="false" ht="15" hidden="false" customHeight="false" outlineLevel="0" collapsed="false">
      <c r="B18" s="68" t="s">
        <v>53</v>
      </c>
      <c r="C18" s="69"/>
      <c r="D18" s="70" t="str">
        <f aca="false" t="array" ref="D18:D18">INDEX(Table_Name76[Name List],MATCH(B18,Table_Name76[Category],0))</f>
        <v>Side_Delts[Exercise]</v>
      </c>
      <c r="E18" s="71" t="e">
        <f aca="false" t="array" ref="E18:E18">INDEX(Links97[Link],MATCH(C18,Links97[Exercise],0))</f>
        <v>#N/A</v>
      </c>
      <c r="F18" s="72" t="e">
        <f aca="false">HYPERLINK(E18,"Video")</f>
        <v>#N/A</v>
      </c>
      <c r="G18" s="73"/>
      <c r="H18" s="61" t="n">
        <f aca="false">C18</f>
        <v>0</v>
      </c>
      <c r="I18" s="62" t="n">
        <v>3</v>
      </c>
      <c r="J18" s="62" t="n">
        <f aca="false">MROUND(((G18)*0.85),5)</f>
        <v>0</v>
      </c>
      <c r="K18" s="62" t="s">
        <v>41</v>
      </c>
      <c r="L18" s="62" t="s">
        <v>11</v>
      </c>
      <c r="M18" s="42"/>
      <c r="N18" s="63" t="n">
        <f aca="false">C18</f>
        <v>0</v>
      </c>
      <c r="O18" s="62" t="n">
        <f aca="false">I18+(M35)</f>
        <v>3</v>
      </c>
      <c r="P18" s="62" t="n">
        <f aca="false">MROUND((J18*1.02),5)</f>
        <v>0</v>
      </c>
      <c r="Q18" s="62" t="s">
        <v>41</v>
      </c>
      <c r="R18" s="62"/>
      <c r="S18" s="64"/>
      <c r="T18" s="65" t="n">
        <f aca="false">C18</f>
        <v>0</v>
      </c>
      <c r="U18" s="62" t="n">
        <f aca="false">O18+(S35)</f>
        <v>3</v>
      </c>
      <c r="V18" s="62" t="n">
        <f aca="false">MROUND((J18*1.04),5)</f>
        <v>0</v>
      </c>
      <c r="W18" s="62" t="s">
        <v>42</v>
      </c>
      <c r="X18" s="62"/>
      <c r="Y18" s="64"/>
      <c r="Z18" s="66" t="n">
        <f aca="false">C18</f>
        <v>0</v>
      </c>
      <c r="AA18" s="62" t="n">
        <f aca="false">U18+(Y35)</f>
        <v>3</v>
      </c>
      <c r="AB18" s="62" t="n">
        <f aca="false">MROUND((P18*1.04),5)</f>
        <v>0</v>
      </c>
      <c r="AC18" s="62" t="s">
        <v>42</v>
      </c>
      <c r="AD18" s="62"/>
      <c r="AE18" s="64"/>
      <c r="AF18" s="66" t="n">
        <f aca="false">C18</f>
        <v>0</v>
      </c>
      <c r="AG18" s="62" t="n">
        <f aca="false">AA18+(AE35)</f>
        <v>3</v>
      </c>
      <c r="AH18" s="62" t="n">
        <f aca="false">MROUND((V18*1.04),5)</f>
        <v>0</v>
      </c>
      <c r="AI18" s="62" t="s">
        <v>42</v>
      </c>
      <c r="AJ18" s="62"/>
      <c r="AK18" s="64"/>
      <c r="AL18" s="63" t="n">
        <f aca="false">C18</f>
        <v>0</v>
      </c>
      <c r="AM18" s="62" t="n">
        <f aca="false">AG18+(AK35)</f>
        <v>3</v>
      </c>
      <c r="AN18" s="62" t="n">
        <f aca="false">MROUND((J18*1.1),5)</f>
        <v>0</v>
      </c>
      <c r="AO18" s="62" t="s">
        <v>43</v>
      </c>
      <c r="AP18" s="62"/>
      <c r="AQ18" s="64"/>
      <c r="AR18" s="63" t="n">
        <f aca="false">C18</f>
        <v>0</v>
      </c>
      <c r="AS18" s="62" t="n">
        <v>2</v>
      </c>
      <c r="AT18" s="67" t="n">
        <f aca="false">J18</f>
        <v>0</v>
      </c>
      <c r="AU18" s="42" t="s">
        <v>44</v>
      </c>
    </row>
    <row r="19" customFormat="false" ht="15" hidden="false" customHeight="false" outlineLevel="0" collapsed="false">
      <c r="B19" s="74" t="s">
        <v>55</v>
      </c>
      <c r="C19" s="75"/>
      <c r="D19" s="76" t="str">
        <f aca="false" t="array" ref="D19:D19">INDEX(Table_Name76[Name List],MATCH(B19,Table_Name76[Category],0))</f>
        <v>Abs[Exercise]</v>
      </c>
      <c r="E19" s="77" t="e">
        <f aca="false" t="array" ref="E19:E19">INDEX(Links97[Link],MATCH(C19,Links97[Exercise],0))</f>
        <v>#N/A</v>
      </c>
      <c r="F19" s="78" t="e">
        <f aca="false">HYPERLINK(E19,"Video")</f>
        <v>#N/A</v>
      </c>
      <c r="G19" s="79"/>
      <c r="H19" s="80" t="n">
        <f aca="false">C19</f>
        <v>0</v>
      </c>
      <c r="I19" s="81" t="n">
        <v>2</v>
      </c>
      <c r="J19" s="81" t="n">
        <f aca="false">MROUND(((G19)*0.85),5)</f>
        <v>0</v>
      </c>
      <c r="K19" s="81" t="s">
        <v>41</v>
      </c>
      <c r="L19" s="81"/>
      <c r="M19" s="82"/>
      <c r="N19" s="83" t="n">
        <f aca="false">C19</f>
        <v>0</v>
      </c>
      <c r="O19" s="81" t="n">
        <f aca="false">I19+(M38)</f>
        <v>2</v>
      </c>
      <c r="P19" s="62" t="n">
        <f aca="false">MROUND((J19*1.02),5)</f>
        <v>0</v>
      </c>
      <c r="Q19" s="81" t="s">
        <v>41</v>
      </c>
      <c r="R19" s="81"/>
      <c r="S19" s="64"/>
      <c r="T19" s="84" t="n">
        <f aca="false">C19</f>
        <v>0</v>
      </c>
      <c r="U19" s="81" t="n">
        <f aca="false">O19+(S38)</f>
        <v>2</v>
      </c>
      <c r="V19" s="62" t="n">
        <f aca="false">MROUND((J19*1.04),5)</f>
        <v>0</v>
      </c>
      <c r="W19" s="81" t="s">
        <v>42</v>
      </c>
      <c r="X19" s="81"/>
      <c r="Y19" s="64"/>
      <c r="Z19" s="66" t="n">
        <f aca="false">C19</f>
        <v>0</v>
      </c>
      <c r="AA19" s="81" t="n">
        <f aca="false">U19+(Y38)</f>
        <v>2</v>
      </c>
      <c r="AB19" s="62" t="n">
        <f aca="false">MROUND((P19*1.04),5)</f>
        <v>0</v>
      </c>
      <c r="AC19" s="81" t="s">
        <v>42</v>
      </c>
      <c r="AD19" s="81"/>
      <c r="AE19" s="64"/>
      <c r="AF19" s="66" t="n">
        <f aca="false">C19</f>
        <v>0</v>
      </c>
      <c r="AG19" s="81" t="n">
        <f aca="false">AA19+(AE38)</f>
        <v>2</v>
      </c>
      <c r="AH19" s="62" t="n">
        <f aca="false">MROUND((V19*1.04),5)</f>
        <v>0</v>
      </c>
      <c r="AI19" s="81" t="s">
        <v>42</v>
      </c>
      <c r="AJ19" s="81"/>
      <c r="AK19" s="64"/>
      <c r="AL19" s="83" t="n">
        <f aca="false">C19</f>
        <v>0</v>
      </c>
      <c r="AM19" s="81" t="n">
        <f aca="false">AG19+(AK38)</f>
        <v>2</v>
      </c>
      <c r="AN19" s="81" t="n">
        <f aca="false">MROUND((J19*1.1),5)</f>
        <v>0</v>
      </c>
      <c r="AO19" s="81" t="s">
        <v>43</v>
      </c>
      <c r="AP19" s="81"/>
      <c r="AQ19" s="64"/>
      <c r="AR19" s="83" t="n">
        <f aca="false">C19</f>
        <v>0</v>
      </c>
      <c r="AS19" s="81" t="n">
        <v>2</v>
      </c>
      <c r="AT19" s="85" t="n">
        <f aca="false">J19</f>
        <v>0</v>
      </c>
      <c r="AU19" s="82" t="s">
        <v>44</v>
      </c>
    </row>
    <row r="20" customFormat="false" ht="18.6" hidden="false" customHeight="false" outlineLevel="0" collapsed="false">
      <c r="B20" s="86" t="s">
        <v>57</v>
      </c>
      <c r="C20" s="41"/>
      <c r="D20" s="41"/>
      <c r="E20" s="41"/>
      <c r="F20" s="41"/>
      <c r="G20" s="42"/>
      <c r="H20" s="36" t="s">
        <v>20</v>
      </c>
      <c r="I20" s="36"/>
      <c r="J20" s="36"/>
      <c r="K20" s="36"/>
      <c r="L20" s="36"/>
      <c r="M20" s="36"/>
      <c r="N20" s="37" t="s">
        <v>21</v>
      </c>
      <c r="O20" s="37"/>
      <c r="P20" s="37"/>
      <c r="Q20" s="37"/>
      <c r="R20" s="37"/>
      <c r="S20" s="37"/>
      <c r="T20" s="38" t="s">
        <v>22</v>
      </c>
      <c r="U20" s="38"/>
      <c r="V20" s="38"/>
      <c r="W20" s="38"/>
      <c r="X20" s="38"/>
      <c r="Y20" s="38"/>
      <c r="Z20" s="38" t="s">
        <v>23</v>
      </c>
      <c r="AA20" s="38"/>
      <c r="AB20" s="38"/>
      <c r="AC20" s="38"/>
      <c r="AD20" s="38"/>
      <c r="AE20" s="38"/>
      <c r="AF20" s="38" t="s">
        <v>24</v>
      </c>
      <c r="AG20" s="38"/>
      <c r="AH20" s="38"/>
      <c r="AI20" s="38"/>
      <c r="AJ20" s="38"/>
      <c r="AK20" s="38"/>
      <c r="AL20" s="39" t="s">
        <v>25</v>
      </c>
      <c r="AM20" s="39"/>
      <c r="AN20" s="39"/>
      <c r="AO20" s="39"/>
      <c r="AP20" s="39"/>
      <c r="AQ20" s="39"/>
      <c r="AR20" s="40" t="s">
        <v>26</v>
      </c>
      <c r="AS20" s="40"/>
      <c r="AT20" s="40"/>
      <c r="AU20" s="40"/>
    </row>
    <row r="21" customFormat="false" ht="15" hidden="false" customHeight="false" outlineLevel="0" collapsed="false">
      <c r="B21" s="41"/>
      <c r="C21" s="41"/>
      <c r="D21" s="41"/>
      <c r="E21" s="41"/>
      <c r="F21" s="41"/>
      <c r="G21" s="41"/>
      <c r="H21" s="43" t="s">
        <v>29</v>
      </c>
      <c r="I21" s="44" t="s">
        <v>30</v>
      </c>
      <c r="J21" s="45" t="s">
        <v>31</v>
      </c>
      <c r="K21" s="46" t="s">
        <v>32</v>
      </c>
      <c r="L21" s="46" t="s">
        <v>33</v>
      </c>
      <c r="M21" s="47" t="s">
        <v>34</v>
      </c>
      <c r="N21" s="48" t="s">
        <v>29</v>
      </c>
      <c r="O21" s="48" t="s">
        <v>30</v>
      </c>
      <c r="P21" s="45" t="s">
        <v>31</v>
      </c>
      <c r="Q21" s="46" t="s">
        <v>32</v>
      </c>
      <c r="R21" s="46" t="s">
        <v>33</v>
      </c>
      <c r="S21" s="47" t="s">
        <v>34</v>
      </c>
      <c r="T21" s="48" t="s">
        <v>29</v>
      </c>
      <c r="U21" s="48" t="s">
        <v>30</v>
      </c>
      <c r="V21" s="45" t="s">
        <v>31</v>
      </c>
      <c r="W21" s="46" t="s">
        <v>32</v>
      </c>
      <c r="X21" s="46" t="s">
        <v>33</v>
      </c>
      <c r="Y21" s="47" t="s">
        <v>34</v>
      </c>
      <c r="Z21" s="48" t="s">
        <v>29</v>
      </c>
      <c r="AA21" s="48" t="s">
        <v>30</v>
      </c>
      <c r="AB21" s="45" t="s">
        <v>31</v>
      </c>
      <c r="AC21" s="46" t="s">
        <v>32</v>
      </c>
      <c r="AD21" s="46" t="s">
        <v>33</v>
      </c>
      <c r="AE21" s="47" t="s">
        <v>34</v>
      </c>
      <c r="AF21" s="48" t="s">
        <v>29</v>
      </c>
      <c r="AG21" s="48" t="s">
        <v>30</v>
      </c>
      <c r="AH21" s="45" t="s">
        <v>31</v>
      </c>
      <c r="AI21" s="46" t="s">
        <v>32</v>
      </c>
      <c r="AJ21" s="46" t="s">
        <v>33</v>
      </c>
      <c r="AK21" s="47" t="s">
        <v>34</v>
      </c>
      <c r="AL21" s="48" t="s">
        <v>29</v>
      </c>
      <c r="AM21" s="48" t="s">
        <v>30</v>
      </c>
      <c r="AN21" s="45" t="s">
        <v>31</v>
      </c>
      <c r="AO21" s="87" t="s">
        <v>58</v>
      </c>
      <c r="AP21" s="46" t="s">
        <v>33</v>
      </c>
      <c r="AQ21" s="47" t="s">
        <v>34</v>
      </c>
      <c r="AR21" s="48" t="s">
        <v>29</v>
      </c>
      <c r="AS21" s="48" t="s">
        <v>30</v>
      </c>
      <c r="AT21" s="45" t="s">
        <v>31</v>
      </c>
      <c r="AU21" s="49" t="s">
        <v>32</v>
      </c>
    </row>
    <row r="22" customFormat="false" ht="15" hidden="false" customHeight="false" outlineLevel="0" collapsed="false">
      <c r="B22" s="50" t="s">
        <v>59</v>
      </c>
      <c r="C22" s="51" t="s">
        <v>60</v>
      </c>
      <c r="D22" s="52"/>
      <c r="E22" s="88"/>
      <c r="F22" s="51" t="s">
        <v>37</v>
      </c>
      <c r="G22" s="51" t="s">
        <v>38</v>
      </c>
      <c r="H22" s="46" t="s">
        <v>60</v>
      </c>
      <c r="I22" s="53"/>
      <c r="J22" s="53"/>
      <c r="K22" s="53"/>
      <c r="L22" s="53"/>
      <c r="M22" s="54"/>
      <c r="N22" s="43" t="s">
        <v>60</v>
      </c>
      <c r="O22" s="53"/>
      <c r="P22" s="53"/>
      <c r="Q22" s="53"/>
      <c r="R22" s="53"/>
      <c r="S22" s="54"/>
      <c r="T22" s="43" t="s">
        <v>60</v>
      </c>
      <c r="U22" s="53"/>
      <c r="V22" s="53"/>
      <c r="W22" s="53"/>
      <c r="X22" s="53"/>
      <c r="Y22" s="53"/>
      <c r="Z22" s="43" t="s">
        <v>60</v>
      </c>
      <c r="AA22" s="53"/>
      <c r="AB22" s="53"/>
      <c r="AC22" s="53"/>
      <c r="AD22" s="53"/>
      <c r="AE22" s="53"/>
      <c r="AF22" s="43" t="s">
        <v>60</v>
      </c>
      <c r="AG22" s="53"/>
      <c r="AH22" s="53"/>
      <c r="AI22" s="53"/>
      <c r="AJ22" s="53"/>
      <c r="AK22" s="53"/>
      <c r="AL22" s="43" t="s">
        <v>60</v>
      </c>
      <c r="AM22" s="53"/>
      <c r="AN22" s="53"/>
      <c r="AO22" s="53"/>
      <c r="AP22" s="53"/>
      <c r="AQ22" s="53"/>
      <c r="AR22" s="43" t="s">
        <v>60</v>
      </c>
      <c r="AS22" s="53"/>
      <c r="AT22" s="53"/>
      <c r="AU22" s="54"/>
    </row>
    <row r="23" customFormat="false" ht="15" hidden="false" customHeight="false" outlineLevel="0" collapsed="false">
      <c r="B23" s="55" t="s">
        <v>61</v>
      </c>
      <c r="C23" s="56"/>
      <c r="D23" s="57" t="str">
        <f aca="false" t="array" ref="D23:D23">INDEX(Table_Name76[Name List],MATCH(B23,Table_Name76[Category],0))</f>
        <v>Quads[Exercise]</v>
      </c>
      <c r="E23" s="58" t="e">
        <f aca="false" t="array" ref="E23:E23">INDEX(Links97[Link],MATCH(C23,Links97[Exercise],0))</f>
        <v>#N/A</v>
      </c>
      <c r="F23" s="59" t="e">
        <f aca="false">HYPERLINK(E23,"Video")</f>
        <v>#N/A</v>
      </c>
      <c r="G23" s="60"/>
      <c r="H23" s="61" t="n">
        <f aca="false">C23</f>
        <v>0</v>
      </c>
      <c r="I23" s="62" t="n">
        <v>3</v>
      </c>
      <c r="J23" s="62" t="n">
        <f aca="false">MROUND(((G23)*0.85),5)</f>
        <v>0</v>
      </c>
      <c r="K23" s="62" t="s">
        <v>41</v>
      </c>
      <c r="L23" s="62"/>
      <c r="M23" s="42"/>
      <c r="N23" s="61" t="n">
        <f aca="false">C23</f>
        <v>0</v>
      </c>
      <c r="O23" s="62" t="n">
        <f aca="false">I23+(M44)</f>
        <v>3</v>
      </c>
      <c r="P23" s="62" t="n">
        <f aca="false">MROUND((J23*1.02),5)</f>
        <v>0</v>
      </c>
      <c r="Q23" s="62" t="s">
        <v>41</v>
      </c>
      <c r="R23" s="62"/>
      <c r="S23" s="64"/>
      <c r="T23" s="65" t="n">
        <f aca="false">C23</f>
        <v>0</v>
      </c>
      <c r="U23" s="62" t="n">
        <f aca="false">O23+(S44)</f>
        <v>3</v>
      </c>
      <c r="V23" s="62" t="n">
        <f aca="false">MROUND((J23*1.04),5)</f>
        <v>0</v>
      </c>
      <c r="W23" s="62" t="s">
        <v>42</v>
      </c>
      <c r="X23" s="62"/>
      <c r="Y23" s="64"/>
      <c r="Z23" s="66" t="n">
        <f aca="false">C23</f>
        <v>0</v>
      </c>
      <c r="AA23" s="62" t="n">
        <f aca="false">U23+(Y44)</f>
        <v>3</v>
      </c>
      <c r="AB23" s="62" t="n">
        <f aca="false">MROUND((P23*1.04),5)</f>
        <v>0</v>
      </c>
      <c r="AC23" s="62" t="s">
        <v>42</v>
      </c>
      <c r="AD23" s="62"/>
      <c r="AE23" s="64"/>
      <c r="AF23" s="66" t="n">
        <f aca="false">C23</f>
        <v>0</v>
      </c>
      <c r="AG23" s="62" t="n">
        <f aca="false">AA23+(AE44)</f>
        <v>3</v>
      </c>
      <c r="AH23" s="62" t="n">
        <f aca="false">MROUND((V23*1.04),5)</f>
        <v>0</v>
      </c>
      <c r="AI23" s="62" t="s">
        <v>42</v>
      </c>
      <c r="AJ23" s="62"/>
      <c r="AK23" s="64"/>
      <c r="AL23" s="63" t="n">
        <f aca="false">C23</f>
        <v>0</v>
      </c>
      <c r="AM23" s="62" t="n">
        <f aca="false">AG23+(AK44)</f>
        <v>3</v>
      </c>
      <c r="AN23" s="62" t="n">
        <f aca="false">MROUND((J23*1.1),5)</f>
        <v>0</v>
      </c>
      <c r="AO23" s="62" t="s">
        <v>43</v>
      </c>
      <c r="AP23" s="62"/>
      <c r="AQ23" s="64"/>
      <c r="AR23" s="63" t="n">
        <f aca="false">C23</f>
        <v>0</v>
      </c>
      <c r="AS23" s="62" t="n">
        <v>2</v>
      </c>
      <c r="AT23" s="67" t="n">
        <f aca="false">J23</f>
        <v>0</v>
      </c>
      <c r="AU23" s="42" t="s">
        <v>44</v>
      </c>
    </row>
    <row r="24" customFormat="false" ht="15" hidden="false" customHeight="false" outlineLevel="0" collapsed="false">
      <c r="B24" s="68" t="s">
        <v>61</v>
      </c>
      <c r="C24" s="69"/>
      <c r="D24" s="70" t="str">
        <f aca="false" t="array" ref="D24:D24">INDEX(Table_Name76[Name List],MATCH(B24,Table_Name76[Category],0))</f>
        <v>Quads[Exercise]</v>
      </c>
      <c r="E24" s="71" t="e">
        <f aca="false" t="array" ref="E24:E24">INDEX(Links97[Link],MATCH(C24,Links97[Exercise],0))</f>
        <v>#N/A</v>
      </c>
      <c r="F24" s="72" t="e">
        <f aca="false">HYPERLINK(E24,"Video")</f>
        <v>#N/A</v>
      </c>
      <c r="G24" s="73"/>
      <c r="H24" s="61" t="n">
        <f aca="false">C24</f>
        <v>0</v>
      </c>
      <c r="I24" s="62" t="n">
        <v>2</v>
      </c>
      <c r="J24" s="62" t="n">
        <f aca="false">MROUND(((G24)*0.85),5)</f>
        <v>0</v>
      </c>
      <c r="K24" s="62" t="s">
        <v>41</v>
      </c>
      <c r="L24" s="62"/>
      <c r="M24" s="42"/>
      <c r="N24" s="61" t="n">
        <f aca="false">C24</f>
        <v>0</v>
      </c>
      <c r="O24" s="62" t="n">
        <f aca="false">I24+(M44)</f>
        <v>2</v>
      </c>
      <c r="P24" s="62" t="n">
        <f aca="false">MROUND((J24*1.02),5)</f>
        <v>0</v>
      </c>
      <c r="Q24" s="62" t="s">
        <v>41</v>
      </c>
      <c r="R24" s="62"/>
      <c r="S24" s="64"/>
      <c r="T24" s="65" t="n">
        <f aca="false">C24</f>
        <v>0</v>
      </c>
      <c r="U24" s="62" t="n">
        <f aca="false">O24+(S44)</f>
        <v>2</v>
      </c>
      <c r="V24" s="62" t="n">
        <f aca="false">MROUND((J24*1.04),5)</f>
        <v>0</v>
      </c>
      <c r="W24" s="62" t="s">
        <v>42</v>
      </c>
      <c r="X24" s="62"/>
      <c r="Y24" s="64"/>
      <c r="Z24" s="66" t="n">
        <f aca="false">C24</f>
        <v>0</v>
      </c>
      <c r="AA24" s="62" t="n">
        <f aca="false">U24+(Y44)</f>
        <v>2</v>
      </c>
      <c r="AB24" s="62" t="n">
        <f aca="false">MROUND((P24*1.04),5)</f>
        <v>0</v>
      </c>
      <c r="AC24" s="62" t="s">
        <v>42</v>
      </c>
      <c r="AD24" s="62"/>
      <c r="AE24" s="64"/>
      <c r="AF24" s="66" t="n">
        <f aca="false">C24</f>
        <v>0</v>
      </c>
      <c r="AG24" s="62" t="n">
        <f aca="false">AA24+(AE44)</f>
        <v>2</v>
      </c>
      <c r="AH24" s="62" t="n">
        <f aca="false">MROUND((V24*1.04),5)</f>
        <v>0</v>
      </c>
      <c r="AI24" s="62" t="s">
        <v>42</v>
      </c>
      <c r="AJ24" s="62"/>
      <c r="AK24" s="64"/>
      <c r="AL24" s="63" t="n">
        <f aca="false">C24</f>
        <v>0</v>
      </c>
      <c r="AM24" s="62" t="n">
        <f aca="false">AG24+(AK44)</f>
        <v>2</v>
      </c>
      <c r="AN24" s="62" t="n">
        <f aca="false">MROUND((J24*1.1),5)</f>
        <v>0</v>
      </c>
      <c r="AO24" s="62" t="s">
        <v>43</v>
      </c>
      <c r="AP24" s="62"/>
      <c r="AQ24" s="64"/>
      <c r="AR24" s="63" t="n">
        <f aca="false">C24</f>
        <v>0</v>
      </c>
      <c r="AS24" s="62" t="n">
        <v>2</v>
      </c>
      <c r="AT24" s="67" t="n">
        <f aca="false">J24</f>
        <v>0</v>
      </c>
      <c r="AU24" s="42" t="s">
        <v>44</v>
      </c>
    </row>
    <row r="25" customFormat="false" ht="15" hidden="false" customHeight="false" outlineLevel="0" collapsed="false">
      <c r="B25" s="68" t="s">
        <v>64</v>
      </c>
      <c r="C25" s="69"/>
      <c r="D25" s="70" t="str">
        <f aca="false" t="array" ref="D25:D25">INDEX(Table_Name76[Name List],MATCH(B25,Table_Name76[Category],0))</f>
        <v>Hamstrings_Isolation[Exercise]</v>
      </c>
      <c r="E25" s="71" t="e">
        <f aca="false" t="array" ref="E25:E25">INDEX(Links97[Link],MATCH(C25,Links97[Exercise],0))</f>
        <v>#N/A</v>
      </c>
      <c r="F25" s="72" t="e">
        <f aca="false">HYPERLINK(E25,"Video")</f>
        <v>#N/A</v>
      </c>
      <c r="G25" s="73"/>
      <c r="H25" s="61" t="n">
        <f aca="false">C25</f>
        <v>0</v>
      </c>
      <c r="I25" s="62" t="n">
        <v>3</v>
      </c>
      <c r="J25" s="62" t="n">
        <f aca="false">MROUND(((G25)*0.85),5)</f>
        <v>0</v>
      </c>
      <c r="K25" s="62" t="s">
        <v>41</v>
      </c>
      <c r="L25" s="62"/>
      <c r="M25" s="42"/>
      <c r="N25" s="61" t="n">
        <f aca="false">C25</f>
        <v>0</v>
      </c>
      <c r="O25" s="62" t="n">
        <f aca="false">I25+(M43)</f>
        <v>3</v>
      </c>
      <c r="P25" s="62" t="n">
        <f aca="false">MROUND((J25*1.02),5)</f>
        <v>0</v>
      </c>
      <c r="Q25" s="62" t="s">
        <v>41</v>
      </c>
      <c r="R25" s="62"/>
      <c r="S25" s="64"/>
      <c r="T25" s="65" t="n">
        <f aca="false">C25</f>
        <v>0</v>
      </c>
      <c r="U25" s="62" t="n">
        <f aca="false">O25+(S43)</f>
        <v>3</v>
      </c>
      <c r="V25" s="62" t="n">
        <f aca="false">MROUND((J25*1.04),5)</f>
        <v>0</v>
      </c>
      <c r="W25" s="62" t="s">
        <v>42</v>
      </c>
      <c r="X25" s="62"/>
      <c r="Y25" s="64"/>
      <c r="Z25" s="66" t="n">
        <f aca="false">C25</f>
        <v>0</v>
      </c>
      <c r="AA25" s="62" t="n">
        <f aca="false">U25+(Y43)</f>
        <v>3</v>
      </c>
      <c r="AB25" s="62" t="n">
        <f aca="false">MROUND((P25*1.04),5)</f>
        <v>0</v>
      </c>
      <c r="AC25" s="62" t="s">
        <v>42</v>
      </c>
      <c r="AD25" s="62"/>
      <c r="AE25" s="64"/>
      <c r="AF25" s="66" t="n">
        <f aca="false">C25</f>
        <v>0</v>
      </c>
      <c r="AG25" s="62" t="n">
        <f aca="false">AA25+(AE43)</f>
        <v>3</v>
      </c>
      <c r="AH25" s="62" t="n">
        <f aca="false">MROUND((V25*1.04),5)</f>
        <v>0</v>
      </c>
      <c r="AI25" s="62" t="s">
        <v>42</v>
      </c>
      <c r="AJ25" s="62"/>
      <c r="AK25" s="64"/>
      <c r="AL25" s="63" t="n">
        <f aca="false">C25</f>
        <v>0</v>
      </c>
      <c r="AM25" s="62" t="n">
        <f aca="false">AG25+(AK43)</f>
        <v>3</v>
      </c>
      <c r="AN25" s="62" t="n">
        <f aca="false">MROUND((J25*1.1),5)</f>
        <v>0</v>
      </c>
      <c r="AO25" s="62" t="s">
        <v>43</v>
      </c>
      <c r="AP25" s="62"/>
      <c r="AQ25" s="64"/>
      <c r="AR25" s="63" t="n">
        <f aca="false">C25</f>
        <v>0</v>
      </c>
      <c r="AS25" s="62" t="n">
        <v>2</v>
      </c>
      <c r="AT25" s="67" t="n">
        <f aca="false">J25</f>
        <v>0</v>
      </c>
      <c r="AU25" s="42" t="s">
        <v>44</v>
      </c>
    </row>
    <row r="26" customFormat="false" ht="15" hidden="false" customHeight="false" outlineLevel="0" collapsed="false">
      <c r="B26" s="68" t="s">
        <v>66</v>
      </c>
      <c r="C26" s="69"/>
      <c r="D26" s="70" t="str">
        <f aca="false" t="array" ref="D26:D26">INDEX(Table_Name76[Name List],MATCH(B26,Table_Name76[Category],0))</f>
        <v>Calves[Exercise]</v>
      </c>
      <c r="E26" s="71" t="e">
        <f aca="false" t="array" ref="E26:E26">INDEX(Links97[Link],MATCH(C26,Links97[Exercise],0))</f>
        <v>#N/A</v>
      </c>
      <c r="F26" s="72" t="e">
        <f aca="false">HYPERLINK(E26,"Video")</f>
        <v>#N/A</v>
      </c>
      <c r="G26" s="73"/>
      <c r="H26" s="61" t="n">
        <f aca="false">C26</f>
        <v>0</v>
      </c>
      <c r="I26" s="62" t="n">
        <v>4</v>
      </c>
      <c r="J26" s="62" t="n">
        <f aca="false">MROUND(((G26)*0.85),5)</f>
        <v>0</v>
      </c>
      <c r="K26" s="62" t="s">
        <v>41</v>
      </c>
      <c r="L26" s="62"/>
      <c r="M26" s="42"/>
      <c r="N26" s="61" t="n">
        <f aca="false">C26</f>
        <v>0</v>
      </c>
      <c r="O26" s="62" t="n">
        <f aca="false">I26+(M47)</f>
        <v>4</v>
      </c>
      <c r="P26" s="62" t="n">
        <f aca="false">MROUND((J26*1.02),5)</f>
        <v>0</v>
      </c>
      <c r="Q26" s="62" t="s">
        <v>41</v>
      </c>
      <c r="R26" s="62"/>
      <c r="S26" s="64"/>
      <c r="T26" s="65" t="n">
        <f aca="false">C26</f>
        <v>0</v>
      </c>
      <c r="U26" s="62" t="n">
        <f aca="false">O26+(S47)</f>
        <v>4</v>
      </c>
      <c r="V26" s="62" t="n">
        <f aca="false">MROUND((J26*1.04),5)</f>
        <v>0</v>
      </c>
      <c r="W26" s="62" t="s">
        <v>42</v>
      </c>
      <c r="X26" s="62"/>
      <c r="Y26" s="64"/>
      <c r="Z26" s="66" t="n">
        <f aca="false">C26</f>
        <v>0</v>
      </c>
      <c r="AA26" s="62" t="n">
        <f aca="false">U26+(Y47)</f>
        <v>4</v>
      </c>
      <c r="AB26" s="62" t="n">
        <f aca="false">MROUND((P26*1.04),5)</f>
        <v>0</v>
      </c>
      <c r="AC26" s="62" t="s">
        <v>42</v>
      </c>
      <c r="AD26" s="62"/>
      <c r="AE26" s="64"/>
      <c r="AF26" s="66" t="n">
        <f aca="false">C26</f>
        <v>0</v>
      </c>
      <c r="AG26" s="62" t="n">
        <f aca="false">AA26+(AE47)</f>
        <v>4</v>
      </c>
      <c r="AH26" s="62" t="n">
        <f aca="false">MROUND((V26*1.04),5)</f>
        <v>0</v>
      </c>
      <c r="AI26" s="62" t="s">
        <v>42</v>
      </c>
      <c r="AJ26" s="62"/>
      <c r="AK26" s="64"/>
      <c r="AL26" s="63" t="n">
        <f aca="false">C26</f>
        <v>0</v>
      </c>
      <c r="AM26" s="62" t="n">
        <f aca="false">AG26+(AK47)</f>
        <v>4</v>
      </c>
      <c r="AN26" s="62" t="n">
        <f aca="false">MROUND((J26*1.1),5)</f>
        <v>0</v>
      </c>
      <c r="AO26" s="62" t="s">
        <v>43</v>
      </c>
      <c r="AP26" s="62"/>
      <c r="AQ26" s="64"/>
      <c r="AR26" s="63" t="n">
        <f aca="false">C26</f>
        <v>0</v>
      </c>
      <c r="AS26" s="62" t="n">
        <v>2</v>
      </c>
      <c r="AT26" s="67" t="n">
        <f aca="false">J26</f>
        <v>0</v>
      </c>
      <c r="AU26" s="42" t="s">
        <v>44</v>
      </c>
    </row>
    <row r="27" customFormat="false" ht="15" hidden="false" customHeight="false" outlineLevel="0" collapsed="false">
      <c r="B27" s="68" t="s">
        <v>68</v>
      </c>
      <c r="C27" s="69"/>
      <c r="D27" s="70" t="str">
        <f aca="false" t="array" ref="D27:D27">INDEX(Table_Name76[Name List],MATCH(B27,Table_Name76[Category],0))</f>
        <v>Triceps[Exercise]</v>
      </c>
      <c r="E27" s="71" t="e">
        <f aca="false" t="array" ref="E27:E27">INDEX(Links97[Link],MATCH(C27,Links97[Exercise],0))</f>
        <v>#N/A</v>
      </c>
      <c r="F27" s="72" t="e">
        <f aca="false">HYPERLINK(E27,"Video")</f>
        <v>#N/A</v>
      </c>
      <c r="G27" s="73"/>
      <c r="H27" s="61" t="n">
        <f aca="false">C27</f>
        <v>0</v>
      </c>
      <c r="I27" s="62" t="n">
        <v>3</v>
      </c>
      <c r="J27" s="62" t="n">
        <f aca="false">MROUND(((G27)*0.85),5)</f>
        <v>0</v>
      </c>
      <c r="K27" s="62" t="s">
        <v>41</v>
      </c>
      <c r="L27" s="62"/>
      <c r="M27" s="42"/>
      <c r="N27" s="61" t="n">
        <f aca="false">C27</f>
        <v>0</v>
      </c>
      <c r="O27" s="62" t="n">
        <f aca="false">I27+(M37)</f>
        <v>3</v>
      </c>
      <c r="P27" s="62" t="n">
        <f aca="false">MROUND((J27*1.02),5)</f>
        <v>0</v>
      </c>
      <c r="Q27" s="62" t="s">
        <v>41</v>
      </c>
      <c r="R27" s="62"/>
      <c r="S27" s="64"/>
      <c r="T27" s="65" t="n">
        <f aca="false">C27</f>
        <v>0</v>
      </c>
      <c r="U27" s="62" t="n">
        <f aca="false">O27+(S37)</f>
        <v>3</v>
      </c>
      <c r="V27" s="62" t="n">
        <f aca="false">MROUND((J27*1.04),5)</f>
        <v>0</v>
      </c>
      <c r="W27" s="62" t="s">
        <v>42</v>
      </c>
      <c r="X27" s="62"/>
      <c r="Y27" s="64"/>
      <c r="Z27" s="66" t="n">
        <f aca="false">C27</f>
        <v>0</v>
      </c>
      <c r="AA27" s="62" t="n">
        <f aca="false">U27+(Y37)</f>
        <v>3</v>
      </c>
      <c r="AB27" s="62" t="n">
        <f aca="false">MROUND((P27*1.04),5)</f>
        <v>0</v>
      </c>
      <c r="AC27" s="62" t="s">
        <v>42</v>
      </c>
      <c r="AD27" s="62"/>
      <c r="AE27" s="64"/>
      <c r="AF27" s="66" t="n">
        <f aca="false">C27</f>
        <v>0</v>
      </c>
      <c r="AG27" s="62" t="n">
        <f aca="false">AA27+(AE37)</f>
        <v>3</v>
      </c>
      <c r="AH27" s="62" t="n">
        <f aca="false">MROUND((V27*1.04),5)</f>
        <v>0</v>
      </c>
      <c r="AI27" s="62" t="s">
        <v>42</v>
      </c>
      <c r="AJ27" s="62"/>
      <c r="AK27" s="64"/>
      <c r="AL27" s="63" t="n">
        <f aca="false">C27</f>
        <v>0</v>
      </c>
      <c r="AM27" s="62" t="n">
        <f aca="false">AG27+(AK37)</f>
        <v>3</v>
      </c>
      <c r="AN27" s="62" t="n">
        <f aca="false">MROUND((J27*1.1),5)</f>
        <v>0</v>
      </c>
      <c r="AO27" s="62" t="s">
        <v>43</v>
      </c>
      <c r="AP27" s="62"/>
      <c r="AQ27" s="64"/>
      <c r="AR27" s="63" t="n">
        <f aca="false">C27</f>
        <v>0</v>
      </c>
      <c r="AS27" s="62" t="n">
        <v>2</v>
      </c>
      <c r="AT27" s="67" t="n">
        <f aca="false">J27</f>
        <v>0</v>
      </c>
      <c r="AU27" s="42" t="s">
        <v>44</v>
      </c>
    </row>
    <row r="28" customFormat="false" ht="15" hidden="false" customHeight="false" outlineLevel="0" collapsed="false">
      <c r="B28" s="74" t="s">
        <v>70</v>
      </c>
      <c r="C28" s="75"/>
      <c r="D28" s="76" t="str">
        <f aca="false" t="array" ref="D28:D28">INDEX(Table_Name76[Name List],MATCH(B28,Table_Name76[Category],0))</f>
        <v>Front_Delts[Exercise]</v>
      </c>
      <c r="E28" s="77" t="e">
        <f aca="false" t="array" ref="E28:E28">INDEX(Links97[Link],MATCH(C28,Links97[Exercise],0))</f>
        <v>#N/A</v>
      </c>
      <c r="F28" s="78" t="e">
        <f aca="false">HYPERLINK(E28,"Video")</f>
        <v>#N/A</v>
      </c>
      <c r="G28" s="79"/>
      <c r="H28" s="61" t="n">
        <f aca="false">C28</f>
        <v>0</v>
      </c>
      <c r="I28" s="62" t="n">
        <v>3</v>
      </c>
      <c r="J28" s="62" t="n">
        <f aca="false">MROUND(((G28)*0.85),5)</f>
        <v>0</v>
      </c>
      <c r="K28" s="62" t="s">
        <v>41</v>
      </c>
      <c r="L28" s="62"/>
      <c r="M28" s="42"/>
      <c r="N28" s="61" t="n">
        <f aca="false">C28</f>
        <v>0</v>
      </c>
      <c r="O28" s="62" t="n">
        <f aca="false">I28+(M37)</f>
        <v>3</v>
      </c>
      <c r="P28" s="62" t="n">
        <f aca="false">MROUND((J28*1.02),5)</f>
        <v>0</v>
      </c>
      <c r="Q28" s="62" t="s">
        <v>41</v>
      </c>
      <c r="R28" s="62"/>
      <c r="S28" s="64"/>
      <c r="T28" s="65" t="n">
        <f aca="false">C28</f>
        <v>0</v>
      </c>
      <c r="U28" s="62" t="n">
        <f aca="false">O28+(S37)</f>
        <v>3</v>
      </c>
      <c r="V28" s="62" t="n">
        <f aca="false">MROUND((J28*1.04),5)</f>
        <v>0</v>
      </c>
      <c r="W28" s="62" t="s">
        <v>42</v>
      </c>
      <c r="X28" s="62"/>
      <c r="Y28" s="64"/>
      <c r="Z28" s="66" t="n">
        <f aca="false">C28</f>
        <v>0</v>
      </c>
      <c r="AA28" s="62" t="n">
        <f aca="false">U28+(Y37)</f>
        <v>3</v>
      </c>
      <c r="AB28" s="62" t="n">
        <f aca="false">MROUND((P28*1.04),5)</f>
        <v>0</v>
      </c>
      <c r="AC28" s="62" t="s">
        <v>42</v>
      </c>
      <c r="AD28" s="62"/>
      <c r="AE28" s="64"/>
      <c r="AF28" s="66" t="n">
        <f aca="false">C28</f>
        <v>0</v>
      </c>
      <c r="AG28" s="62" t="n">
        <f aca="false">AA28+(AE37)</f>
        <v>3</v>
      </c>
      <c r="AH28" s="62" t="n">
        <f aca="false">MROUND((V28*1.04),5)</f>
        <v>0</v>
      </c>
      <c r="AI28" s="62" t="s">
        <v>42</v>
      </c>
      <c r="AJ28" s="62"/>
      <c r="AK28" s="64"/>
      <c r="AL28" s="63" t="n">
        <f aca="false">C28</f>
        <v>0</v>
      </c>
      <c r="AM28" s="62" t="n">
        <f aca="false">AG28+(AK37)</f>
        <v>3</v>
      </c>
      <c r="AN28" s="62" t="n">
        <f aca="false">MROUND((J28*1.1),5)</f>
        <v>0</v>
      </c>
      <c r="AO28" s="62" t="s">
        <v>43</v>
      </c>
      <c r="AP28" s="62"/>
      <c r="AQ28" s="64"/>
      <c r="AR28" s="63" t="n">
        <f aca="false">C28</f>
        <v>0</v>
      </c>
      <c r="AS28" s="62" t="n">
        <v>2</v>
      </c>
      <c r="AT28" s="67" t="n">
        <f aca="false">J28</f>
        <v>0</v>
      </c>
      <c r="AU28" s="42" t="s">
        <v>44</v>
      </c>
    </row>
    <row r="29" customFormat="false" ht="18.6" hidden="false" customHeight="false" outlineLevel="0" collapsed="false">
      <c r="B29" s="86" t="s">
        <v>72</v>
      </c>
      <c r="C29" s="41"/>
      <c r="D29" s="41"/>
      <c r="E29" s="41"/>
      <c r="F29" s="41"/>
      <c r="G29" s="42"/>
      <c r="H29" s="36" t="s">
        <v>20</v>
      </c>
      <c r="I29" s="36"/>
      <c r="J29" s="36"/>
      <c r="K29" s="36"/>
      <c r="L29" s="36"/>
      <c r="M29" s="36"/>
      <c r="N29" s="37" t="s">
        <v>21</v>
      </c>
      <c r="O29" s="37"/>
      <c r="P29" s="37"/>
      <c r="Q29" s="37"/>
      <c r="R29" s="37"/>
      <c r="S29" s="37"/>
      <c r="T29" s="38" t="s">
        <v>22</v>
      </c>
      <c r="U29" s="38"/>
      <c r="V29" s="38"/>
      <c r="W29" s="38"/>
      <c r="X29" s="38"/>
      <c r="Y29" s="38"/>
      <c r="Z29" s="38" t="s">
        <v>23</v>
      </c>
      <c r="AA29" s="38"/>
      <c r="AB29" s="38"/>
      <c r="AC29" s="38"/>
      <c r="AD29" s="38"/>
      <c r="AE29" s="38"/>
      <c r="AF29" s="38" t="s">
        <v>24</v>
      </c>
      <c r="AG29" s="38"/>
      <c r="AH29" s="38"/>
      <c r="AI29" s="38"/>
      <c r="AJ29" s="38"/>
      <c r="AK29" s="38"/>
      <c r="AL29" s="39" t="s">
        <v>25</v>
      </c>
      <c r="AM29" s="39"/>
      <c r="AN29" s="39"/>
      <c r="AO29" s="39"/>
      <c r="AP29" s="39"/>
      <c r="AQ29" s="39"/>
      <c r="AR29" s="40" t="s">
        <v>26</v>
      </c>
      <c r="AS29" s="40"/>
      <c r="AT29" s="40"/>
      <c r="AU29" s="40"/>
    </row>
    <row r="30" customFormat="false" ht="15" hidden="false" customHeight="false" outlineLevel="0" collapsed="false">
      <c r="B30" s="41"/>
      <c r="C30" s="41"/>
      <c r="D30" s="41"/>
      <c r="E30" s="41"/>
      <c r="F30" s="41"/>
      <c r="G30" s="41"/>
      <c r="H30" s="43" t="s">
        <v>29</v>
      </c>
      <c r="I30" s="44" t="s">
        <v>30</v>
      </c>
      <c r="J30" s="45" t="s">
        <v>31</v>
      </c>
      <c r="K30" s="46" t="s">
        <v>32</v>
      </c>
      <c r="L30" s="46" t="s">
        <v>33</v>
      </c>
      <c r="M30" s="47" t="s">
        <v>34</v>
      </c>
      <c r="N30" s="48" t="s">
        <v>29</v>
      </c>
      <c r="O30" s="48" t="s">
        <v>30</v>
      </c>
      <c r="P30" s="45" t="s">
        <v>31</v>
      </c>
      <c r="Q30" s="46" t="s">
        <v>32</v>
      </c>
      <c r="R30" s="46" t="s">
        <v>33</v>
      </c>
      <c r="S30" s="47" t="s">
        <v>34</v>
      </c>
      <c r="T30" s="48" t="s">
        <v>29</v>
      </c>
      <c r="U30" s="48" t="s">
        <v>30</v>
      </c>
      <c r="V30" s="45" t="s">
        <v>31</v>
      </c>
      <c r="W30" s="46" t="s">
        <v>32</v>
      </c>
      <c r="X30" s="46" t="s">
        <v>33</v>
      </c>
      <c r="Y30" s="47" t="s">
        <v>34</v>
      </c>
      <c r="Z30" s="48" t="s">
        <v>29</v>
      </c>
      <c r="AA30" s="48" t="s">
        <v>30</v>
      </c>
      <c r="AB30" s="45" t="s">
        <v>31</v>
      </c>
      <c r="AC30" s="46" t="s">
        <v>32</v>
      </c>
      <c r="AD30" s="46" t="s">
        <v>33</v>
      </c>
      <c r="AE30" s="47" t="s">
        <v>34</v>
      </c>
      <c r="AF30" s="48" t="s">
        <v>29</v>
      </c>
      <c r="AG30" s="48" t="s">
        <v>30</v>
      </c>
      <c r="AH30" s="45" t="s">
        <v>31</v>
      </c>
      <c r="AI30" s="46" t="s">
        <v>32</v>
      </c>
      <c r="AJ30" s="46" t="s">
        <v>33</v>
      </c>
      <c r="AK30" s="47" t="s">
        <v>34</v>
      </c>
      <c r="AL30" s="48" t="s">
        <v>29</v>
      </c>
      <c r="AM30" s="48" t="s">
        <v>30</v>
      </c>
      <c r="AN30" s="45" t="s">
        <v>31</v>
      </c>
      <c r="AO30" s="87" t="s">
        <v>58</v>
      </c>
      <c r="AP30" s="46" t="s">
        <v>33</v>
      </c>
      <c r="AQ30" s="47" t="s">
        <v>34</v>
      </c>
      <c r="AR30" s="48" t="s">
        <v>29</v>
      </c>
      <c r="AS30" s="48" t="s">
        <v>30</v>
      </c>
      <c r="AT30" s="45" t="s">
        <v>31</v>
      </c>
      <c r="AU30" s="49" t="s">
        <v>32</v>
      </c>
    </row>
    <row r="31" customFormat="false" ht="15" hidden="false" customHeight="false" outlineLevel="0" collapsed="false">
      <c r="B31" s="50" t="s">
        <v>35</v>
      </c>
      <c r="C31" s="51" t="s">
        <v>73</v>
      </c>
      <c r="D31" s="52"/>
      <c r="E31" s="88"/>
      <c r="F31" s="51" t="s">
        <v>37</v>
      </c>
      <c r="G31" s="51" t="s">
        <v>38</v>
      </c>
      <c r="H31" s="46" t="s">
        <v>73</v>
      </c>
      <c r="I31" s="53"/>
      <c r="J31" s="53"/>
      <c r="K31" s="53"/>
      <c r="L31" s="53"/>
      <c r="M31" s="54"/>
      <c r="N31" s="43" t="s">
        <v>73</v>
      </c>
      <c r="O31" s="53"/>
      <c r="P31" s="53"/>
      <c r="Q31" s="53"/>
      <c r="R31" s="53"/>
      <c r="S31" s="54"/>
      <c r="T31" s="43" t="s">
        <v>73</v>
      </c>
      <c r="U31" s="53"/>
      <c r="V31" s="53"/>
      <c r="W31" s="53"/>
      <c r="X31" s="53"/>
      <c r="Y31" s="53"/>
      <c r="Z31" s="43" t="s">
        <v>73</v>
      </c>
      <c r="AA31" s="53"/>
      <c r="AB31" s="53"/>
      <c r="AC31" s="53"/>
      <c r="AD31" s="53"/>
      <c r="AE31" s="53"/>
      <c r="AF31" s="43" t="s">
        <v>73</v>
      </c>
      <c r="AG31" s="53"/>
      <c r="AH31" s="53"/>
      <c r="AI31" s="53"/>
      <c r="AJ31" s="53"/>
      <c r="AK31" s="53"/>
      <c r="AL31" s="43" t="s">
        <v>73</v>
      </c>
      <c r="AM31" s="53"/>
      <c r="AN31" s="53"/>
      <c r="AO31" s="53"/>
      <c r="AP31" s="53"/>
      <c r="AQ31" s="53"/>
      <c r="AR31" s="43" t="s">
        <v>73</v>
      </c>
      <c r="AS31" s="53"/>
      <c r="AT31" s="53"/>
      <c r="AU31" s="54"/>
    </row>
    <row r="32" customFormat="false" ht="15" hidden="false" customHeight="false" outlineLevel="0" collapsed="false">
      <c r="B32" s="55" t="s">
        <v>51</v>
      </c>
      <c r="C32" s="56"/>
      <c r="D32" s="57" t="str">
        <f aca="false" t="array" ref="D32:D32">INDEX(Table_Name76[Name List],MATCH(B32,Table_Name76[Category],0))</f>
        <v>Vertical_Back[Exercise]</v>
      </c>
      <c r="E32" s="58" t="e">
        <f aca="false" t="array" ref="E32:E32">INDEX(Links97[Link],MATCH(C32,Links97[Exercise],0))</f>
        <v>#N/A</v>
      </c>
      <c r="F32" s="59" t="e">
        <f aca="false">HYPERLINK(E32,"Video")</f>
        <v>#N/A</v>
      </c>
      <c r="G32" s="60"/>
      <c r="H32" s="61" t="n">
        <f aca="false">C32</f>
        <v>0</v>
      </c>
      <c r="I32" s="62" t="n">
        <v>2</v>
      </c>
      <c r="J32" s="62" t="n">
        <f aca="false">MROUND(((G32)*0.85),5)</f>
        <v>0</v>
      </c>
      <c r="K32" s="62" t="s">
        <v>41</v>
      </c>
      <c r="L32" s="62"/>
      <c r="M32" s="64"/>
      <c r="N32" s="61" t="n">
        <f aca="false">C32</f>
        <v>0</v>
      </c>
      <c r="O32" s="62" t="n">
        <f aca="false">I32+(S17)</f>
        <v>2</v>
      </c>
      <c r="P32" s="62" t="n">
        <f aca="false">MROUND((J32*1.02),5)</f>
        <v>0</v>
      </c>
      <c r="Q32" s="62" t="s">
        <v>41</v>
      </c>
      <c r="R32" s="62"/>
      <c r="S32" s="64"/>
      <c r="T32" s="65" t="n">
        <f aca="false">C32</f>
        <v>0</v>
      </c>
      <c r="U32" s="62" t="n">
        <f aca="false">O32+(Y17)</f>
        <v>2</v>
      </c>
      <c r="V32" s="62" t="n">
        <f aca="false">MROUND((J32*1.04),5)</f>
        <v>0</v>
      </c>
      <c r="W32" s="62" t="s">
        <v>42</v>
      </c>
      <c r="X32" s="62"/>
      <c r="Y32" s="64"/>
      <c r="Z32" s="66" t="n">
        <f aca="false">C32</f>
        <v>0</v>
      </c>
      <c r="AA32" s="62" t="n">
        <f aca="false">U32+(AE17)</f>
        <v>2</v>
      </c>
      <c r="AB32" s="62" t="n">
        <f aca="false">MROUND((P32*1.04),5)</f>
        <v>0</v>
      </c>
      <c r="AC32" s="62" t="s">
        <v>42</v>
      </c>
      <c r="AD32" s="62"/>
      <c r="AE32" s="64"/>
      <c r="AF32" s="66" t="n">
        <f aca="false">C32</f>
        <v>0</v>
      </c>
      <c r="AG32" s="62" t="n">
        <f aca="false">AA32+(AK17)</f>
        <v>2</v>
      </c>
      <c r="AH32" s="62" t="n">
        <f aca="false">MROUND((V32*1.04),5)</f>
        <v>0</v>
      </c>
      <c r="AI32" s="62" t="s">
        <v>42</v>
      </c>
      <c r="AJ32" s="62"/>
      <c r="AK32" s="64"/>
      <c r="AL32" s="63" t="n">
        <f aca="false">C32</f>
        <v>0</v>
      </c>
      <c r="AM32" s="62" t="n">
        <f aca="false">AG32+(AQ17)</f>
        <v>2</v>
      </c>
      <c r="AN32" s="62" t="n">
        <f aca="false">MROUND((J32*1.1),5)</f>
        <v>0</v>
      </c>
      <c r="AO32" s="62" t="s">
        <v>43</v>
      </c>
      <c r="AP32" s="62"/>
      <c r="AQ32" s="62"/>
      <c r="AR32" s="63" t="n">
        <f aca="false">C32</f>
        <v>0</v>
      </c>
      <c r="AS32" s="62" t="n">
        <v>2</v>
      </c>
      <c r="AT32" s="67" t="n">
        <f aca="false">MROUND((J32*0.5),5)</f>
        <v>0</v>
      </c>
      <c r="AU32" s="42" t="s">
        <v>44</v>
      </c>
    </row>
    <row r="33" customFormat="false" ht="15" hidden="false" customHeight="false" outlineLevel="0" collapsed="false">
      <c r="B33" s="68" t="s">
        <v>51</v>
      </c>
      <c r="C33" s="69"/>
      <c r="D33" s="70" t="str">
        <f aca="false" t="array" ref="D33:D33">INDEX(Table_Name76[Name List],MATCH(B33,Table_Name76[Category],0))</f>
        <v>Vertical_Back[Exercise]</v>
      </c>
      <c r="E33" s="71" t="e">
        <f aca="false" t="array" ref="E33:E33">INDEX(Links97[Link],MATCH(C33,Links97[Exercise],0))</f>
        <v>#N/A</v>
      </c>
      <c r="F33" s="72" t="e">
        <f aca="false">HYPERLINK(E33,"Video")</f>
        <v>#N/A</v>
      </c>
      <c r="G33" s="73"/>
      <c r="H33" s="61" t="n">
        <f aca="false">C33</f>
        <v>0</v>
      </c>
      <c r="I33" s="62" t="n">
        <v>2</v>
      </c>
      <c r="J33" s="62" t="n">
        <f aca="false">MROUND(((G33)*0.85),5)</f>
        <v>0</v>
      </c>
      <c r="K33" s="62" t="s">
        <v>41</v>
      </c>
      <c r="L33" s="62"/>
      <c r="M33" s="64"/>
      <c r="N33" s="61" t="n">
        <f aca="false">C33</f>
        <v>0</v>
      </c>
      <c r="O33" s="62" t="n">
        <f aca="false">I33+(S17)</f>
        <v>2</v>
      </c>
      <c r="P33" s="62" t="n">
        <f aca="false">MROUND((J33*1.02),5)</f>
        <v>0</v>
      </c>
      <c r="Q33" s="62" t="s">
        <v>41</v>
      </c>
      <c r="R33" s="62"/>
      <c r="S33" s="64"/>
      <c r="T33" s="65" t="n">
        <f aca="false">C33</f>
        <v>0</v>
      </c>
      <c r="U33" s="62" t="n">
        <f aca="false">O33+(Y17)</f>
        <v>2</v>
      </c>
      <c r="V33" s="62" t="n">
        <f aca="false">MROUND((J33*1.04),5)</f>
        <v>0</v>
      </c>
      <c r="W33" s="62" t="s">
        <v>42</v>
      </c>
      <c r="X33" s="62"/>
      <c r="Y33" s="64"/>
      <c r="Z33" s="66" t="n">
        <f aca="false">C33</f>
        <v>0</v>
      </c>
      <c r="AA33" s="62" t="n">
        <f aca="false">U33+(AE17)</f>
        <v>2</v>
      </c>
      <c r="AB33" s="62" t="n">
        <f aca="false">MROUND((P33*1.04),5)</f>
        <v>0</v>
      </c>
      <c r="AC33" s="62" t="s">
        <v>42</v>
      </c>
      <c r="AD33" s="62"/>
      <c r="AE33" s="64"/>
      <c r="AF33" s="66" t="n">
        <f aca="false">C33</f>
        <v>0</v>
      </c>
      <c r="AG33" s="62" t="n">
        <f aca="false">AA33+(AK17)</f>
        <v>2</v>
      </c>
      <c r="AH33" s="62" t="n">
        <f aca="false">MROUND((V33*1.04),5)</f>
        <v>0</v>
      </c>
      <c r="AI33" s="62" t="s">
        <v>42</v>
      </c>
      <c r="AJ33" s="62"/>
      <c r="AK33" s="64"/>
      <c r="AL33" s="63" t="n">
        <f aca="false">C33</f>
        <v>0</v>
      </c>
      <c r="AM33" s="62" t="n">
        <f aca="false">AG33+(AQ17)</f>
        <v>2</v>
      </c>
      <c r="AN33" s="62" t="n">
        <f aca="false">MROUND((J33*1.1),5)</f>
        <v>0</v>
      </c>
      <c r="AO33" s="62" t="s">
        <v>43</v>
      </c>
      <c r="AP33" s="62"/>
      <c r="AQ33" s="62"/>
      <c r="AR33" s="63" t="n">
        <f aca="false">C33</f>
        <v>0</v>
      </c>
      <c r="AS33" s="62" t="n">
        <v>2</v>
      </c>
      <c r="AT33" s="67" t="n">
        <f aca="false">MROUND((J33*0.5),5)</f>
        <v>0</v>
      </c>
      <c r="AU33" s="42" t="s">
        <v>44</v>
      </c>
    </row>
    <row r="34" customFormat="false" ht="15" hidden="false" customHeight="false" outlineLevel="0" collapsed="false">
      <c r="B34" s="68" t="s">
        <v>49</v>
      </c>
      <c r="C34" s="69"/>
      <c r="D34" s="70" t="str">
        <f aca="false" t="array" ref="D34:D34">INDEX(Table_Name76[Name List],MATCH(B34,Table_Name76[Category],0))</f>
        <v>Horizontal_Back[Exercise]</v>
      </c>
      <c r="E34" s="71" t="e">
        <f aca="false" t="array" ref="E34:E34">INDEX(Links97[Link],MATCH(C34,Links97[Exercise],0))</f>
        <v>#N/A</v>
      </c>
      <c r="F34" s="72" t="e">
        <f aca="false">HYPERLINK(E34,"Video")</f>
        <v>#N/A</v>
      </c>
      <c r="G34" s="73"/>
      <c r="H34" s="61" t="n">
        <f aca="false">C34</f>
        <v>0</v>
      </c>
      <c r="I34" s="62" t="n">
        <v>2</v>
      </c>
      <c r="J34" s="62" t="n">
        <f aca="false">MROUND(((G34)*0.85),5)</f>
        <v>0</v>
      </c>
      <c r="K34" s="62" t="s">
        <v>41</v>
      </c>
      <c r="L34" s="62"/>
      <c r="M34" s="64"/>
      <c r="N34" s="61" t="n">
        <f aca="false">C34</f>
        <v>0</v>
      </c>
      <c r="O34" s="62" t="n">
        <f aca="false">I34+(S16)</f>
        <v>2</v>
      </c>
      <c r="P34" s="62" t="n">
        <f aca="false">MROUND((J34*1.02),5)</f>
        <v>0</v>
      </c>
      <c r="Q34" s="62" t="s">
        <v>41</v>
      </c>
      <c r="R34" s="62"/>
      <c r="S34" s="64"/>
      <c r="T34" s="65" t="n">
        <f aca="false">C34</f>
        <v>0</v>
      </c>
      <c r="U34" s="62" t="n">
        <f aca="false">O34+(Y16)</f>
        <v>2</v>
      </c>
      <c r="V34" s="62" t="n">
        <f aca="false">MROUND((J34*1.04),5)</f>
        <v>0</v>
      </c>
      <c r="W34" s="62" t="s">
        <v>42</v>
      </c>
      <c r="X34" s="62"/>
      <c r="Y34" s="64"/>
      <c r="Z34" s="66" t="n">
        <f aca="false">C34</f>
        <v>0</v>
      </c>
      <c r="AA34" s="62" t="n">
        <f aca="false">U34+(AE16)</f>
        <v>2</v>
      </c>
      <c r="AB34" s="62" t="n">
        <f aca="false">MROUND((P34*1.04),5)</f>
        <v>0</v>
      </c>
      <c r="AC34" s="62" t="s">
        <v>42</v>
      </c>
      <c r="AD34" s="62"/>
      <c r="AE34" s="64"/>
      <c r="AF34" s="66" t="n">
        <f aca="false">C34</f>
        <v>0</v>
      </c>
      <c r="AG34" s="62" t="n">
        <f aca="false">AA34+(AK16)</f>
        <v>2</v>
      </c>
      <c r="AH34" s="62" t="n">
        <f aca="false">MROUND((V34*1.04),5)</f>
        <v>0</v>
      </c>
      <c r="AI34" s="62" t="s">
        <v>42</v>
      </c>
      <c r="AJ34" s="62"/>
      <c r="AK34" s="64"/>
      <c r="AL34" s="63" t="n">
        <f aca="false">C34</f>
        <v>0</v>
      </c>
      <c r="AM34" s="62" t="n">
        <f aca="false">AG34+(AQ16)</f>
        <v>2</v>
      </c>
      <c r="AN34" s="62" t="n">
        <f aca="false">MROUND((J34*1.1),5)</f>
        <v>0</v>
      </c>
      <c r="AO34" s="62" t="s">
        <v>43</v>
      </c>
      <c r="AP34" s="62"/>
      <c r="AQ34" s="62"/>
      <c r="AR34" s="63" t="n">
        <f aca="false">C34</f>
        <v>0</v>
      </c>
      <c r="AS34" s="62" t="n">
        <v>2</v>
      </c>
      <c r="AT34" s="67" t="n">
        <f aca="false">MROUND((J34*0.5),5)</f>
        <v>0</v>
      </c>
      <c r="AU34" s="42" t="s">
        <v>44</v>
      </c>
    </row>
    <row r="35" customFormat="false" ht="15" hidden="false" customHeight="false" outlineLevel="0" collapsed="false">
      <c r="B35" s="68" t="s">
        <v>75</v>
      </c>
      <c r="C35" s="69"/>
      <c r="D35" s="70" t="str">
        <f aca="false" t="array" ref="D35:D35">INDEX(Table_Name76[Name List],MATCH(B35,Table_Name76[Category],0))</f>
        <v>Rear_or_Side_Delts[Exercise]</v>
      </c>
      <c r="E35" s="71" t="e">
        <f aca="false" t="array" ref="E35:E35">INDEX(Links97[Link],MATCH(C35,Links97[Exercise],0))</f>
        <v>#N/A</v>
      </c>
      <c r="F35" s="72" t="e">
        <f aca="false">HYPERLINK(E35,"Video")</f>
        <v>#N/A</v>
      </c>
      <c r="G35" s="73"/>
      <c r="H35" s="61" t="n">
        <f aca="false">C35</f>
        <v>0</v>
      </c>
      <c r="I35" s="62" t="n">
        <v>3</v>
      </c>
      <c r="J35" s="62" t="n">
        <f aca="false">MROUND(((G35)*0.85),5)</f>
        <v>0</v>
      </c>
      <c r="K35" s="62" t="s">
        <v>41</v>
      </c>
      <c r="L35" s="62"/>
      <c r="M35" s="64"/>
      <c r="N35" s="61" t="n">
        <f aca="false">C35</f>
        <v>0</v>
      </c>
      <c r="O35" s="62" t="n">
        <f aca="false">I35+(S18)</f>
        <v>3</v>
      </c>
      <c r="P35" s="62" t="n">
        <f aca="false">MROUND((J35*1.02),5)</f>
        <v>0</v>
      </c>
      <c r="Q35" s="62" t="s">
        <v>41</v>
      </c>
      <c r="R35" s="62"/>
      <c r="S35" s="64"/>
      <c r="T35" s="65" t="n">
        <f aca="false">C35</f>
        <v>0</v>
      </c>
      <c r="U35" s="62" t="n">
        <f aca="false">O35+(Y18)</f>
        <v>3</v>
      </c>
      <c r="V35" s="62" t="n">
        <f aca="false">MROUND((J35*1.04),5)</f>
        <v>0</v>
      </c>
      <c r="W35" s="62" t="s">
        <v>42</v>
      </c>
      <c r="X35" s="62"/>
      <c r="Y35" s="64"/>
      <c r="Z35" s="66" t="n">
        <f aca="false">C35</f>
        <v>0</v>
      </c>
      <c r="AA35" s="62" t="n">
        <f aca="false">U35+(AE18)</f>
        <v>3</v>
      </c>
      <c r="AB35" s="62" t="n">
        <f aca="false">MROUND((P35*1.04),5)</f>
        <v>0</v>
      </c>
      <c r="AC35" s="62" t="s">
        <v>42</v>
      </c>
      <c r="AD35" s="62"/>
      <c r="AE35" s="64"/>
      <c r="AF35" s="66" t="n">
        <f aca="false">C35</f>
        <v>0</v>
      </c>
      <c r="AG35" s="62" t="n">
        <f aca="false">AA35+(AK18)</f>
        <v>3</v>
      </c>
      <c r="AH35" s="62" t="n">
        <f aca="false">MROUND((V35*1.04),5)</f>
        <v>0</v>
      </c>
      <c r="AI35" s="62" t="s">
        <v>42</v>
      </c>
      <c r="AJ35" s="62"/>
      <c r="AK35" s="64"/>
      <c r="AL35" s="63" t="n">
        <f aca="false">C35</f>
        <v>0</v>
      </c>
      <c r="AM35" s="62" t="n">
        <f aca="false">AG35+(AQ18)</f>
        <v>3</v>
      </c>
      <c r="AN35" s="62" t="n">
        <f aca="false">MROUND((J35*1.1),5)</f>
        <v>0</v>
      </c>
      <c r="AO35" s="62" t="s">
        <v>43</v>
      </c>
      <c r="AP35" s="62"/>
      <c r="AQ35" s="62"/>
      <c r="AR35" s="63" t="n">
        <f aca="false">C35</f>
        <v>0</v>
      </c>
      <c r="AS35" s="62" t="n">
        <v>2</v>
      </c>
      <c r="AT35" s="67" t="n">
        <f aca="false">MROUND((J35*0.5),5)</f>
        <v>0</v>
      </c>
      <c r="AU35" s="42" t="s">
        <v>44</v>
      </c>
    </row>
    <row r="36" customFormat="false" ht="15" hidden="false" customHeight="false" outlineLevel="0" collapsed="false">
      <c r="B36" s="68" t="s">
        <v>47</v>
      </c>
      <c r="C36" s="69"/>
      <c r="D36" s="70" t="str">
        <f aca="false" t="array" ref="D36:D36">INDEX(Table_Name76[Name List],MATCH(B36,Table_Name76[Category],0))</f>
        <v>Horizontal_Push[Exercise]</v>
      </c>
      <c r="E36" s="71" t="e">
        <f aca="false" t="array" ref="E36:E36">INDEX(Links97[Link],MATCH(C36,Links97[Exercise],0))</f>
        <v>#N/A</v>
      </c>
      <c r="F36" s="72" t="e">
        <f aca="false">HYPERLINK(E36,"Video")</f>
        <v>#N/A</v>
      </c>
      <c r="G36" s="73"/>
      <c r="H36" s="61" t="n">
        <f aca="false">C36</f>
        <v>0</v>
      </c>
      <c r="I36" s="62" t="n">
        <v>2</v>
      </c>
      <c r="J36" s="62" t="n">
        <f aca="false">MROUND(((G36)*0.85),5)</f>
        <v>0</v>
      </c>
      <c r="K36" s="62" t="s">
        <v>41</v>
      </c>
      <c r="L36" s="62"/>
      <c r="M36" s="64"/>
      <c r="N36" s="61" t="n">
        <f aca="false">C36</f>
        <v>0</v>
      </c>
      <c r="O36" s="62" t="n">
        <f aca="false">I36+(S15)</f>
        <v>2</v>
      </c>
      <c r="P36" s="62" t="n">
        <f aca="false">MROUND((J36*1.02),5)</f>
        <v>0</v>
      </c>
      <c r="Q36" s="62" t="s">
        <v>41</v>
      </c>
      <c r="R36" s="62"/>
      <c r="S36" s="64"/>
      <c r="T36" s="65" t="n">
        <f aca="false">C36</f>
        <v>0</v>
      </c>
      <c r="U36" s="62" t="n">
        <f aca="false">O36+(Y15)</f>
        <v>2</v>
      </c>
      <c r="V36" s="62" t="n">
        <f aca="false">MROUND((J36*1.04),5)</f>
        <v>0</v>
      </c>
      <c r="W36" s="62" t="s">
        <v>42</v>
      </c>
      <c r="X36" s="62"/>
      <c r="Y36" s="64"/>
      <c r="Z36" s="66" t="n">
        <f aca="false">C36</f>
        <v>0</v>
      </c>
      <c r="AA36" s="62" t="n">
        <f aca="false">U36+(AE15)</f>
        <v>2</v>
      </c>
      <c r="AB36" s="62" t="n">
        <f aca="false">MROUND((P36*1.04),5)</f>
        <v>0</v>
      </c>
      <c r="AC36" s="62" t="s">
        <v>42</v>
      </c>
      <c r="AD36" s="62"/>
      <c r="AE36" s="64"/>
      <c r="AF36" s="66" t="n">
        <f aca="false">C36</f>
        <v>0</v>
      </c>
      <c r="AG36" s="62" t="n">
        <f aca="false">AA36+(AK15)</f>
        <v>2</v>
      </c>
      <c r="AH36" s="62" t="n">
        <f aca="false">MROUND((V36*1.04),5)</f>
        <v>0</v>
      </c>
      <c r="AI36" s="62" t="s">
        <v>42</v>
      </c>
      <c r="AJ36" s="62"/>
      <c r="AK36" s="64"/>
      <c r="AL36" s="63" t="n">
        <f aca="false">C36</f>
        <v>0</v>
      </c>
      <c r="AM36" s="62" t="n">
        <f aca="false">AG36+(AQ15)</f>
        <v>2</v>
      </c>
      <c r="AN36" s="62" t="n">
        <f aca="false">MROUND((J36*1.1),5)</f>
        <v>0</v>
      </c>
      <c r="AO36" s="62" t="s">
        <v>43</v>
      </c>
      <c r="AP36" s="62"/>
      <c r="AQ36" s="62"/>
      <c r="AR36" s="63" t="n">
        <f aca="false">C36</f>
        <v>0</v>
      </c>
      <c r="AS36" s="62" t="n">
        <v>2</v>
      </c>
      <c r="AT36" s="67" t="n">
        <f aca="false">MROUND((J36*0.5),5)</f>
        <v>0</v>
      </c>
      <c r="AU36" s="42" t="s">
        <v>44</v>
      </c>
    </row>
    <row r="37" customFormat="false" ht="15" hidden="false" customHeight="false" outlineLevel="0" collapsed="false">
      <c r="B37" s="68" t="s">
        <v>39</v>
      </c>
      <c r="C37" s="69"/>
      <c r="D37" s="70" t="str">
        <f aca="false" t="array" ref="D37:D37">INDEX(Table_Name76[Name List],MATCH(B37,Table_Name76[Category],0))</f>
        <v>Incline_Push[Exercise]</v>
      </c>
      <c r="E37" s="71" t="e">
        <f aca="false" t="array" ref="E37:E37">INDEX(Links97[Link],MATCH(C37,Links97[Exercise],0))</f>
        <v>#N/A</v>
      </c>
      <c r="F37" s="72" t="e">
        <f aca="false">HYPERLINK(E37,"Video")</f>
        <v>#N/A</v>
      </c>
      <c r="G37" s="73"/>
      <c r="H37" s="61" t="n">
        <f aca="false">C37</f>
        <v>0</v>
      </c>
      <c r="I37" s="62" t="n">
        <v>2</v>
      </c>
      <c r="J37" s="62" t="n">
        <f aca="false">MROUND(((G37)*0.85),5)</f>
        <v>0</v>
      </c>
      <c r="K37" s="62" t="s">
        <v>41</v>
      </c>
      <c r="L37" s="62"/>
      <c r="M37" s="64"/>
      <c r="N37" s="61" t="n">
        <f aca="false">C37</f>
        <v>0</v>
      </c>
      <c r="O37" s="62" t="n">
        <f aca="false">I37+(S13)</f>
        <v>2</v>
      </c>
      <c r="P37" s="62" t="n">
        <f aca="false">MROUND((J37*1.02),5)</f>
        <v>0</v>
      </c>
      <c r="Q37" s="62" t="s">
        <v>41</v>
      </c>
      <c r="R37" s="62"/>
      <c r="S37" s="64"/>
      <c r="T37" s="65" t="n">
        <f aca="false">C37</f>
        <v>0</v>
      </c>
      <c r="U37" s="62" t="n">
        <f aca="false">O37+(Y13)</f>
        <v>2</v>
      </c>
      <c r="V37" s="62" t="n">
        <f aca="false">MROUND((J37*1.04),5)</f>
        <v>0</v>
      </c>
      <c r="W37" s="62" t="s">
        <v>42</v>
      </c>
      <c r="X37" s="62"/>
      <c r="Y37" s="64"/>
      <c r="Z37" s="66" t="n">
        <f aca="false">C37</f>
        <v>0</v>
      </c>
      <c r="AA37" s="62" t="n">
        <f aca="false">U37+(AE13)</f>
        <v>2</v>
      </c>
      <c r="AB37" s="62" t="n">
        <f aca="false">MROUND((P37*1.04),5)</f>
        <v>0</v>
      </c>
      <c r="AC37" s="62" t="s">
        <v>42</v>
      </c>
      <c r="AD37" s="62"/>
      <c r="AE37" s="64"/>
      <c r="AF37" s="66" t="n">
        <f aca="false">C37</f>
        <v>0</v>
      </c>
      <c r="AG37" s="62" t="n">
        <f aca="false">AA37+(AK13)</f>
        <v>2</v>
      </c>
      <c r="AH37" s="62" t="n">
        <f aca="false">MROUND((V37*1.04),5)</f>
        <v>0</v>
      </c>
      <c r="AI37" s="62" t="s">
        <v>42</v>
      </c>
      <c r="AJ37" s="62"/>
      <c r="AK37" s="64"/>
      <c r="AL37" s="63" t="n">
        <f aca="false">C37</f>
        <v>0</v>
      </c>
      <c r="AM37" s="62" t="n">
        <f aca="false">AG37+(AQ13)</f>
        <v>2</v>
      </c>
      <c r="AN37" s="62" t="n">
        <f aca="false">MROUND((J37*1.1),5)</f>
        <v>0</v>
      </c>
      <c r="AO37" s="62" t="s">
        <v>43</v>
      </c>
      <c r="AP37" s="62"/>
      <c r="AQ37" s="62"/>
      <c r="AR37" s="63" t="n">
        <f aca="false">C37</f>
        <v>0</v>
      </c>
      <c r="AS37" s="62" t="n">
        <v>2</v>
      </c>
      <c r="AT37" s="67" t="n">
        <f aca="false">MROUND((J37*0.5),5)</f>
        <v>0</v>
      </c>
      <c r="AU37" s="42" t="s">
        <v>44</v>
      </c>
    </row>
    <row r="38" customFormat="false" ht="15" hidden="false" customHeight="false" outlineLevel="0" collapsed="false">
      <c r="B38" s="74" t="s">
        <v>55</v>
      </c>
      <c r="C38" s="75"/>
      <c r="D38" s="76" t="str">
        <f aca="false" t="array" ref="D38:D38">INDEX(Table_Name76[Name List],MATCH(B38,Table_Name76[Category],0))</f>
        <v>Abs[Exercise]</v>
      </c>
      <c r="E38" s="77" t="e">
        <f aca="false" t="array" ref="E38:E38">INDEX(Links97[Link],MATCH(C38,Links97[Exercise],0))</f>
        <v>#N/A</v>
      </c>
      <c r="F38" s="78" t="e">
        <f aca="false">HYPERLINK(E38,"Video")</f>
        <v>#N/A</v>
      </c>
      <c r="G38" s="79"/>
      <c r="H38" s="80" t="n">
        <f aca="false">C38</f>
        <v>0</v>
      </c>
      <c r="I38" s="81" t="n">
        <v>2</v>
      </c>
      <c r="J38" s="81" t="n">
        <f aca="false">MROUND(((G38)*0.85),5)</f>
        <v>0</v>
      </c>
      <c r="K38" s="81" t="s">
        <v>41</v>
      </c>
      <c r="L38" s="81"/>
      <c r="M38" s="64"/>
      <c r="N38" s="83" t="n">
        <f aca="false">C38</f>
        <v>0</v>
      </c>
      <c r="O38" s="81" t="n">
        <f aca="false">I38+(S19)</f>
        <v>2</v>
      </c>
      <c r="P38" s="62" t="n">
        <f aca="false">MROUND((J38*1.02),5)</f>
        <v>0</v>
      </c>
      <c r="Q38" s="81" t="s">
        <v>41</v>
      </c>
      <c r="R38" s="81"/>
      <c r="S38" s="64"/>
      <c r="T38" s="84" t="n">
        <f aca="false">C38</f>
        <v>0</v>
      </c>
      <c r="U38" s="81" t="n">
        <f aca="false">O38+(Y19)</f>
        <v>2</v>
      </c>
      <c r="V38" s="62" t="n">
        <f aca="false">MROUND((J38*1.04),5)</f>
        <v>0</v>
      </c>
      <c r="W38" s="81" t="s">
        <v>42</v>
      </c>
      <c r="X38" s="81"/>
      <c r="Y38" s="64"/>
      <c r="Z38" s="66" t="n">
        <f aca="false">C38</f>
        <v>0</v>
      </c>
      <c r="AA38" s="81" t="n">
        <f aca="false">U38+(AE19)</f>
        <v>2</v>
      </c>
      <c r="AB38" s="62" t="n">
        <f aca="false">MROUND((P38*1.04),5)</f>
        <v>0</v>
      </c>
      <c r="AC38" s="81" t="s">
        <v>42</v>
      </c>
      <c r="AD38" s="81"/>
      <c r="AE38" s="64"/>
      <c r="AF38" s="66" t="n">
        <f aca="false">C38</f>
        <v>0</v>
      </c>
      <c r="AG38" s="81" t="n">
        <f aca="false">AA38+(AK19)</f>
        <v>2</v>
      </c>
      <c r="AH38" s="62" t="n">
        <f aca="false">MROUND((V38*1.04),5)</f>
        <v>0</v>
      </c>
      <c r="AI38" s="81" t="s">
        <v>42</v>
      </c>
      <c r="AJ38" s="81"/>
      <c r="AK38" s="64"/>
      <c r="AL38" s="83" t="n">
        <f aca="false">C38</f>
        <v>0</v>
      </c>
      <c r="AM38" s="81" t="n">
        <f aca="false">AG38+(AQ19)</f>
        <v>2</v>
      </c>
      <c r="AN38" s="81" t="n">
        <f aca="false">MROUND((J38*1.1),5)</f>
        <v>0</v>
      </c>
      <c r="AO38" s="81" t="s">
        <v>43</v>
      </c>
      <c r="AP38" s="81"/>
      <c r="AQ38" s="81"/>
      <c r="AR38" s="83" t="n">
        <f aca="false">C38</f>
        <v>0</v>
      </c>
      <c r="AS38" s="81" t="n">
        <v>2</v>
      </c>
      <c r="AT38" s="85" t="n">
        <f aca="false">MROUND((J38*0.5),5)</f>
        <v>0</v>
      </c>
      <c r="AU38" s="82" t="s">
        <v>44</v>
      </c>
    </row>
    <row r="39" customFormat="false" ht="18.6" hidden="false" customHeight="false" outlineLevel="0" collapsed="false">
      <c r="B39" s="86" t="s">
        <v>77</v>
      </c>
      <c r="C39" s="41"/>
      <c r="D39" s="41"/>
      <c r="E39" s="41"/>
      <c r="F39" s="41"/>
      <c r="G39" s="42"/>
      <c r="H39" s="36" t="s">
        <v>20</v>
      </c>
      <c r="I39" s="36"/>
      <c r="J39" s="36"/>
      <c r="K39" s="36"/>
      <c r="L39" s="36"/>
      <c r="M39" s="36"/>
      <c r="N39" s="37" t="s">
        <v>21</v>
      </c>
      <c r="O39" s="37"/>
      <c r="P39" s="37"/>
      <c r="Q39" s="37"/>
      <c r="R39" s="37"/>
      <c r="S39" s="37"/>
      <c r="T39" s="38" t="s">
        <v>22</v>
      </c>
      <c r="U39" s="38"/>
      <c r="V39" s="38"/>
      <c r="W39" s="38"/>
      <c r="X39" s="38"/>
      <c r="Y39" s="38"/>
      <c r="Z39" s="38" t="s">
        <v>23</v>
      </c>
      <c r="AA39" s="38"/>
      <c r="AB39" s="38"/>
      <c r="AC39" s="38"/>
      <c r="AD39" s="38"/>
      <c r="AE39" s="38"/>
      <c r="AF39" s="38" t="s">
        <v>24</v>
      </c>
      <c r="AG39" s="38"/>
      <c r="AH39" s="38"/>
      <c r="AI39" s="38"/>
      <c r="AJ39" s="38"/>
      <c r="AK39" s="38"/>
      <c r="AL39" s="39" t="s">
        <v>25</v>
      </c>
      <c r="AM39" s="39"/>
      <c r="AN39" s="39"/>
      <c r="AO39" s="39"/>
      <c r="AP39" s="39"/>
      <c r="AQ39" s="39"/>
      <c r="AR39" s="40" t="s">
        <v>26</v>
      </c>
      <c r="AS39" s="40"/>
      <c r="AT39" s="40"/>
      <c r="AU39" s="40"/>
    </row>
    <row r="40" customFormat="false" ht="15" hidden="false" customHeight="false" outlineLevel="0" collapsed="false">
      <c r="B40" s="41"/>
      <c r="C40" s="41"/>
      <c r="D40" s="41"/>
      <c r="E40" s="41"/>
      <c r="F40" s="41"/>
      <c r="G40" s="41"/>
      <c r="H40" s="43" t="s">
        <v>29</v>
      </c>
      <c r="I40" s="44" t="s">
        <v>30</v>
      </c>
      <c r="J40" s="45" t="s">
        <v>31</v>
      </c>
      <c r="K40" s="46" t="s">
        <v>32</v>
      </c>
      <c r="L40" s="46" t="s">
        <v>33</v>
      </c>
      <c r="M40" s="47" t="s">
        <v>34</v>
      </c>
      <c r="N40" s="48" t="s">
        <v>29</v>
      </c>
      <c r="O40" s="48" t="s">
        <v>30</v>
      </c>
      <c r="P40" s="45" t="s">
        <v>31</v>
      </c>
      <c r="Q40" s="46" t="s">
        <v>32</v>
      </c>
      <c r="R40" s="46" t="s">
        <v>33</v>
      </c>
      <c r="S40" s="47" t="s">
        <v>34</v>
      </c>
      <c r="T40" s="48" t="s">
        <v>29</v>
      </c>
      <c r="U40" s="48" t="s">
        <v>30</v>
      </c>
      <c r="V40" s="45" t="s">
        <v>31</v>
      </c>
      <c r="W40" s="46" t="s">
        <v>32</v>
      </c>
      <c r="X40" s="46" t="s">
        <v>33</v>
      </c>
      <c r="Y40" s="47" t="s">
        <v>34</v>
      </c>
      <c r="Z40" s="48" t="s">
        <v>29</v>
      </c>
      <c r="AA40" s="48" t="s">
        <v>30</v>
      </c>
      <c r="AB40" s="45" t="s">
        <v>31</v>
      </c>
      <c r="AC40" s="46" t="s">
        <v>32</v>
      </c>
      <c r="AD40" s="46" t="s">
        <v>33</v>
      </c>
      <c r="AE40" s="47" t="s">
        <v>34</v>
      </c>
      <c r="AF40" s="48" t="s">
        <v>29</v>
      </c>
      <c r="AG40" s="48" t="s">
        <v>30</v>
      </c>
      <c r="AH40" s="45" t="s">
        <v>31</v>
      </c>
      <c r="AI40" s="46" t="s">
        <v>32</v>
      </c>
      <c r="AJ40" s="46" t="s">
        <v>33</v>
      </c>
      <c r="AK40" s="47" t="s">
        <v>34</v>
      </c>
      <c r="AL40" s="48" t="s">
        <v>29</v>
      </c>
      <c r="AM40" s="48" t="s">
        <v>30</v>
      </c>
      <c r="AN40" s="45" t="s">
        <v>31</v>
      </c>
      <c r="AO40" s="87" t="s">
        <v>58</v>
      </c>
      <c r="AP40" s="46" t="s">
        <v>33</v>
      </c>
      <c r="AQ40" s="47" t="s">
        <v>34</v>
      </c>
      <c r="AR40" s="48" t="s">
        <v>29</v>
      </c>
      <c r="AS40" s="48" t="s">
        <v>30</v>
      </c>
      <c r="AT40" s="45" t="s">
        <v>31</v>
      </c>
      <c r="AU40" s="49" t="s">
        <v>32</v>
      </c>
    </row>
    <row r="41" customFormat="false" ht="15" hidden="false" customHeight="false" outlineLevel="0" collapsed="false">
      <c r="B41" s="50" t="s">
        <v>59</v>
      </c>
      <c r="C41" s="51" t="s">
        <v>78</v>
      </c>
      <c r="D41" s="52"/>
      <c r="E41" s="88"/>
      <c r="F41" s="51" t="s">
        <v>37</v>
      </c>
      <c r="G41" s="51" t="s">
        <v>38</v>
      </c>
      <c r="H41" s="46" t="s">
        <v>78</v>
      </c>
      <c r="I41" s="53"/>
      <c r="J41" s="53"/>
      <c r="K41" s="53"/>
      <c r="L41" s="53"/>
      <c r="M41" s="54"/>
      <c r="N41" s="43" t="s">
        <v>78</v>
      </c>
      <c r="O41" s="53"/>
      <c r="P41" s="53"/>
      <c r="Q41" s="53"/>
      <c r="R41" s="53"/>
      <c r="S41" s="54"/>
      <c r="T41" s="43" t="s">
        <v>78</v>
      </c>
      <c r="U41" s="53"/>
      <c r="V41" s="53"/>
      <c r="W41" s="53"/>
      <c r="X41" s="53"/>
      <c r="Y41" s="53"/>
      <c r="Z41" s="43" t="s">
        <v>78</v>
      </c>
      <c r="AA41" s="53"/>
      <c r="AB41" s="53"/>
      <c r="AC41" s="53"/>
      <c r="AD41" s="53"/>
      <c r="AE41" s="53"/>
      <c r="AF41" s="43" t="s">
        <v>78</v>
      </c>
      <c r="AG41" s="53"/>
      <c r="AH41" s="53"/>
      <c r="AI41" s="53"/>
      <c r="AJ41" s="53"/>
      <c r="AK41" s="53"/>
      <c r="AL41" s="43" t="s">
        <v>78</v>
      </c>
      <c r="AM41" s="53"/>
      <c r="AN41" s="53"/>
      <c r="AO41" s="53"/>
      <c r="AP41" s="53"/>
      <c r="AQ41" s="53"/>
      <c r="AR41" s="43" t="s">
        <v>78</v>
      </c>
      <c r="AS41" s="53"/>
      <c r="AT41" s="53"/>
      <c r="AU41" s="54"/>
    </row>
    <row r="42" customFormat="false" ht="15" hidden="false" customHeight="false" outlineLevel="0" collapsed="false">
      <c r="B42" s="55" t="s">
        <v>79</v>
      </c>
      <c r="C42" s="56"/>
      <c r="D42" s="57" t="str">
        <f aca="false" t="array" ref="D42:D42">INDEX(Table_Name76[Name List],MATCH(B42,Table_Name76[Category],0))</f>
        <v>Glutes[Exercise]</v>
      </c>
      <c r="E42" s="58" t="e">
        <f aca="false" t="array" ref="E42:E42">INDEX(Links97[Link],MATCH(C42,Links97[Exercise],0))</f>
        <v>#N/A</v>
      </c>
      <c r="F42" s="59" t="e">
        <f aca="false">HYPERLINK(E42,"Video")</f>
        <v>#N/A</v>
      </c>
      <c r="G42" s="60"/>
      <c r="H42" s="61" t="n">
        <f aca="false">C42</f>
        <v>0</v>
      </c>
      <c r="I42" s="62" t="n">
        <v>3</v>
      </c>
      <c r="J42" s="62" t="n">
        <f aca="false">MROUND(((G42)*0.85),5)</f>
        <v>0</v>
      </c>
      <c r="K42" s="62" t="s">
        <v>41</v>
      </c>
      <c r="L42" s="62"/>
      <c r="M42" s="64"/>
      <c r="N42" s="61" t="n">
        <f aca="false">C42</f>
        <v>0</v>
      </c>
      <c r="O42" s="62" t="n">
        <f aca="false">I42+(S23)</f>
        <v>3</v>
      </c>
      <c r="P42" s="62" t="n">
        <f aca="false">MROUND((J42*1.02),5)</f>
        <v>0</v>
      </c>
      <c r="Q42" s="62" t="s">
        <v>41</v>
      </c>
      <c r="R42" s="62"/>
      <c r="S42" s="64"/>
      <c r="T42" s="65" t="n">
        <f aca="false">C42</f>
        <v>0</v>
      </c>
      <c r="U42" s="62" t="n">
        <f aca="false">O42+(Y23)</f>
        <v>3</v>
      </c>
      <c r="V42" s="62" t="n">
        <f aca="false">MROUND((J42*1.04),5)</f>
        <v>0</v>
      </c>
      <c r="W42" s="62" t="s">
        <v>42</v>
      </c>
      <c r="X42" s="62"/>
      <c r="Y42" s="64"/>
      <c r="Z42" s="66" t="n">
        <f aca="false">C42</f>
        <v>0</v>
      </c>
      <c r="AA42" s="62" t="n">
        <f aca="false">U42+(AE23)</f>
        <v>3</v>
      </c>
      <c r="AB42" s="62" t="n">
        <f aca="false">MROUND((P42*1.04),5)</f>
        <v>0</v>
      </c>
      <c r="AC42" s="62" t="s">
        <v>42</v>
      </c>
      <c r="AD42" s="62"/>
      <c r="AE42" s="64"/>
      <c r="AF42" s="66" t="n">
        <f aca="false">C42</f>
        <v>0</v>
      </c>
      <c r="AG42" s="62" t="n">
        <f aca="false">AA42+(AK23)</f>
        <v>3</v>
      </c>
      <c r="AH42" s="62" t="n">
        <f aca="false">MROUND((V42*1.04),5)</f>
        <v>0</v>
      </c>
      <c r="AI42" s="62" t="s">
        <v>42</v>
      </c>
      <c r="AJ42" s="62"/>
      <c r="AK42" s="64"/>
      <c r="AL42" s="63" t="n">
        <f aca="false">C42</f>
        <v>0</v>
      </c>
      <c r="AM42" s="62" t="n">
        <f aca="false">AG42+(AQ23)</f>
        <v>3</v>
      </c>
      <c r="AN42" s="62" t="n">
        <f aca="false">MROUND((J42*1.1),5)</f>
        <v>0</v>
      </c>
      <c r="AO42" s="62" t="s">
        <v>43</v>
      </c>
      <c r="AP42" s="62"/>
      <c r="AQ42" s="62"/>
      <c r="AR42" s="63" t="n">
        <f aca="false">C42</f>
        <v>0</v>
      </c>
      <c r="AS42" s="62" t="n">
        <v>2</v>
      </c>
      <c r="AT42" s="67" t="n">
        <f aca="false">MROUND((J42*0.5),5)</f>
        <v>0</v>
      </c>
      <c r="AU42" s="42" t="s">
        <v>44</v>
      </c>
    </row>
    <row r="43" customFormat="false" ht="15" hidden="false" customHeight="false" outlineLevel="0" collapsed="false">
      <c r="B43" s="68" t="s">
        <v>81</v>
      </c>
      <c r="C43" s="69"/>
      <c r="D43" s="70" t="str">
        <f aca="false" t="array" ref="D43:D43">INDEX(Table_Name76[Name List],MATCH(B43,Table_Name76[Category],0))</f>
        <v>Hamstrings_Hip_Hinge[Exercise]</v>
      </c>
      <c r="E43" s="71" t="e">
        <f aca="false" t="array" ref="E43:E43">INDEX(Links97[Link],MATCH(C43,Links97[Exercise],0))</f>
        <v>#N/A</v>
      </c>
      <c r="F43" s="72" t="e">
        <f aca="false">HYPERLINK(E43,"Video")</f>
        <v>#N/A</v>
      </c>
      <c r="G43" s="73"/>
      <c r="H43" s="61" t="n">
        <f aca="false">C43</f>
        <v>0</v>
      </c>
      <c r="I43" s="62" t="n">
        <v>3</v>
      </c>
      <c r="J43" s="62" t="n">
        <f aca="false">MROUND(((G43)*0.85),5)</f>
        <v>0</v>
      </c>
      <c r="K43" s="62" t="s">
        <v>41</v>
      </c>
      <c r="L43" s="62"/>
      <c r="M43" s="64"/>
      <c r="N43" s="61" t="n">
        <f aca="false">C43</f>
        <v>0</v>
      </c>
      <c r="O43" s="62" t="n">
        <f aca="false">I43+(S25)</f>
        <v>3</v>
      </c>
      <c r="P43" s="62" t="n">
        <f aca="false">MROUND((J43*1.02),5)</f>
        <v>0</v>
      </c>
      <c r="Q43" s="62" t="s">
        <v>41</v>
      </c>
      <c r="R43" s="62"/>
      <c r="S43" s="64"/>
      <c r="T43" s="65" t="n">
        <f aca="false">C43</f>
        <v>0</v>
      </c>
      <c r="U43" s="62" t="n">
        <f aca="false">O43+(Y25)</f>
        <v>3</v>
      </c>
      <c r="V43" s="62" t="n">
        <f aca="false">MROUND((J43*1.04),5)</f>
        <v>0</v>
      </c>
      <c r="W43" s="62" t="s">
        <v>42</v>
      </c>
      <c r="X43" s="62"/>
      <c r="Y43" s="64"/>
      <c r="Z43" s="66" t="n">
        <f aca="false">C43</f>
        <v>0</v>
      </c>
      <c r="AA43" s="62" t="n">
        <f aca="false">U43+(AE25)</f>
        <v>3</v>
      </c>
      <c r="AB43" s="62" t="n">
        <f aca="false">MROUND((P43*1.04),5)</f>
        <v>0</v>
      </c>
      <c r="AC43" s="62" t="s">
        <v>42</v>
      </c>
      <c r="AD43" s="62"/>
      <c r="AE43" s="64"/>
      <c r="AF43" s="66" t="n">
        <f aca="false">C43</f>
        <v>0</v>
      </c>
      <c r="AG43" s="62" t="n">
        <f aca="false">AA43+(AK25)</f>
        <v>3</v>
      </c>
      <c r="AH43" s="62" t="n">
        <f aca="false">MROUND((V43*1.04),5)</f>
        <v>0</v>
      </c>
      <c r="AI43" s="62" t="s">
        <v>42</v>
      </c>
      <c r="AJ43" s="62"/>
      <c r="AK43" s="64"/>
      <c r="AL43" s="63" t="n">
        <f aca="false">C43</f>
        <v>0</v>
      </c>
      <c r="AM43" s="62" t="n">
        <f aca="false">AG43+(AQ25)</f>
        <v>3</v>
      </c>
      <c r="AN43" s="62" t="n">
        <f aca="false">MROUND((J43*1.1),5)</f>
        <v>0</v>
      </c>
      <c r="AO43" s="62" t="s">
        <v>43</v>
      </c>
      <c r="AP43" s="62"/>
      <c r="AQ43" s="62"/>
      <c r="AR43" s="63" t="n">
        <f aca="false">C43</f>
        <v>0</v>
      </c>
      <c r="AS43" s="62" t="n">
        <v>2</v>
      </c>
      <c r="AT43" s="67" t="n">
        <f aca="false">MROUND((J43*0.5),5)</f>
        <v>0</v>
      </c>
      <c r="AU43" s="42" t="s">
        <v>44</v>
      </c>
    </row>
    <row r="44" customFormat="false" ht="15" hidden="false" customHeight="false" outlineLevel="0" collapsed="false">
      <c r="B44" s="68" t="s">
        <v>61</v>
      </c>
      <c r="C44" s="69"/>
      <c r="D44" s="70" t="str">
        <f aca="false" t="array" ref="D44:D44">INDEX(Table_Name76[Name List],MATCH(B44,Table_Name76[Category],0))</f>
        <v>Quads[Exercise]</v>
      </c>
      <c r="E44" s="71" t="e">
        <f aca="false" t="array" ref="E44:E44">INDEX(Links97[Link],MATCH(C44,Links97[Exercise],0))</f>
        <v>#N/A</v>
      </c>
      <c r="F44" s="72" t="e">
        <f aca="false">HYPERLINK(E44,"Video")</f>
        <v>#N/A</v>
      </c>
      <c r="G44" s="73"/>
      <c r="H44" s="61" t="n">
        <f aca="false">C44</f>
        <v>0</v>
      </c>
      <c r="I44" s="62" t="n">
        <v>2</v>
      </c>
      <c r="J44" s="62" t="n">
        <f aca="false">MROUND(((G44)*0.85),5)</f>
        <v>0</v>
      </c>
      <c r="K44" s="62" t="s">
        <v>41</v>
      </c>
      <c r="L44" s="62"/>
      <c r="M44" s="64"/>
      <c r="N44" s="61" t="n">
        <f aca="false">C44</f>
        <v>0</v>
      </c>
      <c r="O44" s="62" t="n">
        <f aca="false">I44+(S23)</f>
        <v>2</v>
      </c>
      <c r="P44" s="62" t="n">
        <f aca="false">MROUND((J44*1.02),5)</f>
        <v>0</v>
      </c>
      <c r="Q44" s="62" t="s">
        <v>41</v>
      </c>
      <c r="R44" s="62"/>
      <c r="S44" s="64"/>
      <c r="T44" s="65" t="n">
        <f aca="false">C44</f>
        <v>0</v>
      </c>
      <c r="U44" s="62" t="n">
        <f aca="false">O44+(Y23)</f>
        <v>2</v>
      </c>
      <c r="V44" s="62" t="n">
        <f aca="false">MROUND((J44*1.04),5)</f>
        <v>0</v>
      </c>
      <c r="W44" s="62" t="s">
        <v>42</v>
      </c>
      <c r="X44" s="62"/>
      <c r="Y44" s="64"/>
      <c r="Z44" s="66" t="n">
        <f aca="false">C44</f>
        <v>0</v>
      </c>
      <c r="AA44" s="62" t="n">
        <f aca="false">U44+(AE23)</f>
        <v>2</v>
      </c>
      <c r="AB44" s="62" t="n">
        <f aca="false">MROUND((P44*1.04),5)</f>
        <v>0</v>
      </c>
      <c r="AC44" s="62" t="s">
        <v>42</v>
      </c>
      <c r="AD44" s="62"/>
      <c r="AE44" s="64"/>
      <c r="AF44" s="66" t="n">
        <f aca="false">C44</f>
        <v>0</v>
      </c>
      <c r="AG44" s="62" t="n">
        <f aca="false">AA44+(AK23)</f>
        <v>2</v>
      </c>
      <c r="AH44" s="62" t="n">
        <f aca="false">MROUND((V44*1.04),5)</f>
        <v>0</v>
      </c>
      <c r="AI44" s="62" t="s">
        <v>42</v>
      </c>
      <c r="AJ44" s="62"/>
      <c r="AK44" s="64"/>
      <c r="AL44" s="63" t="n">
        <f aca="false">C44</f>
        <v>0</v>
      </c>
      <c r="AM44" s="62" t="n">
        <f aca="false">AG44+(AQ23)</f>
        <v>2</v>
      </c>
      <c r="AN44" s="62" t="n">
        <f aca="false">MROUND((J44*1.1),5)</f>
        <v>0</v>
      </c>
      <c r="AO44" s="62" t="s">
        <v>43</v>
      </c>
      <c r="AP44" s="62"/>
      <c r="AQ44" s="62"/>
      <c r="AR44" s="63" t="n">
        <f aca="false">C44</f>
        <v>0</v>
      </c>
      <c r="AS44" s="62" t="n">
        <v>2</v>
      </c>
      <c r="AT44" s="67" t="n">
        <f aca="false">MROUND((J44*0.5),5)</f>
        <v>0</v>
      </c>
      <c r="AU44" s="42" t="s">
        <v>44</v>
      </c>
    </row>
    <row r="45" customFormat="false" ht="15" hidden="false" customHeight="false" outlineLevel="0" collapsed="false">
      <c r="B45" s="68" t="s">
        <v>83</v>
      </c>
      <c r="C45" s="69"/>
      <c r="D45" s="70" t="str">
        <f aca="false" t="array" ref="D45:D45">INDEX(Table_Name76[Name List],MATCH(B45,Table_Name76[Category],0))</f>
        <v>Biceps[Exercise]</v>
      </c>
      <c r="E45" s="71" t="e">
        <f aca="false" t="array" ref="E45:E45">INDEX(Links97[Link],MATCH(C45,Links97[Exercise],0))</f>
        <v>#N/A</v>
      </c>
      <c r="F45" s="72" t="e">
        <f aca="false">HYPERLINK(E45,"Video")</f>
        <v>#N/A</v>
      </c>
      <c r="G45" s="73"/>
      <c r="H45" s="61" t="n">
        <f aca="false">C45</f>
        <v>0</v>
      </c>
      <c r="I45" s="62" t="n">
        <v>3</v>
      </c>
      <c r="J45" s="62" t="n">
        <f aca="false">MROUND(((G45)*0.85),5)</f>
        <v>0</v>
      </c>
      <c r="K45" s="62" t="s">
        <v>41</v>
      </c>
      <c r="L45" s="62"/>
      <c r="M45" s="64"/>
      <c r="N45" s="61" t="n">
        <f aca="false">C45</f>
        <v>0</v>
      </c>
      <c r="O45" s="62" t="n">
        <f aca="false">I45+(S17)</f>
        <v>3</v>
      </c>
      <c r="P45" s="62" t="n">
        <f aca="false">MROUND((J45*1.02),5)</f>
        <v>0</v>
      </c>
      <c r="Q45" s="62" t="s">
        <v>41</v>
      </c>
      <c r="R45" s="62"/>
      <c r="S45" s="64"/>
      <c r="T45" s="65" t="n">
        <f aca="false">C45</f>
        <v>0</v>
      </c>
      <c r="U45" s="62" t="n">
        <f aca="false">O45+(Y17)</f>
        <v>3</v>
      </c>
      <c r="V45" s="62" t="n">
        <f aca="false">MROUND((J45*1.04),5)</f>
        <v>0</v>
      </c>
      <c r="W45" s="62" t="s">
        <v>42</v>
      </c>
      <c r="X45" s="62"/>
      <c r="Y45" s="64"/>
      <c r="Z45" s="66" t="n">
        <f aca="false">C45</f>
        <v>0</v>
      </c>
      <c r="AA45" s="62" t="n">
        <f aca="false">U45+(AE17)</f>
        <v>3</v>
      </c>
      <c r="AB45" s="62" t="n">
        <f aca="false">MROUND((P45*1.04),5)</f>
        <v>0</v>
      </c>
      <c r="AC45" s="62" t="s">
        <v>42</v>
      </c>
      <c r="AD45" s="62"/>
      <c r="AE45" s="64"/>
      <c r="AF45" s="66" t="n">
        <f aca="false">C45</f>
        <v>0</v>
      </c>
      <c r="AG45" s="62" t="n">
        <f aca="false">AA45+(AK17)</f>
        <v>3</v>
      </c>
      <c r="AH45" s="62" t="n">
        <f aca="false">MROUND((V45*1.04),5)</f>
        <v>0</v>
      </c>
      <c r="AI45" s="62" t="s">
        <v>42</v>
      </c>
      <c r="AJ45" s="62"/>
      <c r="AK45" s="64"/>
      <c r="AL45" s="63" t="n">
        <f aca="false">C45</f>
        <v>0</v>
      </c>
      <c r="AM45" s="62" t="n">
        <f aca="false">AG45+(AQ17)</f>
        <v>3</v>
      </c>
      <c r="AN45" s="62" t="n">
        <f aca="false">MROUND((J45*1.1),5)</f>
        <v>0</v>
      </c>
      <c r="AO45" s="62" t="s">
        <v>43</v>
      </c>
      <c r="AP45" s="62"/>
      <c r="AQ45" s="62"/>
      <c r="AR45" s="63" t="n">
        <f aca="false">C45</f>
        <v>0</v>
      </c>
      <c r="AS45" s="62" t="n">
        <v>2</v>
      </c>
      <c r="AT45" s="67" t="n">
        <f aca="false">MROUND((J45*0.5),5)</f>
        <v>0</v>
      </c>
      <c r="AU45" s="42" t="s">
        <v>44</v>
      </c>
    </row>
    <row r="46" customFormat="false" ht="15" hidden="false" customHeight="false" outlineLevel="0" collapsed="false">
      <c r="B46" s="68" t="s">
        <v>85</v>
      </c>
      <c r="C46" s="69"/>
      <c r="D46" s="70" t="str">
        <f aca="false" t="array" ref="D46:D46">INDEX(Table_Name76[Name List],MATCH(B46,Table_Name76[Category],0))</f>
        <v>Traps[Exercise]</v>
      </c>
      <c r="E46" s="71" t="e">
        <f aca="false" t="array" ref="E46:E46">INDEX(Links97[Link],MATCH(C46,Links97[Exercise],0))</f>
        <v>#N/A</v>
      </c>
      <c r="F46" s="72" t="e">
        <f aca="false">HYPERLINK(E46,"Video")</f>
        <v>#N/A</v>
      </c>
      <c r="G46" s="73"/>
      <c r="H46" s="61" t="n">
        <f aca="false">C46</f>
        <v>0</v>
      </c>
      <c r="I46" s="62" t="n">
        <v>3</v>
      </c>
      <c r="J46" s="62" t="n">
        <f aca="false">MROUND(((G46)*0.85),5)</f>
        <v>0</v>
      </c>
      <c r="K46" s="62" t="s">
        <v>41</v>
      </c>
      <c r="L46" s="62"/>
      <c r="M46" s="64"/>
      <c r="N46" s="61" t="n">
        <f aca="false">C46</f>
        <v>0</v>
      </c>
      <c r="O46" s="62" t="n">
        <f aca="false">I46+(S18)</f>
        <v>3</v>
      </c>
      <c r="P46" s="62" t="n">
        <f aca="false">MROUND((J46*1.02),5)</f>
        <v>0</v>
      </c>
      <c r="Q46" s="62" t="s">
        <v>41</v>
      </c>
      <c r="R46" s="62"/>
      <c r="S46" s="64"/>
      <c r="T46" s="65" t="n">
        <f aca="false">C46</f>
        <v>0</v>
      </c>
      <c r="U46" s="62" t="n">
        <f aca="false">O46+(Y18)</f>
        <v>3</v>
      </c>
      <c r="V46" s="62" t="n">
        <f aca="false">MROUND((J46*1.04),5)</f>
        <v>0</v>
      </c>
      <c r="W46" s="62" t="s">
        <v>42</v>
      </c>
      <c r="X46" s="62"/>
      <c r="Y46" s="64"/>
      <c r="Z46" s="66" t="n">
        <f aca="false">C46</f>
        <v>0</v>
      </c>
      <c r="AA46" s="62" t="n">
        <f aca="false">U46+(AE18)</f>
        <v>3</v>
      </c>
      <c r="AB46" s="62" t="n">
        <f aca="false">MROUND((P46*1.04),5)</f>
        <v>0</v>
      </c>
      <c r="AC46" s="62" t="s">
        <v>42</v>
      </c>
      <c r="AD46" s="62"/>
      <c r="AE46" s="64"/>
      <c r="AF46" s="66" t="n">
        <f aca="false">C46</f>
        <v>0</v>
      </c>
      <c r="AG46" s="62" t="n">
        <f aca="false">AA46+(AK18)</f>
        <v>3</v>
      </c>
      <c r="AH46" s="62" t="n">
        <f aca="false">MROUND((V46*1.04),5)</f>
        <v>0</v>
      </c>
      <c r="AI46" s="62" t="s">
        <v>42</v>
      </c>
      <c r="AJ46" s="62"/>
      <c r="AK46" s="64"/>
      <c r="AL46" s="63" t="n">
        <f aca="false">C46</f>
        <v>0</v>
      </c>
      <c r="AM46" s="62" t="n">
        <f aca="false">AG46+(AQ18)</f>
        <v>3</v>
      </c>
      <c r="AN46" s="62" t="n">
        <f aca="false">MROUND((J46*1.1),5)</f>
        <v>0</v>
      </c>
      <c r="AO46" s="62" t="s">
        <v>43</v>
      </c>
      <c r="AP46" s="62"/>
      <c r="AQ46" s="62"/>
      <c r="AR46" s="63" t="n">
        <f aca="false">C46</f>
        <v>0</v>
      </c>
      <c r="AS46" s="62" t="n">
        <v>2</v>
      </c>
      <c r="AT46" s="67" t="n">
        <f aca="false">MROUND((J46*0.5),5)</f>
        <v>0</v>
      </c>
      <c r="AU46" s="42" t="s">
        <v>44</v>
      </c>
    </row>
    <row r="47" customFormat="false" ht="15" hidden="false" customHeight="false" outlineLevel="0" collapsed="false">
      <c r="B47" s="74" t="s">
        <v>66</v>
      </c>
      <c r="C47" s="75"/>
      <c r="D47" s="70" t="str">
        <f aca="false" t="array" ref="D47:D47">INDEX(Table_Name76[Name List],MATCH(B47,Table_Name76[Category],0))</f>
        <v>Calves[Exercise]</v>
      </c>
      <c r="E47" s="71" t="e">
        <f aca="false" t="array" ref="E47:E47">INDEX(Links97[Link],MATCH(C47,Links97[Exercise],0))</f>
        <v>#N/A</v>
      </c>
      <c r="F47" s="78" t="e">
        <f aca="false">HYPERLINK(E47,"Video")</f>
        <v>#N/A</v>
      </c>
      <c r="G47" s="79"/>
      <c r="H47" s="80" t="n">
        <f aca="false">C47</f>
        <v>0</v>
      </c>
      <c r="I47" s="81" t="n">
        <v>4</v>
      </c>
      <c r="J47" s="81" t="n">
        <f aca="false">MROUND(((G47)*0.85),5)</f>
        <v>0</v>
      </c>
      <c r="K47" s="81" t="s">
        <v>41</v>
      </c>
      <c r="L47" s="81"/>
      <c r="M47" s="64"/>
      <c r="N47" s="83" t="n">
        <f aca="false">C47</f>
        <v>0</v>
      </c>
      <c r="O47" s="81" t="n">
        <f aca="false">I47+(S26)</f>
        <v>4</v>
      </c>
      <c r="P47" s="81" t="n">
        <f aca="false">MROUND((J47*1.02),5)</f>
        <v>0</v>
      </c>
      <c r="Q47" s="81" t="s">
        <v>41</v>
      </c>
      <c r="R47" s="81"/>
      <c r="S47" s="64"/>
      <c r="T47" s="84" t="n">
        <f aca="false">C47</f>
        <v>0</v>
      </c>
      <c r="U47" s="81" t="n">
        <f aca="false">O47+(Y26)</f>
        <v>4</v>
      </c>
      <c r="V47" s="81" t="n">
        <f aca="false">MROUND((J47*1.04),5)</f>
        <v>0</v>
      </c>
      <c r="W47" s="81" t="s">
        <v>42</v>
      </c>
      <c r="X47" s="81"/>
      <c r="Y47" s="64"/>
      <c r="Z47" s="80" t="n">
        <f aca="false">C47</f>
        <v>0</v>
      </c>
      <c r="AA47" s="81" t="n">
        <f aca="false">U47+(AE26)</f>
        <v>4</v>
      </c>
      <c r="AB47" s="81" t="n">
        <f aca="false">MROUND((P47*1.04),5)</f>
        <v>0</v>
      </c>
      <c r="AC47" s="81" t="s">
        <v>42</v>
      </c>
      <c r="AD47" s="81"/>
      <c r="AE47" s="64"/>
      <c r="AF47" s="80" t="n">
        <f aca="false">C47</f>
        <v>0</v>
      </c>
      <c r="AG47" s="81" t="n">
        <f aca="false">AA47+(AK26)</f>
        <v>4</v>
      </c>
      <c r="AH47" s="81" t="n">
        <f aca="false">MROUND((V47*1.04),5)</f>
        <v>0</v>
      </c>
      <c r="AI47" s="81" t="s">
        <v>42</v>
      </c>
      <c r="AJ47" s="81"/>
      <c r="AK47" s="64"/>
      <c r="AL47" s="83" t="n">
        <f aca="false">C47</f>
        <v>0</v>
      </c>
      <c r="AM47" s="81" t="n">
        <f aca="false">AG47+(AQ26)</f>
        <v>4</v>
      </c>
      <c r="AN47" s="81" t="n">
        <f aca="false">MROUND((J47*1.1),5)</f>
        <v>0</v>
      </c>
      <c r="AO47" s="81" t="s">
        <v>43</v>
      </c>
      <c r="AP47" s="81"/>
      <c r="AQ47" s="81"/>
      <c r="AR47" s="83" t="n">
        <f aca="false">C47</f>
        <v>0</v>
      </c>
      <c r="AS47" s="81" t="n">
        <v>2</v>
      </c>
      <c r="AT47" s="85" t="n">
        <f aca="false">MROUND((J47*0.5),5)</f>
        <v>0</v>
      </c>
      <c r="AU47" s="82" t="s">
        <v>44</v>
      </c>
    </row>
    <row r="48" s="89" customFormat="true" ht="14.4" hidden="false" customHeight="false" outlineLevel="0" collapsed="false">
      <c r="C48" s="90"/>
      <c r="D48" s="90"/>
      <c r="E48" s="91"/>
      <c r="F48" s="92"/>
      <c r="G48" s="65"/>
      <c r="H48" s="90"/>
      <c r="I48" s="28"/>
      <c r="J48" s="28"/>
      <c r="K48" s="28"/>
      <c r="L48" s="28"/>
      <c r="M48" s="28"/>
      <c r="N48" s="90"/>
      <c r="O48" s="28"/>
      <c r="P48" s="28"/>
      <c r="Q48" s="28"/>
      <c r="R48" s="28"/>
      <c r="S48" s="28"/>
      <c r="T48" s="90"/>
      <c r="U48" s="28"/>
      <c r="V48" s="28"/>
      <c r="W48" s="28"/>
      <c r="X48" s="28"/>
      <c r="Y48" s="28"/>
      <c r="Z48" s="90"/>
      <c r="AA48" s="28"/>
      <c r="AB48" s="28"/>
      <c r="AC48" s="28"/>
      <c r="AD48" s="28"/>
      <c r="AE48" s="28"/>
      <c r="AF48" s="90"/>
      <c r="AG48" s="28"/>
      <c r="AH48" s="28"/>
      <c r="AI48" s="28"/>
      <c r="AJ48" s="28"/>
      <c r="AK48" s="28"/>
      <c r="AL48" s="90"/>
      <c r="AM48" s="28"/>
      <c r="AN48" s="28"/>
      <c r="AO48" s="28"/>
      <c r="AP48" s="28"/>
      <c r="AQ48" s="28"/>
      <c r="AR48" s="90"/>
      <c r="AS48" s="28"/>
      <c r="AT48" s="28"/>
      <c r="AU48" s="28"/>
    </row>
    <row r="49" s="89" customFormat="true" ht="14.4" hidden="false" customHeight="false" outlineLevel="0" collapsed="false">
      <c r="B49" s="93" t="s">
        <v>87</v>
      </c>
      <c r="C49" s="90"/>
      <c r="D49" s="90"/>
      <c r="E49" s="91"/>
      <c r="F49" s="92"/>
      <c r="G49" s="65"/>
      <c r="H49" s="90"/>
      <c r="I49" s="28"/>
      <c r="J49" s="28"/>
      <c r="K49" s="28"/>
      <c r="L49" s="28"/>
      <c r="M49" s="28"/>
      <c r="N49" s="90"/>
      <c r="O49" s="28"/>
      <c r="P49" s="28"/>
      <c r="Q49" s="28"/>
      <c r="R49" s="28"/>
      <c r="S49" s="28"/>
      <c r="T49" s="90"/>
      <c r="U49" s="28"/>
      <c r="V49" s="28"/>
      <c r="W49" s="28"/>
      <c r="X49" s="28"/>
      <c r="Y49" s="28"/>
      <c r="Z49" s="90"/>
      <c r="AA49" s="28"/>
      <c r="AB49" s="28"/>
      <c r="AC49" s="28"/>
      <c r="AD49" s="28"/>
      <c r="AE49" s="28"/>
      <c r="AF49" s="90"/>
      <c r="AG49" s="28"/>
      <c r="AH49" s="28"/>
      <c r="AI49" s="28"/>
      <c r="AJ49" s="28"/>
      <c r="AK49" s="28"/>
      <c r="AL49" s="90"/>
      <c r="AM49" s="28"/>
      <c r="AN49" s="28"/>
      <c r="AO49" s="28"/>
      <c r="AP49" s="28"/>
      <c r="AQ49" s="28"/>
      <c r="AR49" s="90"/>
      <c r="AS49" s="28"/>
      <c r="AT49" s="28"/>
      <c r="AU49" s="28"/>
    </row>
    <row r="50" s="89" customFormat="true" ht="14.4" hidden="false" customHeight="false" outlineLevel="0" collapsed="false">
      <c r="B50" s="94"/>
      <c r="C50" s="90"/>
      <c r="D50" s="90"/>
      <c r="E50" s="91"/>
      <c r="F50" s="92"/>
      <c r="G50" s="65"/>
      <c r="H50" s="90"/>
      <c r="I50" s="28"/>
      <c r="J50" s="28"/>
      <c r="K50" s="28"/>
      <c r="L50" s="28"/>
      <c r="M50" s="28"/>
      <c r="N50" s="90"/>
      <c r="O50" s="28"/>
      <c r="P50" s="28"/>
      <c r="Q50" s="28"/>
      <c r="R50" s="28"/>
      <c r="S50" s="28"/>
      <c r="T50" s="90"/>
      <c r="U50" s="28"/>
      <c r="V50" s="28"/>
      <c r="W50" s="28"/>
      <c r="X50" s="28"/>
      <c r="Y50" s="28"/>
      <c r="Z50" s="90"/>
      <c r="AA50" s="28"/>
      <c r="AB50" s="28"/>
      <c r="AC50" s="28"/>
      <c r="AD50" s="28"/>
      <c r="AE50" s="28"/>
      <c r="AF50" s="90"/>
      <c r="AG50" s="28"/>
      <c r="AH50" s="28"/>
      <c r="AI50" s="28"/>
      <c r="AJ50" s="28"/>
      <c r="AK50" s="28"/>
      <c r="AL50" s="90"/>
      <c r="AM50" s="28"/>
      <c r="AN50" s="28"/>
      <c r="AO50" s="28"/>
      <c r="AP50" s="28"/>
      <c r="AQ50" s="28"/>
      <c r="AR50" s="90"/>
      <c r="AS50" s="28"/>
      <c r="AT50" s="28"/>
      <c r="AU50" s="28"/>
    </row>
    <row r="51" s="89" customFormat="true" ht="14.4" hidden="false" customHeight="false" outlineLevel="0" collapsed="false">
      <c r="B51" s="94"/>
      <c r="C51" s="90"/>
      <c r="D51" s="90"/>
      <c r="E51" s="91"/>
      <c r="F51" s="92"/>
      <c r="G51" s="65"/>
      <c r="H51" s="90"/>
      <c r="I51" s="28"/>
      <c r="J51" s="28"/>
      <c r="K51" s="28"/>
      <c r="L51" s="28"/>
      <c r="M51" s="28"/>
      <c r="N51" s="90"/>
      <c r="O51" s="28"/>
      <c r="P51" s="28"/>
      <c r="Q51" s="28"/>
      <c r="R51" s="28"/>
      <c r="S51" s="28"/>
      <c r="T51" s="90"/>
      <c r="U51" s="28"/>
      <c r="V51" s="28"/>
      <c r="W51" s="28"/>
      <c r="X51" s="28"/>
      <c r="Y51" s="28"/>
      <c r="Z51" s="90"/>
      <c r="AA51" s="28"/>
      <c r="AB51" s="28"/>
      <c r="AC51" s="28"/>
      <c r="AD51" s="28"/>
      <c r="AE51" s="28"/>
      <c r="AF51" s="90"/>
      <c r="AG51" s="28"/>
      <c r="AH51" s="28"/>
      <c r="AI51" s="28"/>
      <c r="AJ51" s="28"/>
      <c r="AK51" s="28"/>
      <c r="AL51" s="90"/>
      <c r="AM51" s="28"/>
      <c r="AN51" s="28"/>
      <c r="AO51" s="28"/>
      <c r="AP51" s="28"/>
      <c r="AQ51" s="28"/>
      <c r="AR51" s="90"/>
      <c r="AS51" s="28"/>
      <c r="AT51" s="28"/>
      <c r="AU51" s="28"/>
    </row>
    <row r="52" s="89" customFormat="true" ht="14.4" hidden="false" customHeight="false" outlineLevel="0" collapsed="false">
      <c r="B52" s="94"/>
      <c r="C52" s="90"/>
      <c r="D52" s="90"/>
      <c r="E52" s="91"/>
      <c r="F52" s="92"/>
      <c r="G52" s="65"/>
      <c r="H52" s="90"/>
      <c r="I52" s="28"/>
      <c r="J52" s="28"/>
      <c r="K52" s="28"/>
      <c r="L52" s="28"/>
      <c r="M52" s="28"/>
      <c r="N52" s="90"/>
      <c r="O52" s="28"/>
      <c r="P52" s="28"/>
      <c r="Q52" s="28"/>
      <c r="R52" s="28"/>
      <c r="S52" s="28"/>
      <c r="T52" s="90"/>
      <c r="U52" s="28"/>
      <c r="V52" s="28"/>
      <c r="W52" s="28"/>
      <c r="X52" s="28"/>
      <c r="Y52" s="28"/>
      <c r="Z52" s="90"/>
      <c r="AA52" s="28"/>
      <c r="AB52" s="28"/>
      <c r="AC52" s="28"/>
      <c r="AD52" s="28"/>
      <c r="AE52" s="28"/>
      <c r="AF52" s="90"/>
      <c r="AG52" s="28"/>
      <c r="AH52" s="28"/>
      <c r="AI52" s="28"/>
      <c r="AJ52" s="28"/>
      <c r="AK52" s="28"/>
      <c r="AL52" s="90"/>
      <c r="AM52" s="28"/>
      <c r="AN52" s="28"/>
      <c r="AO52" s="28"/>
      <c r="AP52" s="28"/>
      <c r="AQ52" s="28"/>
      <c r="AR52" s="90"/>
      <c r="AS52" s="28"/>
      <c r="AT52" s="28"/>
      <c r="AU52" s="28"/>
    </row>
    <row r="53" s="89" customFormat="true" ht="14.4" hidden="false" customHeight="false" outlineLevel="0" collapsed="false">
      <c r="B53" s="94"/>
      <c r="C53" s="90"/>
      <c r="D53" s="90"/>
      <c r="E53" s="91"/>
      <c r="F53" s="92"/>
      <c r="G53" s="65"/>
      <c r="H53" s="90"/>
      <c r="I53" s="28"/>
      <c r="J53" s="28"/>
      <c r="K53" s="28"/>
      <c r="L53" s="28"/>
      <c r="M53" s="28"/>
      <c r="N53" s="90"/>
      <c r="O53" s="28"/>
      <c r="P53" s="28"/>
      <c r="Q53" s="28"/>
      <c r="R53" s="28"/>
      <c r="S53" s="28"/>
      <c r="T53" s="90"/>
      <c r="U53" s="28"/>
      <c r="V53" s="28"/>
      <c r="W53" s="28"/>
      <c r="X53" s="28"/>
      <c r="Y53" s="28"/>
      <c r="Z53" s="90"/>
      <c r="AA53" s="28"/>
      <c r="AB53" s="28"/>
      <c r="AC53" s="28"/>
      <c r="AD53" s="28"/>
      <c r="AE53" s="28"/>
      <c r="AF53" s="90"/>
      <c r="AG53" s="28"/>
      <c r="AH53" s="28"/>
      <c r="AI53" s="28"/>
      <c r="AJ53" s="28"/>
      <c r="AK53" s="28"/>
      <c r="AL53" s="90"/>
      <c r="AM53" s="28"/>
      <c r="AN53" s="28"/>
      <c r="AO53" s="28"/>
      <c r="AP53" s="28"/>
      <c r="AQ53" s="28"/>
      <c r="AR53" s="90"/>
      <c r="AS53" s="28"/>
      <c r="AT53" s="28"/>
      <c r="AU53" s="28"/>
    </row>
    <row r="54" s="89" customFormat="true" ht="14.4" hidden="false" customHeight="false" outlineLevel="0" collapsed="false">
      <c r="B54" s="94"/>
      <c r="C54" s="90"/>
      <c r="D54" s="90"/>
      <c r="E54" s="91"/>
      <c r="F54" s="92"/>
      <c r="G54" s="65"/>
      <c r="H54" s="90"/>
      <c r="I54" s="28"/>
      <c r="J54" s="28"/>
      <c r="K54" s="28"/>
      <c r="L54" s="28"/>
      <c r="M54" s="28"/>
      <c r="N54" s="90"/>
      <c r="O54" s="28"/>
      <c r="P54" s="28"/>
      <c r="Q54" s="28"/>
      <c r="R54" s="28"/>
      <c r="S54" s="28"/>
      <c r="T54" s="90"/>
      <c r="U54" s="28"/>
      <c r="V54" s="28"/>
      <c r="W54" s="28"/>
      <c r="X54" s="28"/>
      <c r="Y54" s="28"/>
      <c r="Z54" s="90"/>
      <c r="AA54" s="28"/>
      <c r="AB54" s="28"/>
      <c r="AC54" s="28"/>
      <c r="AD54" s="28"/>
      <c r="AE54" s="28"/>
      <c r="AF54" s="90"/>
      <c r="AG54" s="28"/>
      <c r="AH54" s="28"/>
      <c r="AI54" s="28"/>
      <c r="AJ54" s="28"/>
      <c r="AK54" s="28"/>
      <c r="AL54" s="90"/>
      <c r="AM54" s="28"/>
      <c r="AN54" s="28"/>
      <c r="AO54" s="28"/>
      <c r="AP54" s="28"/>
      <c r="AQ54" s="28"/>
      <c r="AR54" s="90"/>
      <c r="AS54" s="28"/>
      <c r="AT54" s="28"/>
      <c r="AU54" s="28"/>
    </row>
    <row r="55" s="89" customFormat="true" ht="14.4" hidden="false" customHeight="false" outlineLevel="0" collapsed="false">
      <c r="B55" s="94"/>
      <c r="C55" s="90"/>
      <c r="D55" s="90"/>
      <c r="E55" s="91"/>
      <c r="F55" s="92"/>
      <c r="G55" s="65"/>
      <c r="H55" s="90"/>
      <c r="I55" s="28"/>
      <c r="J55" s="28"/>
      <c r="K55" s="28"/>
      <c r="L55" s="28"/>
      <c r="M55" s="28"/>
      <c r="N55" s="90"/>
      <c r="O55" s="28"/>
      <c r="P55" s="28"/>
      <c r="Q55" s="28"/>
      <c r="R55" s="28"/>
      <c r="S55" s="28"/>
      <c r="T55" s="90"/>
      <c r="U55" s="28"/>
      <c r="V55" s="28"/>
      <c r="W55" s="28"/>
      <c r="X55" s="28"/>
      <c r="Y55" s="28"/>
      <c r="Z55" s="90"/>
      <c r="AA55" s="28"/>
      <c r="AB55" s="28"/>
      <c r="AC55" s="28"/>
      <c r="AD55" s="28"/>
      <c r="AE55" s="28"/>
      <c r="AF55" s="90"/>
      <c r="AG55" s="28"/>
      <c r="AH55" s="28"/>
      <c r="AI55" s="28"/>
      <c r="AJ55" s="28"/>
      <c r="AK55" s="28"/>
      <c r="AL55" s="90"/>
      <c r="AM55" s="28"/>
      <c r="AN55" s="28"/>
      <c r="AO55" s="28"/>
      <c r="AP55" s="28"/>
      <c r="AQ55" s="28"/>
      <c r="AR55" s="90"/>
      <c r="AS55" s="28"/>
      <c r="AT55" s="28"/>
      <c r="AU55" s="28"/>
    </row>
    <row r="56" s="89" customFormat="true" ht="14.4" hidden="false" customHeight="false" outlineLevel="0" collapsed="false">
      <c r="B56" s="94"/>
      <c r="C56" s="90"/>
      <c r="D56" s="90"/>
      <c r="E56" s="91"/>
      <c r="F56" s="92"/>
      <c r="G56" s="65"/>
      <c r="H56" s="90"/>
      <c r="I56" s="28"/>
      <c r="J56" s="28"/>
      <c r="K56" s="28"/>
      <c r="L56" s="28"/>
      <c r="M56" s="28"/>
      <c r="N56" s="90"/>
      <c r="O56" s="28"/>
      <c r="P56" s="28"/>
      <c r="Q56" s="28"/>
      <c r="R56" s="28"/>
      <c r="S56" s="28"/>
      <c r="T56" s="90"/>
      <c r="U56" s="28"/>
      <c r="V56" s="28"/>
      <c r="W56" s="28"/>
      <c r="X56" s="28"/>
      <c r="Y56" s="28"/>
      <c r="Z56" s="90"/>
      <c r="AA56" s="28"/>
      <c r="AB56" s="28"/>
      <c r="AC56" s="28"/>
      <c r="AD56" s="28"/>
      <c r="AE56" s="28"/>
      <c r="AF56" s="90"/>
      <c r="AG56" s="28"/>
      <c r="AH56" s="28"/>
      <c r="AI56" s="28"/>
      <c r="AJ56" s="28"/>
      <c r="AK56" s="28"/>
      <c r="AL56" s="90"/>
      <c r="AM56" s="28"/>
      <c r="AN56" s="28"/>
      <c r="AO56" s="28"/>
      <c r="AP56" s="28"/>
      <c r="AQ56" s="28"/>
      <c r="AR56" s="90"/>
      <c r="AS56" s="28"/>
      <c r="AT56" s="28"/>
      <c r="AU56" s="28"/>
    </row>
    <row r="57" s="89" customFormat="true" ht="14.4" hidden="false" customHeight="false" outlineLevel="0" collapsed="false">
      <c r="B57" s="94"/>
      <c r="C57" s="90"/>
      <c r="D57" s="90"/>
      <c r="E57" s="91"/>
      <c r="F57" s="92"/>
      <c r="G57" s="65"/>
      <c r="H57" s="90"/>
      <c r="I57" s="28"/>
      <c r="J57" s="28"/>
      <c r="K57" s="28"/>
      <c r="L57" s="28"/>
      <c r="M57" s="28"/>
      <c r="N57" s="90"/>
      <c r="O57" s="28"/>
      <c r="P57" s="28"/>
      <c r="Q57" s="28"/>
      <c r="R57" s="28"/>
      <c r="S57" s="28"/>
      <c r="T57" s="90"/>
      <c r="U57" s="28"/>
      <c r="V57" s="28"/>
      <c r="W57" s="28"/>
      <c r="X57" s="28"/>
      <c r="Y57" s="28"/>
      <c r="Z57" s="90"/>
      <c r="AA57" s="28"/>
      <c r="AB57" s="28"/>
      <c r="AC57" s="28"/>
      <c r="AD57" s="28"/>
      <c r="AE57" s="28"/>
      <c r="AF57" s="90"/>
      <c r="AG57" s="28"/>
      <c r="AH57" s="28"/>
      <c r="AI57" s="28"/>
      <c r="AJ57" s="28"/>
      <c r="AK57" s="28"/>
      <c r="AL57" s="90"/>
      <c r="AM57" s="28"/>
      <c r="AN57" s="28"/>
      <c r="AO57" s="28"/>
      <c r="AP57" s="28"/>
      <c r="AQ57" s="28"/>
      <c r="AR57" s="90"/>
      <c r="AS57" s="28"/>
      <c r="AT57" s="28"/>
      <c r="AU57" s="28"/>
    </row>
    <row r="58" s="89" customFormat="true" ht="14.4" hidden="false" customHeight="false" outlineLevel="0" collapsed="false">
      <c r="B58" s="94"/>
      <c r="C58" s="90"/>
      <c r="D58" s="90"/>
      <c r="E58" s="91"/>
      <c r="F58" s="92"/>
      <c r="G58" s="65"/>
      <c r="H58" s="90"/>
      <c r="I58" s="28"/>
      <c r="J58" s="28"/>
      <c r="K58" s="28"/>
      <c r="L58" s="28"/>
      <c r="M58" s="28"/>
      <c r="N58" s="90"/>
      <c r="O58" s="28"/>
      <c r="P58" s="28"/>
      <c r="Q58" s="28"/>
      <c r="R58" s="28"/>
      <c r="S58" s="28"/>
      <c r="T58" s="90"/>
      <c r="U58" s="28"/>
      <c r="V58" s="28"/>
      <c r="W58" s="28"/>
      <c r="X58" s="28"/>
      <c r="Y58" s="28"/>
      <c r="Z58" s="90"/>
      <c r="AA58" s="28"/>
      <c r="AB58" s="28"/>
      <c r="AC58" s="28"/>
      <c r="AD58" s="28"/>
      <c r="AE58" s="28"/>
      <c r="AF58" s="90"/>
      <c r="AG58" s="28"/>
      <c r="AH58" s="28"/>
      <c r="AI58" s="28"/>
      <c r="AJ58" s="28"/>
      <c r="AK58" s="28"/>
      <c r="AL58" s="90"/>
      <c r="AM58" s="28"/>
      <c r="AN58" s="28"/>
      <c r="AO58" s="28"/>
      <c r="AP58" s="28"/>
      <c r="AQ58" s="28"/>
      <c r="AR58" s="90"/>
      <c r="AS58" s="28"/>
      <c r="AT58" s="28"/>
      <c r="AU58" s="28"/>
    </row>
    <row r="59" s="89" customFormat="true" ht="14.4" hidden="false" customHeight="false" outlineLevel="0" collapsed="false">
      <c r="B59" s="94"/>
      <c r="C59" s="90"/>
      <c r="D59" s="90"/>
      <c r="E59" s="91"/>
      <c r="F59" s="92"/>
      <c r="G59" s="65"/>
      <c r="H59" s="90"/>
      <c r="I59" s="28"/>
      <c r="J59" s="28"/>
      <c r="K59" s="28"/>
      <c r="L59" s="28"/>
      <c r="M59" s="28"/>
      <c r="N59" s="90"/>
      <c r="O59" s="28"/>
      <c r="P59" s="28"/>
      <c r="Q59" s="28"/>
      <c r="R59" s="28"/>
      <c r="S59" s="28"/>
      <c r="T59" s="90"/>
      <c r="U59" s="28"/>
      <c r="V59" s="28"/>
      <c r="W59" s="28"/>
      <c r="X59" s="28"/>
      <c r="Y59" s="28"/>
      <c r="Z59" s="90"/>
      <c r="AA59" s="28"/>
      <c r="AB59" s="28"/>
      <c r="AC59" s="28"/>
      <c r="AD59" s="28"/>
      <c r="AE59" s="28"/>
      <c r="AF59" s="90"/>
      <c r="AG59" s="28"/>
      <c r="AH59" s="28"/>
      <c r="AI59" s="28"/>
      <c r="AJ59" s="28"/>
      <c r="AK59" s="28"/>
      <c r="AL59" s="90"/>
      <c r="AM59" s="28"/>
      <c r="AN59" s="28"/>
      <c r="AO59" s="28"/>
      <c r="AP59" s="28"/>
      <c r="AQ59" s="28"/>
      <c r="AR59" s="90"/>
      <c r="AS59" s="28"/>
      <c r="AT59" s="28"/>
      <c r="AU59" s="28"/>
    </row>
    <row r="60" s="89" customFormat="true" ht="14.4" hidden="false" customHeight="false" outlineLevel="0" collapsed="false">
      <c r="B60" s="94"/>
      <c r="C60" s="90"/>
      <c r="D60" s="90"/>
      <c r="E60" s="91"/>
      <c r="F60" s="92"/>
      <c r="G60" s="65"/>
      <c r="H60" s="90"/>
      <c r="I60" s="28"/>
      <c r="J60" s="28"/>
      <c r="K60" s="28"/>
      <c r="L60" s="28"/>
      <c r="M60" s="28"/>
      <c r="N60" s="90"/>
      <c r="O60" s="28"/>
      <c r="P60" s="28"/>
      <c r="Q60" s="28"/>
      <c r="R60" s="28"/>
      <c r="S60" s="28"/>
      <c r="T60" s="90"/>
      <c r="U60" s="28"/>
      <c r="V60" s="28"/>
      <c r="W60" s="28"/>
      <c r="X60" s="28"/>
      <c r="Y60" s="28"/>
      <c r="Z60" s="90"/>
      <c r="AA60" s="28"/>
      <c r="AB60" s="28"/>
      <c r="AC60" s="28"/>
      <c r="AD60" s="28"/>
      <c r="AE60" s="28"/>
      <c r="AF60" s="90"/>
      <c r="AG60" s="28"/>
      <c r="AH60" s="28"/>
      <c r="AI60" s="28"/>
      <c r="AJ60" s="28"/>
      <c r="AK60" s="28"/>
      <c r="AL60" s="90"/>
      <c r="AM60" s="28"/>
      <c r="AN60" s="28"/>
      <c r="AO60" s="28"/>
      <c r="AP60" s="28"/>
      <c r="AQ60" s="28"/>
      <c r="AR60" s="90"/>
      <c r="AS60" s="28"/>
      <c r="AT60" s="28"/>
      <c r="AU60" s="28"/>
    </row>
    <row r="61" s="89" customFormat="true" ht="14.4" hidden="false" customHeight="false" outlineLevel="0" collapsed="false">
      <c r="B61" s="94"/>
      <c r="C61" s="90"/>
      <c r="D61" s="90"/>
      <c r="E61" s="91"/>
      <c r="F61" s="92"/>
      <c r="G61" s="65"/>
      <c r="H61" s="90"/>
      <c r="I61" s="28"/>
      <c r="J61" s="28"/>
      <c r="K61" s="28"/>
      <c r="L61" s="28"/>
      <c r="M61" s="28"/>
      <c r="N61" s="90"/>
      <c r="O61" s="28"/>
      <c r="P61" s="28"/>
      <c r="Q61" s="28"/>
      <c r="R61" s="28"/>
      <c r="S61" s="28"/>
      <c r="T61" s="90"/>
      <c r="U61" s="28"/>
      <c r="V61" s="28"/>
      <c r="W61" s="28"/>
      <c r="X61" s="28"/>
      <c r="Y61" s="28"/>
      <c r="Z61" s="90"/>
      <c r="AA61" s="28"/>
      <c r="AB61" s="28"/>
      <c r="AC61" s="28"/>
      <c r="AD61" s="28"/>
      <c r="AE61" s="28"/>
      <c r="AF61" s="90"/>
      <c r="AG61" s="28"/>
      <c r="AH61" s="28"/>
      <c r="AI61" s="28"/>
      <c r="AJ61" s="28"/>
      <c r="AK61" s="28"/>
      <c r="AL61" s="90"/>
      <c r="AM61" s="28"/>
      <c r="AN61" s="28"/>
      <c r="AO61" s="28"/>
      <c r="AP61" s="28"/>
      <c r="AQ61" s="28"/>
      <c r="AR61" s="90"/>
      <c r="AS61" s="28"/>
      <c r="AT61" s="28"/>
      <c r="AU61" s="28"/>
    </row>
    <row r="62" s="89" customFormat="true" ht="14.4" hidden="false" customHeight="false" outlineLevel="0" collapsed="false">
      <c r="B62" s="94"/>
      <c r="C62" s="90"/>
      <c r="D62" s="90"/>
      <c r="E62" s="91"/>
      <c r="F62" s="92"/>
      <c r="G62" s="65"/>
      <c r="H62" s="90"/>
      <c r="I62" s="28"/>
      <c r="J62" s="28"/>
      <c r="K62" s="28"/>
      <c r="L62" s="28"/>
      <c r="M62" s="28"/>
      <c r="N62" s="90"/>
      <c r="O62" s="28"/>
      <c r="P62" s="28"/>
      <c r="Q62" s="28"/>
      <c r="R62" s="28"/>
      <c r="S62" s="28"/>
      <c r="T62" s="90"/>
      <c r="U62" s="28"/>
      <c r="V62" s="28"/>
      <c r="W62" s="28"/>
      <c r="X62" s="28"/>
      <c r="Y62" s="28"/>
      <c r="Z62" s="90"/>
      <c r="AA62" s="28"/>
      <c r="AB62" s="28"/>
      <c r="AC62" s="28"/>
      <c r="AD62" s="28"/>
      <c r="AE62" s="28"/>
      <c r="AF62" s="90"/>
      <c r="AG62" s="28"/>
      <c r="AH62" s="28"/>
      <c r="AI62" s="28"/>
      <c r="AJ62" s="28"/>
      <c r="AK62" s="28"/>
      <c r="AL62" s="90"/>
      <c r="AM62" s="28"/>
      <c r="AN62" s="28"/>
      <c r="AO62" s="28"/>
      <c r="AP62" s="28"/>
      <c r="AQ62" s="28"/>
      <c r="AR62" s="90"/>
      <c r="AS62" s="28"/>
      <c r="AT62" s="28"/>
      <c r="AU62" s="28"/>
    </row>
    <row r="63" s="89" customFormat="true" ht="14.4" hidden="false" customHeight="false" outlineLevel="0" collapsed="false">
      <c r="B63" s="94"/>
      <c r="C63" s="90"/>
      <c r="D63" s="90"/>
      <c r="E63" s="91"/>
      <c r="F63" s="92"/>
      <c r="G63" s="65"/>
      <c r="H63" s="90"/>
      <c r="I63" s="28"/>
      <c r="J63" s="28"/>
      <c r="K63" s="28"/>
      <c r="L63" s="28"/>
      <c r="M63" s="28"/>
      <c r="N63" s="90"/>
      <c r="O63" s="28"/>
      <c r="P63" s="28"/>
      <c r="Q63" s="28"/>
      <c r="R63" s="28"/>
      <c r="S63" s="28"/>
      <c r="T63" s="90"/>
      <c r="U63" s="28"/>
      <c r="V63" s="28"/>
      <c r="W63" s="28"/>
      <c r="X63" s="28"/>
      <c r="Y63" s="28"/>
      <c r="Z63" s="90"/>
      <c r="AA63" s="28"/>
      <c r="AB63" s="28"/>
      <c r="AC63" s="28"/>
      <c r="AD63" s="28"/>
      <c r="AE63" s="28"/>
      <c r="AF63" s="90"/>
      <c r="AG63" s="28"/>
      <c r="AH63" s="28"/>
      <c r="AI63" s="28"/>
      <c r="AJ63" s="28"/>
      <c r="AK63" s="28"/>
      <c r="AL63" s="90"/>
      <c r="AM63" s="28"/>
      <c r="AN63" s="28"/>
      <c r="AO63" s="28"/>
      <c r="AP63" s="28"/>
      <c r="AQ63" s="28"/>
      <c r="AR63" s="90"/>
      <c r="AS63" s="28"/>
      <c r="AT63" s="28"/>
      <c r="AU63" s="28"/>
    </row>
    <row r="64" s="89" customFormat="true" ht="14.4" hidden="false" customHeight="false" outlineLevel="0" collapsed="false">
      <c r="B64" s="94"/>
      <c r="C64" s="90"/>
      <c r="D64" s="90"/>
      <c r="E64" s="91"/>
      <c r="F64" s="92"/>
      <c r="G64" s="65"/>
      <c r="H64" s="90"/>
      <c r="I64" s="28"/>
      <c r="J64" s="28"/>
      <c r="K64" s="28"/>
      <c r="L64" s="28"/>
      <c r="M64" s="28"/>
      <c r="N64" s="90"/>
      <c r="O64" s="28"/>
      <c r="P64" s="28"/>
      <c r="Q64" s="28"/>
      <c r="R64" s="28"/>
      <c r="S64" s="28"/>
      <c r="T64" s="90"/>
      <c r="U64" s="28"/>
      <c r="V64" s="28"/>
      <c r="W64" s="28"/>
      <c r="X64" s="28"/>
      <c r="Y64" s="28"/>
      <c r="Z64" s="90"/>
      <c r="AA64" s="28"/>
      <c r="AB64" s="28"/>
      <c r="AC64" s="28"/>
      <c r="AD64" s="28"/>
      <c r="AE64" s="28"/>
      <c r="AF64" s="90"/>
      <c r="AG64" s="28"/>
      <c r="AH64" s="28"/>
      <c r="AI64" s="28"/>
      <c r="AJ64" s="28"/>
      <c r="AK64" s="28"/>
      <c r="AL64" s="90"/>
      <c r="AM64" s="28"/>
      <c r="AN64" s="28"/>
      <c r="AO64" s="28"/>
      <c r="AP64" s="28"/>
      <c r="AQ64" s="28"/>
      <c r="AR64" s="90"/>
      <c r="AS64" s="28"/>
      <c r="AT64" s="28"/>
      <c r="AU64" s="28"/>
    </row>
    <row r="65" s="89" customFormat="true" ht="14.4" hidden="false" customHeight="false" outlineLevel="0" collapsed="false">
      <c r="B65" s="94"/>
      <c r="C65" s="90"/>
      <c r="D65" s="90"/>
      <c r="E65" s="91"/>
      <c r="F65" s="92"/>
      <c r="G65" s="65"/>
      <c r="H65" s="90"/>
      <c r="I65" s="28"/>
      <c r="J65" s="28"/>
      <c r="K65" s="28"/>
      <c r="L65" s="28"/>
      <c r="M65" s="28"/>
      <c r="N65" s="90"/>
      <c r="O65" s="28"/>
      <c r="P65" s="28"/>
      <c r="Q65" s="28"/>
      <c r="R65" s="28"/>
      <c r="S65" s="28"/>
      <c r="T65" s="90"/>
      <c r="U65" s="28"/>
      <c r="V65" s="28"/>
      <c r="W65" s="28"/>
      <c r="X65" s="28"/>
      <c r="Y65" s="28"/>
      <c r="Z65" s="90"/>
      <c r="AA65" s="28"/>
      <c r="AB65" s="28"/>
      <c r="AC65" s="28"/>
      <c r="AD65" s="28"/>
      <c r="AE65" s="28"/>
      <c r="AF65" s="90"/>
      <c r="AG65" s="28"/>
      <c r="AH65" s="28"/>
      <c r="AI65" s="28"/>
      <c r="AJ65" s="28"/>
      <c r="AK65" s="28"/>
      <c r="AL65" s="90"/>
      <c r="AM65" s="28"/>
      <c r="AN65" s="28"/>
      <c r="AO65" s="28"/>
      <c r="AP65" s="28"/>
      <c r="AQ65" s="28"/>
      <c r="AR65" s="90"/>
      <c r="AS65" s="28"/>
      <c r="AT65" s="28"/>
      <c r="AU65" s="28"/>
    </row>
    <row r="66" customFormat="false" ht="14.4" hidden="false" customHeight="false" outlineLevel="0" collapsed="false">
      <c r="E66" s="89"/>
    </row>
    <row r="67" customFormat="false" ht="14.4" hidden="true" customHeight="false" outlineLevel="0" collapsed="false">
      <c r="C67" s="0" t="s">
        <v>88</v>
      </c>
      <c r="E67" s="89"/>
    </row>
    <row r="68" customFormat="false" ht="14.4" hidden="true" customHeight="false" outlineLevel="0" collapsed="false">
      <c r="C68" s="0" t="n">
        <v>2</v>
      </c>
      <c r="E68" s="89"/>
    </row>
    <row r="69" customFormat="false" ht="14.4" hidden="true" customHeight="false" outlineLevel="0" collapsed="false">
      <c r="C69" s="0" t="n">
        <v>1</v>
      </c>
      <c r="E69" s="89"/>
    </row>
    <row r="70" customFormat="false" ht="14.4" hidden="true" customHeight="false" outlineLevel="0" collapsed="false">
      <c r="C70" s="0" t="n">
        <v>0</v>
      </c>
      <c r="E70" s="89"/>
    </row>
    <row r="71" customFormat="false" ht="14.4" hidden="true" customHeight="false" outlineLevel="0" collapsed="false">
      <c r="C71" s="0" t="n">
        <v>-1</v>
      </c>
      <c r="E71" s="89"/>
    </row>
    <row r="72" customFormat="false" ht="14.4" hidden="true" customHeight="false" outlineLevel="0" collapsed="false">
      <c r="C72" s="0" t="n">
        <v>-2</v>
      </c>
      <c r="E72" s="89"/>
    </row>
    <row r="73" customFormat="false" ht="14.4" hidden="true" customHeight="false" outlineLevel="0" collapsed="false">
      <c r="E73" s="89"/>
    </row>
    <row r="74" customFormat="false" ht="14.4" hidden="true" customHeight="false" outlineLevel="0" collapsed="false">
      <c r="E74" s="89"/>
      <c r="F74" s="91"/>
      <c r="G74" s="91"/>
      <c r="H74" s="91"/>
    </row>
    <row r="75" customFormat="false" ht="14.4" hidden="true" customHeight="false" outlineLevel="0" collapsed="false">
      <c r="A75" s="95" t="s">
        <v>55</v>
      </c>
      <c r="B75" s="96" t="s">
        <v>29</v>
      </c>
      <c r="C75" s="97" t="s">
        <v>89</v>
      </c>
      <c r="D75" s="91"/>
      <c r="E75" s="89"/>
      <c r="H75" s="66"/>
    </row>
    <row r="76" customFormat="false" ht="14.4" hidden="true" customHeight="false" outlineLevel="0" collapsed="false">
      <c r="A76" s="66"/>
      <c r="B76" s="98" t="s">
        <v>90</v>
      </c>
      <c r="C76" s="96" t="s">
        <v>91</v>
      </c>
      <c r="D76" s="41"/>
      <c r="E76" s="89"/>
      <c r="H76" s="66"/>
    </row>
    <row r="77" customFormat="false" ht="14.4" hidden="true" customHeight="false" outlineLevel="0" collapsed="false">
      <c r="A77" s="66"/>
      <c r="B77" s="98" t="s">
        <v>92</v>
      </c>
      <c r="C77" s="96" t="s">
        <v>93</v>
      </c>
      <c r="D77" s="41"/>
      <c r="E77" s="89"/>
      <c r="H77" s="66"/>
    </row>
    <row r="78" customFormat="false" ht="14.4" hidden="true" customHeight="false" outlineLevel="0" collapsed="false">
      <c r="A78" s="66"/>
      <c r="B78" s="98" t="s">
        <v>94</v>
      </c>
      <c r="C78" s="96" t="s">
        <v>95</v>
      </c>
      <c r="D78" s="41"/>
      <c r="E78" s="89"/>
      <c r="H78" s="66"/>
    </row>
    <row r="79" customFormat="false" ht="14.4" hidden="true" customHeight="false" outlineLevel="0" collapsed="false">
      <c r="A79" s="66"/>
      <c r="B79" s="98" t="s">
        <v>96</v>
      </c>
      <c r="C79" s="96" t="s">
        <v>97</v>
      </c>
      <c r="D79" s="41"/>
      <c r="E79" s="89"/>
      <c r="H79" s="66"/>
    </row>
    <row r="80" customFormat="false" ht="14.4" hidden="true" customHeight="false" outlineLevel="0" collapsed="false">
      <c r="A80" s="66"/>
      <c r="B80" s="98" t="s">
        <v>98</v>
      </c>
      <c r="C80" s="98" t="s">
        <v>99</v>
      </c>
      <c r="D80" s="99"/>
      <c r="E80" s="89"/>
      <c r="H80" s="66"/>
    </row>
    <row r="81" customFormat="false" ht="14.4" hidden="true" customHeight="false" outlineLevel="0" collapsed="false">
      <c r="A81" s="66"/>
      <c r="B81" s="98" t="s">
        <v>56</v>
      </c>
      <c r="C81" s="96" t="s">
        <v>100</v>
      </c>
      <c r="D81" s="41"/>
      <c r="E81" s="89"/>
      <c r="H81" s="66"/>
    </row>
    <row r="82" customFormat="false" ht="14.4" hidden="true" customHeight="false" outlineLevel="0" collapsed="false">
      <c r="A82" s="66"/>
      <c r="B82" s="98" t="s">
        <v>101</v>
      </c>
      <c r="C82" s="96" t="s">
        <v>102</v>
      </c>
      <c r="D82" s="41"/>
      <c r="E82" s="89"/>
      <c r="H82" s="41"/>
      <c r="I82" s="41"/>
    </row>
    <row r="83" customFormat="false" ht="14.4" hidden="true" customHeight="false" outlineLevel="0" collapsed="false">
      <c r="A83" s="41"/>
      <c r="B83" s="96"/>
      <c r="C83" s="97"/>
      <c r="D83" s="91"/>
      <c r="E83" s="89"/>
    </row>
    <row r="84" customFormat="false" ht="14.4" hidden="true" customHeight="false" outlineLevel="0" collapsed="false">
      <c r="A84" s="95" t="s">
        <v>66</v>
      </c>
      <c r="B84" s="100" t="s">
        <v>29</v>
      </c>
      <c r="C84" s="101" t="s">
        <v>89</v>
      </c>
      <c r="D84" s="102"/>
      <c r="E84" s="89"/>
      <c r="H84" s="95"/>
      <c r="I84" s="41"/>
    </row>
    <row r="85" customFormat="false" ht="14.4" hidden="true" customHeight="false" outlineLevel="0" collapsed="false">
      <c r="A85" s="66"/>
      <c r="B85" s="98" t="s">
        <v>67</v>
      </c>
      <c r="C85" s="96" t="s">
        <v>103</v>
      </c>
      <c r="D85" s="41"/>
      <c r="E85" s="89"/>
      <c r="H85" s="66"/>
    </row>
    <row r="86" customFormat="false" ht="14.4" hidden="true" customHeight="false" outlineLevel="0" collapsed="false">
      <c r="A86" s="66"/>
      <c r="B86" s="98" t="s">
        <v>104</v>
      </c>
      <c r="C86" s="96" t="s">
        <v>105</v>
      </c>
      <c r="D86" s="41"/>
      <c r="E86" s="89"/>
      <c r="H86" s="66"/>
    </row>
    <row r="87" customFormat="false" ht="14.4" hidden="true" customHeight="false" outlineLevel="0" collapsed="false">
      <c r="A87" s="66"/>
      <c r="B87" s="98" t="s">
        <v>106</v>
      </c>
      <c r="C87" s="96" t="s">
        <v>107</v>
      </c>
      <c r="D87" s="41"/>
      <c r="E87" s="89"/>
      <c r="H87" s="66"/>
    </row>
    <row r="88" customFormat="false" ht="14.4" hidden="true" customHeight="false" outlineLevel="0" collapsed="false">
      <c r="A88" s="66"/>
      <c r="B88" s="98" t="s">
        <v>108</v>
      </c>
      <c r="C88" s="96" t="s">
        <v>109</v>
      </c>
      <c r="D88" s="41"/>
      <c r="E88" s="89"/>
      <c r="H88" s="66"/>
    </row>
    <row r="89" customFormat="false" ht="14.4" hidden="true" customHeight="false" outlineLevel="0" collapsed="false">
      <c r="A89" s="41"/>
      <c r="B89" s="96"/>
      <c r="C89" s="97"/>
      <c r="D89" s="91"/>
      <c r="E89" s="89"/>
      <c r="H89" s="41"/>
      <c r="I89" s="41"/>
    </row>
    <row r="90" customFormat="false" ht="14.4" hidden="true" customHeight="false" outlineLevel="0" collapsed="false">
      <c r="A90" s="95" t="s">
        <v>83</v>
      </c>
      <c r="B90" s="100" t="s">
        <v>29</v>
      </c>
      <c r="C90" s="101" t="s">
        <v>89</v>
      </c>
      <c r="D90" s="102"/>
      <c r="E90" s="89"/>
      <c r="H90" s="95"/>
      <c r="I90" s="41"/>
    </row>
    <row r="91" customFormat="false" ht="14.4" hidden="true" customHeight="false" outlineLevel="0" collapsed="false">
      <c r="A91" s="66"/>
      <c r="B91" s="98" t="s">
        <v>110</v>
      </c>
      <c r="C91" s="96" t="s">
        <v>111</v>
      </c>
      <c r="D91" s="41"/>
      <c r="E91" s="89"/>
      <c r="H91" s="66"/>
    </row>
    <row r="92" customFormat="false" ht="14.4" hidden="true" customHeight="false" outlineLevel="0" collapsed="false">
      <c r="A92" s="66"/>
      <c r="B92" s="98" t="s">
        <v>112</v>
      </c>
      <c r="C92" s="96" t="s">
        <v>113</v>
      </c>
      <c r="D92" s="41"/>
      <c r="E92" s="89"/>
      <c r="H92" s="66"/>
    </row>
    <row r="93" customFormat="false" ht="14.4" hidden="true" customHeight="false" outlineLevel="0" collapsed="false">
      <c r="A93" s="66"/>
      <c r="B93" s="98" t="s">
        <v>114</v>
      </c>
      <c r="C93" s="96" t="s">
        <v>115</v>
      </c>
      <c r="D93" s="41"/>
      <c r="E93" s="89"/>
      <c r="H93" s="66"/>
    </row>
    <row r="94" customFormat="false" ht="14.4" hidden="true" customHeight="false" outlineLevel="0" collapsed="false">
      <c r="A94" s="66"/>
      <c r="B94" s="98" t="s">
        <v>116</v>
      </c>
      <c r="C94" s="96" t="s">
        <v>117</v>
      </c>
      <c r="D94" s="41"/>
      <c r="E94" s="89"/>
      <c r="H94" s="66"/>
    </row>
    <row r="95" customFormat="false" ht="14.4" hidden="true" customHeight="false" outlineLevel="0" collapsed="false">
      <c r="A95" s="66"/>
      <c r="B95" s="98" t="s">
        <v>118</v>
      </c>
      <c r="C95" s="96" t="s">
        <v>119</v>
      </c>
      <c r="D95" s="41"/>
      <c r="E95" s="89"/>
      <c r="H95" s="66"/>
    </row>
    <row r="96" customFormat="false" ht="14.4" hidden="true" customHeight="false" outlineLevel="0" collapsed="false">
      <c r="A96" s="66"/>
      <c r="B96" s="98" t="s">
        <v>120</v>
      </c>
      <c r="C96" s="96" t="s">
        <v>121</v>
      </c>
      <c r="D96" s="41"/>
      <c r="E96" s="89"/>
      <c r="H96" s="66"/>
    </row>
    <row r="97" customFormat="false" ht="14.4" hidden="true" customHeight="false" outlineLevel="0" collapsed="false">
      <c r="A97" s="66"/>
      <c r="B97" s="98" t="s">
        <v>122</v>
      </c>
      <c r="C97" s="96" t="s">
        <v>123</v>
      </c>
      <c r="D97" s="41"/>
      <c r="E97" s="89"/>
      <c r="H97" s="66"/>
    </row>
    <row r="98" customFormat="false" ht="14.4" hidden="true" customHeight="false" outlineLevel="0" collapsed="false">
      <c r="A98" s="66"/>
      <c r="B98" s="98" t="s">
        <v>84</v>
      </c>
      <c r="C98" s="96" t="s">
        <v>124</v>
      </c>
      <c r="D98" s="41"/>
      <c r="E98" s="89"/>
      <c r="H98" s="66"/>
    </row>
    <row r="99" customFormat="false" ht="14.4" hidden="true" customHeight="false" outlineLevel="0" collapsed="false">
      <c r="A99" s="66"/>
      <c r="B99" s="98" t="s">
        <v>125</v>
      </c>
      <c r="C99" s="98" t="s">
        <v>126</v>
      </c>
      <c r="D99" s="99"/>
      <c r="E99" s="89"/>
      <c r="H99" s="66"/>
    </row>
    <row r="100" customFormat="false" ht="14.4" hidden="true" customHeight="false" outlineLevel="0" collapsed="false">
      <c r="A100" s="66"/>
      <c r="B100" s="98" t="s">
        <v>127</v>
      </c>
      <c r="C100" s="96" t="s">
        <v>128</v>
      </c>
      <c r="D100" s="41"/>
      <c r="E100" s="89"/>
      <c r="H100" s="66"/>
    </row>
    <row r="101" customFormat="false" ht="14.4" hidden="true" customHeight="false" outlineLevel="0" collapsed="false">
      <c r="A101" s="66"/>
      <c r="B101" s="98" t="s">
        <v>129</v>
      </c>
      <c r="C101" s="96" t="s">
        <v>130</v>
      </c>
      <c r="D101" s="41"/>
      <c r="E101" s="89"/>
      <c r="H101" s="66"/>
    </row>
    <row r="102" customFormat="false" ht="14.4" hidden="true" customHeight="false" outlineLevel="0" collapsed="false">
      <c r="A102" s="41"/>
      <c r="B102" s="96"/>
      <c r="C102" s="103"/>
      <c r="E102" s="89"/>
      <c r="H102" s="41"/>
      <c r="I102" s="41"/>
    </row>
    <row r="103" customFormat="false" ht="14.4" hidden="true" customHeight="false" outlineLevel="0" collapsed="false">
      <c r="A103" s="95" t="s">
        <v>131</v>
      </c>
      <c r="B103" s="100" t="s">
        <v>29</v>
      </c>
      <c r="C103" s="101" t="s">
        <v>89</v>
      </c>
      <c r="D103" s="102"/>
      <c r="E103" s="89"/>
      <c r="H103" s="95"/>
      <c r="I103" s="41"/>
    </row>
    <row r="104" customFormat="false" ht="14.4" hidden="true" customHeight="false" outlineLevel="0" collapsed="false">
      <c r="A104" s="66"/>
      <c r="B104" s="98" t="s">
        <v>132</v>
      </c>
      <c r="C104" s="96" t="s">
        <v>133</v>
      </c>
      <c r="D104" s="41"/>
      <c r="E104" s="89"/>
      <c r="H104" s="66"/>
    </row>
    <row r="105" customFormat="false" ht="14.4" hidden="true" customHeight="false" outlineLevel="0" collapsed="false">
      <c r="A105" s="66"/>
      <c r="B105" s="98" t="s">
        <v>134</v>
      </c>
      <c r="C105" s="96" t="s">
        <v>135</v>
      </c>
      <c r="D105" s="41"/>
      <c r="E105" s="89"/>
      <c r="H105" s="66"/>
    </row>
    <row r="106" customFormat="false" ht="14.4" hidden="true" customHeight="false" outlineLevel="0" collapsed="false">
      <c r="A106" s="66"/>
      <c r="B106" s="98" t="s">
        <v>76</v>
      </c>
      <c r="C106" s="96" t="s">
        <v>136</v>
      </c>
      <c r="D106" s="41"/>
      <c r="E106" s="89"/>
      <c r="H106" s="66"/>
    </row>
    <row r="107" customFormat="false" ht="14.4" hidden="true" customHeight="false" outlineLevel="0" collapsed="false">
      <c r="A107" s="66"/>
      <c r="B107" s="98" t="s">
        <v>137</v>
      </c>
      <c r="C107" s="96" t="s">
        <v>138</v>
      </c>
      <c r="D107" s="41"/>
      <c r="E107" s="89"/>
      <c r="H107" s="66"/>
    </row>
    <row r="108" customFormat="false" ht="14.4" hidden="true" customHeight="false" outlineLevel="0" collapsed="false">
      <c r="A108" s="41"/>
      <c r="B108" s="96"/>
      <c r="C108" s="96"/>
      <c r="D108" s="41"/>
      <c r="E108" s="89"/>
      <c r="H108" s="41"/>
    </row>
    <row r="109" customFormat="false" ht="14.4" hidden="true" customHeight="false" outlineLevel="0" collapsed="false">
      <c r="A109" s="104" t="s">
        <v>53</v>
      </c>
      <c r="B109" s="100" t="s">
        <v>29</v>
      </c>
      <c r="C109" s="101" t="s">
        <v>89</v>
      </c>
      <c r="D109" s="102"/>
      <c r="E109" s="89"/>
      <c r="H109" s="104"/>
    </row>
    <row r="110" customFormat="false" ht="14.4" hidden="true" customHeight="false" outlineLevel="0" collapsed="false">
      <c r="A110" s="66"/>
      <c r="B110" s="98" t="s">
        <v>139</v>
      </c>
      <c r="C110" s="96" t="s">
        <v>140</v>
      </c>
      <c r="D110" s="41"/>
      <c r="E110" s="89"/>
      <c r="H110" s="66"/>
    </row>
    <row r="111" customFormat="false" ht="14.4" hidden="true" customHeight="false" outlineLevel="0" collapsed="false">
      <c r="A111" s="66"/>
      <c r="B111" s="98" t="s">
        <v>141</v>
      </c>
      <c r="C111" s="96" t="s">
        <v>142</v>
      </c>
      <c r="D111" s="41"/>
      <c r="E111" s="89"/>
      <c r="H111" s="66"/>
    </row>
    <row r="112" customFormat="false" ht="14.4" hidden="true" customHeight="false" outlineLevel="0" collapsed="false">
      <c r="A112" s="66"/>
      <c r="B112" s="98" t="s">
        <v>143</v>
      </c>
      <c r="C112" s="96" t="s">
        <v>144</v>
      </c>
      <c r="D112" s="41"/>
      <c r="E112" s="89"/>
      <c r="H112" s="66"/>
    </row>
    <row r="113" customFormat="false" ht="14.4" hidden="true" customHeight="false" outlineLevel="0" collapsed="false">
      <c r="A113" s="66"/>
      <c r="B113" s="98" t="s">
        <v>54</v>
      </c>
      <c r="C113" s="96" t="s">
        <v>145</v>
      </c>
      <c r="D113" s="41"/>
      <c r="E113" s="89"/>
      <c r="H113" s="66"/>
    </row>
    <row r="114" customFormat="false" ht="14.4" hidden="true" customHeight="false" outlineLevel="0" collapsed="false">
      <c r="A114" s="66"/>
      <c r="B114" s="98" t="s">
        <v>146</v>
      </c>
      <c r="C114" s="96" t="s">
        <v>147</v>
      </c>
      <c r="D114" s="41"/>
      <c r="E114" s="89"/>
      <c r="H114" s="66"/>
    </row>
    <row r="115" customFormat="false" ht="14.4" hidden="true" customHeight="false" outlineLevel="0" collapsed="false">
      <c r="A115" s="41"/>
      <c r="B115" s="96"/>
      <c r="C115" s="96"/>
      <c r="D115" s="41"/>
      <c r="E115" s="89"/>
      <c r="H115" s="41"/>
    </row>
    <row r="116" customFormat="false" ht="14.4" hidden="true" customHeight="false" outlineLevel="0" collapsed="false">
      <c r="A116" s="104" t="s">
        <v>85</v>
      </c>
      <c r="B116" s="100" t="s">
        <v>29</v>
      </c>
      <c r="C116" s="101" t="s">
        <v>89</v>
      </c>
      <c r="D116" s="102"/>
      <c r="E116" s="89"/>
      <c r="H116" s="104"/>
    </row>
    <row r="117" customFormat="false" ht="14.4" hidden="true" customHeight="false" outlineLevel="0" collapsed="false">
      <c r="A117" s="66"/>
      <c r="B117" s="98" t="s">
        <v>148</v>
      </c>
      <c r="C117" s="96" t="s">
        <v>149</v>
      </c>
      <c r="D117" s="41"/>
      <c r="E117" s="89"/>
      <c r="H117" s="66"/>
    </row>
    <row r="118" customFormat="false" ht="14.4" hidden="true" customHeight="false" outlineLevel="0" collapsed="false">
      <c r="A118" s="66"/>
      <c r="B118" s="98" t="s">
        <v>150</v>
      </c>
      <c r="C118" s="96" t="s">
        <v>151</v>
      </c>
      <c r="D118" s="41"/>
      <c r="E118" s="89"/>
      <c r="H118" s="66"/>
    </row>
    <row r="119" customFormat="false" ht="14.4" hidden="true" customHeight="false" outlineLevel="0" collapsed="false">
      <c r="A119" s="66"/>
      <c r="B119" s="98" t="s">
        <v>86</v>
      </c>
      <c r="C119" s="96" t="s">
        <v>152</v>
      </c>
      <c r="D119" s="41"/>
      <c r="E119" s="89"/>
      <c r="H119" s="66"/>
    </row>
    <row r="120" customFormat="false" ht="14.4" hidden="true" customHeight="false" outlineLevel="0" collapsed="false">
      <c r="A120" s="66"/>
      <c r="B120" s="98" t="s">
        <v>153</v>
      </c>
      <c r="C120" s="96" t="s">
        <v>154</v>
      </c>
      <c r="D120" s="41"/>
      <c r="E120" s="89"/>
      <c r="H120" s="66"/>
    </row>
    <row r="121" customFormat="false" ht="14.4" hidden="true" customHeight="false" outlineLevel="0" collapsed="false">
      <c r="A121" s="66"/>
      <c r="B121" s="98"/>
      <c r="C121" s="96"/>
      <c r="D121" s="41"/>
      <c r="E121" s="89"/>
      <c r="H121" s="66"/>
    </row>
    <row r="122" customFormat="false" ht="14.4" hidden="true" customHeight="false" outlineLevel="0" collapsed="false">
      <c r="A122" s="104" t="s">
        <v>155</v>
      </c>
      <c r="B122" s="100" t="s">
        <v>29</v>
      </c>
      <c r="C122" s="101" t="s">
        <v>89</v>
      </c>
      <c r="D122" s="102"/>
      <c r="E122" s="89"/>
      <c r="H122" s="104"/>
    </row>
    <row r="123" customFormat="false" ht="14.4" hidden="true" customHeight="false" outlineLevel="0" collapsed="false">
      <c r="A123" s="66"/>
      <c r="B123" s="98" t="s">
        <v>156</v>
      </c>
      <c r="C123" s="96" t="s">
        <v>157</v>
      </c>
      <c r="D123" s="41"/>
      <c r="E123" s="89"/>
      <c r="H123" s="66"/>
    </row>
    <row r="124" customFormat="false" ht="14.4" hidden="true" customHeight="false" outlineLevel="0" collapsed="false">
      <c r="A124" s="66"/>
      <c r="B124" s="98" t="s">
        <v>46</v>
      </c>
      <c r="C124" s="96" t="s">
        <v>158</v>
      </c>
      <c r="D124" s="41"/>
      <c r="E124" s="89"/>
      <c r="H124" s="66"/>
    </row>
    <row r="125" customFormat="false" ht="14.4" hidden="true" customHeight="false" outlineLevel="0" collapsed="false">
      <c r="A125" s="66"/>
      <c r="B125" s="98" t="s">
        <v>159</v>
      </c>
      <c r="C125" s="96" t="s">
        <v>160</v>
      </c>
      <c r="D125" s="41"/>
      <c r="E125" s="89"/>
      <c r="H125" s="66"/>
    </row>
    <row r="126" customFormat="false" ht="14.4" hidden="true" customHeight="false" outlineLevel="0" collapsed="false">
      <c r="A126" s="66"/>
      <c r="B126" s="98" t="s">
        <v>161</v>
      </c>
      <c r="C126" s="96" t="s">
        <v>162</v>
      </c>
      <c r="D126" s="41"/>
      <c r="E126" s="89"/>
      <c r="H126" s="66"/>
    </row>
    <row r="127" customFormat="false" ht="14.4" hidden="true" customHeight="false" outlineLevel="0" collapsed="false">
      <c r="A127" s="66"/>
      <c r="B127" s="98" t="s">
        <v>163</v>
      </c>
      <c r="C127" s="96" t="s">
        <v>164</v>
      </c>
      <c r="D127" s="41"/>
      <c r="E127" s="89"/>
      <c r="H127" s="66"/>
    </row>
    <row r="128" customFormat="false" ht="14.4" hidden="true" customHeight="false" outlineLevel="0" collapsed="false">
      <c r="A128" s="66"/>
      <c r="B128" s="98" t="s">
        <v>69</v>
      </c>
      <c r="C128" s="96" t="s">
        <v>165</v>
      </c>
      <c r="D128" s="41"/>
      <c r="E128" s="89"/>
      <c r="H128" s="66"/>
    </row>
    <row r="129" customFormat="false" ht="14.4" hidden="true" customHeight="false" outlineLevel="0" collapsed="false">
      <c r="A129" s="66"/>
      <c r="B129" s="98" t="s">
        <v>166</v>
      </c>
      <c r="C129" s="96" t="s">
        <v>167</v>
      </c>
      <c r="D129" s="41"/>
      <c r="E129" s="89"/>
      <c r="H129" s="66"/>
    </row>
    <row r="130" customFormat="false" ht="14.4" hidden="true" customHeight="false" outlineLevel="0" collapsed="false">
      <c r="A130" s="66"/>
      <c r="B130" s="98" t="s">
        <v>168</v>
      </c>
      <c r="C130" s="96" t="s">
        <v>169</v>
      </c>
      <c r="D130" s="41"/>
      <c r="E130" s="89"/>
      <c r="H130" s="66"/>
    </row>
    <row r="131" customFormat="false" ht="14.4" hidden="true" customHeight="false" outlineLevel="0" collapsed="false">
      <c r="A131" s="41"/>
      <c r="B131" s="96"/>
      <c r="C131" s="96"/>
      <c r="D131" s="41"/>
      <c r="E131" s="89"/>
      <c r="H131" s="41"/>
    </row>
    <row r="132" customFormat="false" ht="14.4" hidden="true" customHeight="false" outlineLevel="0" collapsed="false">
      <c r="A132" s="104" t="s">
        <v>170</v>
      </c>
      <c r="B132" s="100" t="s">
        <v>29</v>
      </c>
      <c r="C132" s="101" t="s">
        <v>89</v>
      </c>
      <c r="D132" s="102"/>
      <c r="E132" s="89"/>
      <c r="H132" s="104"/>
    </row>
    <row r="133" customFormat="false" ht="14.4" hidden="true" customHeight="false" outlineLevel="0" collapsed="false">
      <c r="A133" s="66"/>
      <c r="B133" s="98" t="s">
        <v>171</v>
      </c>
      <c r="C133" s="96" t="s">
        <v>172</v>
      </c>
      <c r="D133" s="41"/>
      <c r="E133" s="89"/>
      <c r="H133" s="66"/>
    </row>
    <row r="134" customFormat="false" ht="14.4" hidden="true" customHeight="false" outlineLevel="0" collapsed="false">
      <c r="A134" s="66"/>
      <c r="B134" s="98" t="s">
        <v>173</v>
      </c>
      <c r="C134" s="96" t="s">
        <v>174</v>
      </c>
      <c r="D134" s="41"/>
      <c r="E134" s="89"/>
      <c r="H134" s="66"/>
    </row>
    <row r="135" customFormat="false" ht="14.4" hidden="true" customHeight="false" outlineLevel="0" collapsed="false">
      <c r="A135" s="66"/>
      <c r="B135" s="98" t="s">
        <v>175</v>
      </c>
      <c r="C135" s="96" t="s">
        <v>176</v>
      </c>
      <c r="D135" s="41"/>
      <c r="E135" s="89"/>
      <c r="H135" s="66"/>
    </row>
    <row r="136" customFormat="false" ht="14.4" hidden="true" customHeight="false" outlineLevel="0" collapsed="false">
      <c r="A136" s="66"/>
      <c r="B136" s="98" t="s">
        <v>177</v>
      </c>
      <c r="C136" s="96" t="s">
        <v>178</v>
      </c>
      <c r="D136" s="41"/>
      <c r="E136" s="89"/>
      <c r="H136" s="66"/>
    </row>
    <row r="137" customFormat="false" ht="14.4" hidden="true" customHeight="false" outlineLevel="0" collapsed="false">
      <c r="A137" s="66"/>
      <c r="B137" s="98" t="s">
        <v>179</v>
      </c>
      <c r="C137" s="96" t="s">
        <v>180</v>
      </c>
      <c r="D137" s="41"/>
      <c r="E137" s="89"/>
      <c r="H137" s="66"/>
    </row>
    <row r="138" customFormat="false" ht="14.4" hidden="true" customHeight="false" outlineLevel="0" collapsed="false">
      <c r="A138" s="41"/>
      <c r="B138" s="96"/>
      <c r="C138" s="96"/>
      <c r="D138" s="41"/>
      <c r="E138" s="89"/>
      <c r="H138" s="41"/>
    </row>
    <row r="139" customFormat="false" ht="14.4" hidden="true" customHeight="false" outlineLevel="0" collapsed="false">
      <c r="A139" s="95" t="s">
        <v>181</v>
      </c>
      <c r="B139" s="100" t="s">
        <v>29</v>
      </c>
      <c r="C139" s="101" t="s">
        <v>89</v>
      </c>
      <c r="D139" s="102"/>
      <c r="E139" s="89"/>
      <c r="H139" s="95"/>
    </row>
    <row r="140" customFormat="false" ht="14.4" hidden="true" customHeight="false" outlineLevel="0" collapsed="false">
      <c r="A140" s="66"/>
      <c r="B140" s="98" t="s">
        <v>50</v>
      </c>
      <c r="C140" s="96" t="s">
        <v>182</v>
      </c>
      <c r="D140" s="41"/>
      <c r="E140" s="89"/>
      <c r="H140" s="66"/>
    </row>
    <row r="141" customFormat="false" ht="14.4" hidden="true" customHeight="false" outlineLevel="0" collapsed="false">
      <c r="A141" s="66"/>
      <c r="B141" s="98" t="s">
        <v>183</v>
      </c>
      <c r="C141" s="96" t="s">
        <v>184</v>
      </c>
      <c r="D141" s="41"/>
      <c r="E141" s="89"/>
      <c r="H141" s="66"/>
    </row>
    <row r="142" customFormat="false" ht="14.4" hidden="true" customHeight="false" outlineLevel="0" collapsed="false">
      <c r="A142" s="66"/>
      <c r="B142" s="98" t="s">
        <v>185</v>
      </c>
      <c r="C142" s="96" t="s">
        <v>186</v>
      </c>
      <c r="D142" s="41"/>
      <c r="E142" s="89"/>
      <c r="H142" s="66"/>
    </row>
    <row r="143" customFormat="false" ht="14.4" hidden="true" customHeight="false" outlineLevel="0" collapsed="false">
      <c r="A143" s="66"/>
      <c r="B143" s="98" t="s">
        <v>187</v>
      </c>
      <c r="C143" s="96" t="s">
        <v>188</v>
      </c>
      <c r="D143" s="41"/>
      <c r="E143" s="89"/>
      <c r="H143" s="66"/>
    </row>
    <row r="144" customFormat="false" ht="14.4" hidden="true" customHeight="false" outlineLevel="0" collapsed="false">
      <c r="A144" s="66"/>
      <c r="B144" s="98" t="s">
        <v>189</v>
      </c>
      <c r="C144" s="96" t="s">
        <v>190</v>
      </c>
      <c r="D144" s="41"/>
      <c r="E144" s="89"/>
      <c r="H144" s="66"/>
    </row>
    <row r="145" customFormat="false" ht="14.4" hidden="true" customHeight="false" outlineLevel="0" collapsed="false">
      <c r="A145" s="66"/>
      <c r="B145" s="98" t="s">
        <v>191</v>
      </c>
      <c r="C145" s="96" t="s">
        <v>192</v>
      </c>
      <c r="D145" s="41"/>
      <c r="E145" s="89"/>
      <c r="H145" s="66"/>
    </row>
    <row r="146" customFormat="false" ht="14.4" hidden="true" customHeight="false" outlineLevel="0" collapsed="false">
      <c r="A146" s="66"/>
      <c r="B146" s="98" t="s">
        <v>193</v>
      </c>
      <c r="C146" s="96" t="s">
        <v>194</v>
      </c>
      <c r="D146" s="41"/>
      <c r="E146" s="89"/>
      <c r="H146" s="66"/>
    </row>
    <row r="147" customFormat="false" ht="14.4" hidden="true" customHeight="false" outlineLevel="0" collapsed="false">
      <c r="A147" s="66"/>
      <c r="B147" s="98" t="s">
        <v>195</v>
      </c>
      <c r="C147" s="96" t="s">
        <v>196</v>
      </c>
      <c r="D147" s="41"/>
      <c r="E147" s="89"/>
      <c r="H147" s="66"/>
    </row>
    <row r="148" customFormat="false" ht="14.4" hidden="true" customHeight="false" outlineLevel="0" collapsed="false">
      <c r="A148" s="41"/>
      <c r="B148" s="96"/>
      <c r="C148" s="96"/>
      <c r="D148" s="41"/>
      <c r="E148" s="89"/>
      <c r="H148" s="41"/>
    </row>
    <row r="149" customFormat="false" ht="14.4" hidden="true" customHeight="false" outlineLevel="0" collapsed="false">
      <c r="A149" s="104" t="s">
        <v>197</v>
      </c>
      <c r="B149" s="100" t="s">
        <v>29</v>
      </c>
      <c r="C149" s="101" t="s">
        <v>89</v>
      </c>
      <c r="D149" s="102"/>
      <c r="E149" s="89"/>
      <c r="H149" s="104"/>
    </row>
    <row r="150" customFormat="false" ht="14.4" hidden="true" customHeight="false" outlineLevel="0" collapsed="false">
      <c r="A150" s="66"/>
      <c r="B150" s="98" t="s">
        <v>198</v>
      </c>
      <c r="C150" s="96" t="s">
        <v>199</v>
      </c>
      <c r="D150" s="41"/>
      <c r="E150" s="89"/>
      <c r="H150" s="66"/>
    </row>
    <row r="151" customFormat="false" ht="14.4" hidden="true" customHeight="false" outlineLevel="0" collapsed="false">
      <c r="A151" s="66"/>
      <c r="B151" s="98" t="s">
        <v>200</v>
      </c>
      <c r="C151" s="96" t="s">
        <v>201</v>
      </c>
      <c r="D151" s="41"/>
      <c r="E151" s="89"/>
      <c r="H151" s="66"/>
    </row>
    <row r="152" customFormat="false" ht="14.4" hidden="true" customHeight="false" outlineLevel="0" collapsed="false">
      <c r="A152" s="66"/>
      <c r="B152" s="98" t="s">
        <v>202</v>
      </c>
      <c r="C152" s="96" t="s">
        <v>203</v>
      </c>
      <c r="D152" s="41"/>
      <c r="E152" s="89"/>
      <c r="H152" s="66"/>
    </row>
    <row r="153" customFormat="false" ht="14.4" hidden="true" customHeight="false" outlineLevel="0" collapsed="false">
      <c r="A153" s="66"/>
      <c r="B153" s="98" t="s">
        <v>204</v>
      </c>
      <c r="C153" s="96" t="s">
        <v>205</v>
      </c>
      <c r="D153" s="41"/>
      <c r="E153" s="89"/>
      <c r="H153" s="66"/>
    </row>
    <row r="154" customFormat="false" ht="14.4" hidden="true" customHeight="false" outlineLevel="0" collapsed="false">
      <c r="A154" s="66"/>
      <c r="B154" s="98" t="s">
        <v>206</v>
      </c>
      <c r="C154" s="96" t="s">
        <v>207</v>
      </c>
      <c r="D154" s="41"/>
      <c r="E154" s="89"/>
      <c r="H154" s="66"/>
    </row>
    <row r="155" customFormat="false" ht="14.4" hidden="true" customHeight="false" outlineLevel="0" collapsed="false">
      <c r="A155" s="66"/>
      <c r="B155" s="98" t="s">
        <v>208</v>
      </c>
      <c r="C155" s="98" t="s">
        <v>209</v>
      </c>
      <c r="D155" s="99"/>
      <c r="E155" s="89"/>
      <c r="H155" s="66"/>
    </row>
    <row r="156" customFormat="false" ht="14.4" hidden="true" customHeight="false" outlineLevel="0" collapsed="false">
      <c r="A156" s="66"/>
      <c r="B156" s="98" t="s">
        <v>210</v>
      </c>
      <c r="C156" s="98" t="s">
        <v>211</v>
      </c>
      <c r="D156" s="99"/>
      <c r="E156" s="89"/>
      <c r="H156" s="66"/>
    </row>
    <row r="157" customFormat="false" ht="14.4" hidden="true" customHeight="false" outlineLevel="0" collapsed="false">
      <c r="A157" s="66"/>
      <c r="B157" s="98" t="s">
        <v>52</v>
      </c>
      <c r="C157" s="96" t="s">
        <v>212</v>
      </c>
      <c r="D157" s="41"/>
      <c r="E157" s="89"/>
      <c r="H157" s="66"/>
    </row>
    <row r="158" customFormat="false" ht="14.4" hidden="true" customHeight="false" outlineLevel="0" collapsed="false">
      <c r="A158" s="66"/>
      <c r="B158" s="98" t="s">
        <v>213</v>
      </c>
      <c r="C158" s="98" t="s">
        <v>214</v>
      </c>
      <c r="D158" s="99"/>
      <c r="E158" s="89"/>
      <c r="H158" s="66"/>
    </row>
    <row r="159" customFormat="false" ht="14.4" hidden="true" customHeight="false" outlineLevel="0" collapsed="false">
      <c r="A159" s="66"/>
      <c r="B159" s="98" t="s">
        <v>74</v>
      </c>
      <c r="C159" s="98" t="s">
        <v>215</v>
      </c>
      <c r="D159" s="99"/>
      <c r="E159" s="89"/>
      <c r="H159" s="66"/>
    </row>
    <row r="160" customFormat="false" ht="14.4" hidden="true" customHeight="false" outlineLevel="0" collapsed="false">
      <c r="A160" s="66"/>
      <c r="B160" s="98" t="s">
        <v>216</v>
      </c>
      <c r="C160" s="96" t="s">
        <v>217</v>
      </c>
      <c r="D160" s="41"/>
      <c r="E160" s="89"/>
      <c r="H160" s="66"/>
    </row>
    <row r="161" customFormat="false" ht="14.4" hidden="true" customHeight="false" outlineLevel="0" collapsed="false">
      <c r="A161" s="66"/>
      <c r="B161" s="98" t="s">
        <v>218</v>
      </c>
      <c r="C161" s="98" t="s">
        <v>219</v>
      </c>
      <c r="D161" s="99"/>
      <c r="E161" s="89"/>
      <c r="H161" s="66"/>
    </row>
    <row r="162" customFormat="false" ht="14.4" hidden="true" customHeight="false" outlineLevel="0" collapsed="false">
      <c r="A162" s="41"/>
      <c r="B162" s="96"/>
      <c r="C162" s="96"/>
      <c r="D162" s="41"/>
      <c r="E162" s="89"/>
      <c r="H162" s="41"/>
    </row>
    <row r="163" customFormat="false" ht="14.4" hidden="true" customHeight="false" outlineLevel="0" collapsed="false">
      <c r="A163" s="95" t="s">
        <v>61</v>
      </c>
      <c r="B163" s="100" t="s">
        <v>29</v>
      </c>
      <c r="C163" s="101" t="s">
        <v>89</v>
      </c>
      <c r="D163" s="102"/>
      <c r="E163" s="89"/>
      <c r="H163" s="95"/>
    </row>
    <row r="164" customFormat="false" ht="14.4" hidden="true" customHeight="false" outlineLevel="0" collapsed="false">
      <c r="A164" s="66"/>
      <c r="B164" s="98" t="s">
        <v>62</v>
      </c>
      <c r="C164" s="96" t="s">
        <v>220</v>
      </c>
      <c r="D164" s="41"/>
      <c r="E164" s="89"/>
      <c r="H164" s="66"/>
    </row>
    <row r="165" customFormat="false" ht="14.4" hidden="true" customHeight="false" outlineLevel="0" collapsed="false">
      <c r="A165" s="66"/>
      <c r="B165" s="98" t="s">
        <v>221</v>
      </c>
      <c r="C165" s="96" t="s">
        <v>222</v>
      </c>
      <c r="D165" s="41"/>
      <c r="E165" s="89"/>
      <c r="H165" s="66"/>
    </row>
    <row r="166" customFormat="false" ht="14.4" hidden="true" customHeight="false" outlineLevel="0" collapsed="false">
      <c r="A166" s="66"/>
      <c r="B166" s="98" t="s">
        <v>223</v>
      </c>
      <c r="C166" s="96" t="s">
        <v>224</v>
      </c>
      <c r="D166" s="41"/>
      <c r="E166" s="89"/>
      <c r="H166" s="66"/>
    </row>
    <row r="167" customFormat="false" ht="14.4" hidden="true" customHeight="false" outlineLevel="0" collapsed="false">
      <c r="A167" s="66"/>
      <c r="B167" s="98" t="s">
        <v>63</v>
      </c>
      <c r="C167" s="96" t="s">
        <v>225</v>
      </c>
      <c r="D167" s="41"/>
      <c r="E167" s="89"/>
      <c r="H167" s="66"/>
    </row>
    <row r="168" customFormat="false" ht="14.4" hidden="true" customHeight="false" outlineLevel="0" collapsed="false">
      <c r="A168" s="66"/>
      <c r="B168" s="98" t="s">
        <v>226</v>
      </c>
      <c r="C168" s="96" t="s">
        <v>227</v>
      </c>
      <c r="D168" s="41"/>
      <c r="E168" s="89"/>
      <c r="H168" s="66"/>
    </row>
    <row r="169" customFormat="false" ht="14.4" hidden="true" customHeight="false" outlineLevel="0" collapsed="false">
      <c r="A169" s="66"/>
      <c r="B169" s="98" t="s">
        <v>228</v>
      </c>
      <c r="C169" s="96" t="s">
        <v>229</v>
      </c>
      <c r="D169" s="41"/>
      <c r="E169" s="89"/>
      <c r="H169" s="66"/>
    </row>
    <row r="170" customFormat="false" ht="14.4" hidden="true" customHeight="false" outlineLevel="0" collapsed="false">
      <c r="A170" s="66"/>
      <c r="B170" s="98" t="s">
        <v>230</v>
      </c>
      <c r="C170" s="96" t="s">
        <v>231</v>
      </c>
      <c r="D170" s="41"/>
      <c r="E170" s="89"/>
      <c r="H170" s="66"/>
    </row>
    <row r="171" customFormat="false" ht="14.4" hidden="true" customHeight="false" outlineLevel="0" collapsed="false">
      <c r="A171" s="66"/>
      <c r="B171" s="98"/>
      <c r="C171" s="96"/>
      <c r="D171" s="41"/>
      <c r="E171" s="89"/>
      <c r="H171" s="66"/>
    </row>
    <row r="172" customFormat="false" ht="14.4" hidden="true" customHeight="false" outlineLevel="0" collapsed="false">
      <c r="A172" s="104" t="s">
        <v>79</v>
      </c>
      <c r="B172" s="100" t="s">
        <v>29</v>
      </c>
      <c r="C172" s="101" t="s">
        <v>89</v>
      </c>
      <c r="D172" s="102"/>
      <c r="E172" s="89"/>
      <c r="H172" s="104"/>
    </row>
    <row r="173" customFormat="false" ht="14.4" hidden="true" customHeight="false" outlineLevel="0" collapsed="false">
      <c r="A173" s="66"/>
      <c r="B173" s="98" t="s">
        <v>232</v>
      </c>
      <c r="C173" s="96" t="s">
        <v>233</v>
      </c>
      <c r="D173" s="41"/>
      <c r="E173" s="89"/>
      <c r="H173" s="66"/>
    </row>
    <row r="174" customFormat="false" ht="14.4" hidden="true" customHeight="false" outlineLevel="0" collapsed="false">
      <c r="A174" s="66"/>
      <c r="B174" s="98" t="s">
        <v>234</v>
      </c>
      <c r="C174" s="96" t="s">
        <v>235</v>
      </c>
      <c r="D174" s="41"/>
      <c r="E174" s="89"/>
      <c r="H174" s="66"/>
    </row>
    <row r="175" customFormat="false" ht="14.4" hidden="true" customHeight="false" outlineLevel="0" collapsed="false">
      <c r="A175" s="66"/>
      <c r="B175" s="98" t="s">
        <v>236</v>
      </c>
      <c r="C175" s="96" t="s">
        <v>237</v>
      </c>
      <c r="D175" s="41"/>
      <c r="E175" s="89"/>
      <c r="H175" s="66"/>
    </row>
    <row r="176" customFormat="false" ht="14.4" hidden="true" customHeight="false" outlineLevel="0" collapsed="false">
      <c r="A176" s="66"/>
      <c r="B176" s="98" t="s">
        <v>238</v>
      </c>
      <c r="C176" s="96" t="s">
        <v>239</v>
      </c>
      <c r="D176" s="41"/>
      <c r="E176" s="89"/>
      <c r="H176" s="66"/>
    </row>
    <row r="177" customFormat="false" ht="14.4" hidden="true" customHeight="false" outlineLevel="0" collapsed="false">
      <c r="A177" s="66"/>
      <c r="B177" s="98" t="s">
        <v>240</v>
      </c>
      <c r="C177" s="96" t="s">
        <v>241</v>
      </c>
      <c r="D177" s="41"/>
      <c r="E177" s="89"/>
      <c r="H177" s="66"/>
    </row>
    <row r="178" customFormat="false" ht="14.4" hidden="true" customHeight="false" outlineLevel="0" collapsed="false">
      <c r="A178" s="66"/>
      <c r="B178" s="98" t="s">
        <v>242</v>
      </c>
      <c r="C178" s="96" t="s">
        <v>243</v>
      </c>
      <c r="D178" s="41"/>
      <c r="E178" s="89"/>
      <c r="H178" s="66"/>
    </row>
    <row r="179" customFormat="false" ht="14.4" hidden="true" customHeight="false" outlineLevel="0" collapsed="false">
      <c r="A179" s="66"/>
      <c r="B179" s="98" t="s">
        <v>80</v>
      </c>
      <c r="C179" s="96" t="s">
        <v>244</v>
      </c>
      <c r="D179" s="41"/>
      <c r="E179" s="89"/>
      <c r="H179" s="66"/>
    </row>
    <row r="180" customFormat="false" ht="14.4" hidden="true" customHeight="false" outlineLevel="0" collapsed="false">
      <c r="A180" s="66"/>
      <c r="B180" s="98" t="s">
        <v>245</v>
      </c>
      <c r="C180" s="96" t="s">
        <v>246</v>
      </c>
      <c r="D180" s="41"/>
      <c r="E180" s="89"/>
      <c r="H180" s="66"/>
    </row>
    <row r="181" customFormat="false" ht="14.4" hidden="true" customHeight="false" outlineLevel="0" collapsed="false">
      <c r="A181" s="41"/>
      <c r="B181" s="96"/>
      <c r="C181" s="96"/>
      <c r="D181" s="41"/>
      <c r="E181" s="89"/>
      <c r="H181" s="41"/>
    </row>
    <row r="182" customFormat="false" ht="14.4" hidden="true" customHeight="false" outlineLevel="0" collapsed="false">
      <c r="A182" s="104" t="s">
        <v>247</v>
      </c>
      <c r="B182" s="100" t="s">
        <v>29</v>
      </c>
      <c r="C182" s="101" t="s">
        <v>89</v>
      </c>
      <c r="D182" s="102"/>
      <c r="E182" s="89"/>
      <c r="H182" s="104"/>
    </row>
    <row r="183" customFormat="false" ht="14.4" hidden="true" customHeight="false" outlineLevel="0" collapsed="false">
      <c r="A183" s="66"/>
      <c r="B183" s="98" t="s">
        <v>248</v>
      </c>
      <c r="C183" s="96" t="s">
        <v>249</v>
      </c>
      <c r="D183" s="41"/>
      <c r="E183" s="89"/>
      <c r="H183" s="66"/>
    </row>
    <row r="184" customFormat="false" ht="14.4" hidden="true" customHeight="false" outlineLevel="0" collapsed="false">
      <c r="A184" s="66"/>
      <c r="B184" s="98" t="s">
        <v>250</v>
      </c>
      <c r="C184" s="96" t="s">
        <v>251</v>
      </c>
      <c r="D184" s="41"/>
      <c r="E184" s="89"/>
      <c r="H184" s="66"/>
    </row>
    <row r="185" customFormat="false" ht="14.4" hidden="true" customHeight="false" outlineLevel="0" collapsed="false">
      <c r="A185" s="66"/>
      <c r="B185" s="98" t="s">
        <v>252</v>
      </c>
      <c r="C185" s="96" t="s">
        <v>253</v>
      </c>
      <c r="D185" s="41"/>
      <c r="E185" s="89"/>
      <c r="H185" s="66"/>
    </row>
    <row r="186" customFormat="false" ht="14.4" hidden="true" customHeight="false" outlineLevel="0" collapsed="false">
      <c r="A186" s="66"/>
      <c r="B186" s="98" t="s">
        <v>82</v>
      </c>
      <c r="C186" s="96" t="s">
        <v>254</v>
      </c>
      <c r="D186" s="41"/>
      <c r="E186" s="89"/>
      <c r="H186" s="66"/>
    </row>
    <row r="187" customFormat="false" ht="14.4" hidden="true" customHeight="false" outlineLevel="0" collapsed="false">
      <c r="A187" s="66"/>
      <c r="B187" s="96"/>
      <c r="C187" s="96"/>
      <c r="D187" s="41"/>
      <c r="E187" s="89"/>
      <c r="H187" s="66"/>
    </row>
    <row r="188" customFormat="false" ht="14.4" hidden="true" customHeight="false" outlineLevel="0" collapsed="false">
      <c r="A188" s="104" t="s">
        <v>255</v>
      </c>
      <c r="B188" s="100" t="s">
        <v>29</v>
      </c>
      <c r="C188" s="101" t="s">
        <v>89</v>
      </c>
      <c r="D188" s="102"/>
      <c r="E188" s="89"/>
      <c r="H188" s="104"/>
    </row>
    <row r="189" customFormat="false" ht="14.4" hidden="true" customHeight="false" outlineLevel="0" collapsed="false">
      <c r="A189" s="66"/>
      <c r="B189" s="98" t="s">
        <v>65</v>
      </c>
      <c r="C189" s="96" t="s">
        <v>256</v>
      </c>
      <c r="D189" s="41"/>
      <c r="E189" s="89"/>
      <c r="H189" s="66"/>
    </row>
    <row r="190" customFormat="false" ht="14.4" hidden="true" customHeight="false" outlineLevel="0" collapsed="false">
      <c r="A190" s="66"/>
      <c r="B190" s="98" t="s">
        <v>257</v>
      </c>
      <c r="C190" s="96" t="s">
        <v>258</v>
      </c>
      <c r="D190" s="41"/>
      <c r="E190" s="89"/>
      <c r="H190" s="66"/>
    </row>
    <row r="191" customFormat="false" ht="14.4" hidden="true" customHeight="false" outlineLevel="0" collapsed="false">
      <c r="A191" s="66"/>
      <c r="B191" s="98" t="s">
        <v>259</v>
      </c>
      <c r="C191" s="96" t="s">
        <v>260</v>
      </c>
      <c r="D191" s="41"/>
      <c r="E191" s="89"/>
      <c r="H191" s="66"/>
    </row>
    <row r="192" customFormat="false" ht="14.4" hidden="true" customHeight="false" outlineLevel="0" collapsed="false">
      <c r="A192" s="41"/>
      <c r="B192" s="96"/>
      <c r="C192" s="96"/>
      <c r="D192" s="41"/>
      <c r="E192" s="89"/>
      <c r="H192" s="41"/>
    </row>
    <row r="193" customFormat="false" ht="14.4" hidden="true" customHeight="false" outlineLevel="0" collapsed="false">
      <c r="A193" s="104" t="s">
        <v>261</v>
      </c>
      <c r="B193" s="100" t="s">
        <v>29</v>
      </c>
      <c r="C193" s="101" t="s">
        <v>89</v>
      </c>
      <c r="D193" s="102"/>
      <c r="E193" s="89"/>
      <c r="H193" s="104"/>
    </row>
    <row r="194" customFormat="false" ht="14.4" hidden="true" customHeight="false" outlineLevel="0" collapsed="false">
      <c r="A194" s="66"/>
      <c r="B194" s="98" t="s">
        <v>262</v>
      </c>
      <c r="C194" s="96" t="s">
        <v>263</v>
      </c>
      <c r="D194" s="41"/>
      <c r="E194" s="89"/>
      <c r="H194" s="66"/>
    </row>
    <row r="195" customFormat="false" ht="14.4" hidden="true" customHeight="false" outlineLevel="0" collapsed="false">
      <c r="A195" s="66"/>
      <c r="B195" s="98" t="s">
        <v>264</v>
      </c>
      <c r="C195" s="96" t="s">
        <v>265</v>
      </c>
      <c r="D195" s="41"/>
      <c r="E195" s="89"/>
      <c r="H195" s="66"/>
    </row>
    <row r="196" customFormat="false" ht="14.4" hidden="true" customHeight="false" outlineLevel="0" collapsed="false">
      <c r="A196" s="66"/>
      <c r="B196" s="98" t="s">
        <v>266</v>
      </c>
      <c r="C196" s="96" t="s">
        <v>267</v>
      </c>
      <c r="D196" s="41"/>
      <c r="E196" s="89"/>
      <c r="H196" s="66"/>
    </row>
    <row r="197" customFormat="false" ht="14.4" hidden="true" customHeight="false" outlineLevel="0" collapsed="false">
      <c r="A197" s="66"/>
      <c r="B197" s="98" t="s">
        <v>268</v>
      </c>
      <c r="C197" s="96" t="s">
        <v>269</v>
      </c>
      <c r="D197" s="41"/>
      <c r="E197" s="89"/>
      <c r="H197" s="66"/>
    </row>
    <row r="198" customFormat="false" ht="14.4" hidden="true" customHeight="false" outlineLevel="0" collapsed="false">
      <c r="A198" s="66"/>
      <c r="B198" s="98" t="s">
        <v>270</v>
      </c>
      <c r="C198" s="96" t="s">
        <v>271</v>
      </c>
      <c r="D198" s="41"/>
      <c r="E198" s="89"/>
      <c r="H198" s="66"/>
    </row>
    <row r="199" customFormat="false" ht="14.4" hidden="true" customHeight="false" outlineLevel="0" collapsed="false">
      <c r="A199" s="66"/>
      <c r="B199" s="98" t="s">
        <v>272</v>
      </c>
      <c r="C199" s="96" t="s">
        <v>273</v>
      </c>
      <c r="D199" s="41"/>
      <c r="E199" s="89"/>
      <c r="H199" s="66"/>
    </row>
    <row r="200" customFormat="false" ht="14.4" hidden="true" customHeight="false" outlineLevel="0" collapsed="false">
      <c r="A200" s="66"/>
      <c r="B200" s="98" t="s">
        <v>274</v>
      </c>
      <c r="C200" s="96" t="s">
        <v>275</v>
      </c>
      <c r="D200" s="41"/>
      <c r="E200" s="89"/>
      <c r="H200" s="66"/>
    </row>
    <row r="201" customFormat="false" ht="14.4" hidden="true" customHeight="false" outlineLevel="0" collapsed="false">
      <c r="A201" s="41"/>
      <c r="B201" s="96"/>
      <c r="C201" s="96"/>
      <c r="D201" s="41"/>
      <c r="E201" s="89"/>
      <c r="H201" s="41"/>
    </row>
    <row r="202" customFormat="false" ht="14.4" hidden="true" customHeight="false" outlineLevel="0" collapsed="false">
      <c r="A202" s="104" t="s">
        <v>47</v>
      </c>
      <c r="B202" s="100" t="s">
        <v>29</v>
      </c>
      <c r="C202" s="101" t="s">
        <v>89</v>
      </c>
      <c r="D202" s="102"/>
      <c r="E202" s="89"/>
      <c r="H202" s="104"/>
    </row>
    <row r="203" customFormat="false" ht="14.4" hidden="true" customHeight="false" outlineLevel="0" collapsed="false">
      <c r="A203" s="66"/>
      <c r="B203" s="98" t="s">
        <v>48</v>
      </c>
      <c r="C203" s="96" t="s">
        <v>276</v>
      </c>
      <c r="D203" s="41"/>
      <c r="E203" s="89"/>
      <c r="H203" s="66"/>
    </row>
    <row r="204" customFormat="false" ht="14.4" hidden="true" customHeight="false" outlineLevel="0" collapsed="false">
      <c r="A204" s="66"/>
      <c r="B204" s="98" t="s">
        <v>277</v>
      </c>
      <c r="C204" s="96" t="s">
        <v>278</v>
      </c>
      <c r="D204" s="41"/>
      <c r="E204" s="89"/>
      <c r="H204" s="66"/>
    </row>
    <row r="205" customFormat="false" ht="14.4" hidden="true" customHeight="false" outlineLevel="0" collapsed="false">
      <c r="A205" s="66"/>
      <c r="B205" s="98" t="s">
        <v>279</v>
      </c>
      <c r="C205" s="96" t="s">
        <v>280</v>
      </c>
      <c r="D205" s="41"/>
      <c r="E205" s="89"/>
      <c r="H205" s="66"/>
    </row>
    <row r="206" customFormat="false" ht="14.4" hidden="true" customHeight="false" outlineLevel="0" collapsed="false">
      <c r="A206" s="66"/>
      <c r="B206" s="98" t="s">
        <v>281</v>
      </c>
      <c r="C206" s="96" t="s">
        <v>282</v>
      </c>
      <c r="D206" s="41"/>
      <c r="E206" s="89"/>
      <c r="H206" s="66"/>
    </row>
    <row r="207" customFormat="false" ht="14.4" hidden="true" customHeight="false" outlineLevel="0" collapsed="false">
      <c r="A207" s="66"/>
      <c r="B207" s="105" t="s">
        <v>283</v>
      </c>
      <c r="C207" s="106" t="s">
        <v>284</v>
      </c>
      <c r="D207" s="66"/>
      <c r="E207" s="89"/>
      <c r="H207" s="66"/>
    </row>
    <row r="208" customFormat="false" ht="14.4" hidden="true" customHeight="false" outlineLevel="0" collapsed="false">
      <c r="A208" s="66"/>
      <c r="B208" s="98" t="s">
        <v>285</v>
      </c>
      <c r="C208" s="96" t="s">
        <v>286</v>
      </c>
      <c r="D208" s="41"/>
      <c r="E208" s="89"/>
      <c r="H208" s="66"/>
    </row>
    <row r="209" customFormat="false" ht="14.4" hidden="true" customHeight="false" outlineLevel="0" collapsed="false">
      <c r="A209" s="66"/>
      <c r="B209" s="98" t="s">
        <v>287</v>
      </c>
      <c r="C209" s="96" t="s">
        <v>288</v>
      </c>
      <c r="D209" s="41"/>
      <c r="E209" s="89"/>
      <c r="H209" s="66"/>
    </row>
    <row r="210" customFormat="false" ht="14.4" hidden="true" customHeight="false" outlineLevel="0" collapsed="false">
      <c r="A210" s="41"/>
      <c r="B210" s="96"/>
      <c r="C210" s="96"/>
      <c r="D210" s="41"/>
      <c r="E210" s="89"/>
      <c r="H210" s="41"/>
    </row>
    <row r="211" customFormat="false" ht="14.4" hidden="true" customHeight="false" outlineLevel="0" collapsed="false">
      <c r="A211" s="104" t="s">
        <v>39</v>
      </c>
      <c r="B211" s="100" t="s">
        <v>29</v>
      </c>
      <c r="C211" s="101" t="s">
        <v>89</v>
      </c>
      <c r="D211" s="102"/>
      <c r="E211" s="89"/>
      <c r="H211" s="104"/>
    </row>
    <row r="212" customFormat="false" ht="14.4" hidden="true" customHeight="false" outlineLevel="0" collapsed="false">
      <c r="A212" s="66"/>
      <c r="B212" s="98" t="s">
        <v>289</v>
      </c>
      <c r="C212" s="98" t="s">
        <v>290</v>
      </c>
      <c r="D212" s="99"/>
      <c r="E212" s="89"/>
      <c r="H212" s="66"/>
    </row>
    <row r="213" customFormat="false" ht="14.4" hidden="true" customHeight="false" outlineLevel="0" collapsed="false">
      <c r="A213" s="66"/>
      <c r="B213" s="98" t="s">
        <v>291</v>
      </c>
      <c r="C213" s="96" t="s">
        <v>292</v>
      </c>
      <c r="D213" s="41"/>
      <c r="E213" s="89"/>
      <c r="H213" s="66"/>
    </row>
    <row r="214" customFormat="false" ht="14.4" hidden="true" customHeight="false" outlineLevel="0" collapsed="false">
      <c r="A214" s="66"/>
      <c r="B214" s="98" t="s">
        <v>293</v>
      </c>
      <c r="C214" s="96" t="s">
        <v>294</v>
      </c>
      <c r="D214" s="41"/>
      <c r="E214" s="89"/>
      <c r="H214" s="66"/>
    </row>
    <row r="215" customFormat="false" ht="14.4" hidden="true" customHeight="false" outlineLevel="0" collapsed="false">
      <c r="A215" s="66"/>
      <c r="B215" s="98" t="s">
        <v>295</v>
      </c>
      <c r="C215" s="96" t="s">
        <v>296</v>
      </c>
      <c r="D215" s="41"/>
      <c r="E215" s="89"/>
      <c r="H215" s="66"/>
    </row>
    <row r="216" customFormat="false" ht="14.4" hidden="true" customHeight="false" outlineLevel="0" collapsed="false">
      <c r="A216" s="66"/>
      <c r="B216" s="98" t="s">
        <v>40</v>
      </c>
      <c r="C216" s="96" t="s">
        <v>297</v>
      </c>
      <c r="D216" s="41"/>
      <c r="E216" s="89"/>
      <c r="H216" s="66"/>
    </row>
    <row r="217" customFormat="false" ht="14.4" hidden="true" customHeight="false" outlineLevel="0" collapsed="false">
      <c r="A217" s="66"/>
      <c r="B217" s="105" t="s">
        <v>298</v>
      </c>
      <c r="C217" s="106" t="s">
        <v>299</v>
      </c>
      <c r="D217" s="66"/>
      <c r="E217" s="89"/>
      <c r="H217" s="66"/>
    </row>
    <row r="218" customFormat="false" ht="14.4" hidden="true" customHeight="false" outlineLevel="0" collapsed="false">
      <c r="A218" s="66"/>
      <c r="B218" s="98"/>
      <c r="C218" s="96"/>
      <c r="D218" s="41"/>
      <c r="E218" s="89"/>
      <c r="H218" s="66"/>
    </row>
    <row r="219" customFormat="false" ht="14.4" hidden="true" customHeight="false" outlineLevel="0" collapsed="false">
      <c r="A219" s="104" t="s">
        <v>70</v>
      </c>
      <c r="B219" s="100" t="s">
        <v>29</v>
      </c>
      <c r="C219" s="101" t="s">
        <v>89</v>
      </c>
      <c r="D219" s="102"/>
      <c r="E219" s="89"/>
      <c r="H219" s="104"/>
    </row>
    <row r="220" customFormat="false" ht="14.4" hidden="true" customHeight="false" outlineLevel="0" collapsed="false">
      <c r="A220" s="66"/>
      <c r="B220" s="98" t="s">
        <v>71</v>
      </c>
      <c r="C220" s="96" t="s">
        <v>300</v>
      </c>
      <c r="D220" s="41"/>
      <c r="E220" s="89"/>
      <c r="H220" s="66"/>
    </row>
    <row r="221" customFormat="false" ht="14.4" hidden="true" customHeight="false" outlineLevel="0" collapsed="false">
      <c r="A221" s="66"/>
      <c r="B221" s="98" t="s">
        <v>301</v>
      </c>
      <c r="C221" s="96" t="s">
        <v>302</v>
      </c>
      <c r="D221" s="41"/>
      <c r="E221" s="89"/>
      <c r="H221" s="66"/>
    </row>
    <row r="222" customFormat="false" ht="14.4" hidden="true" customHeight="false" outlineLevel="0" collapsed="false">
      <c r="A222" s="66"/>
      <c r="B222" s="98" t="s">
        <v>303</v>
      </c>
      <c r="C222" s="96" t="s">
        <v>304</v>
      </c>
      <c r="D222" s="41"/>
      <c r="E222" s="89"/>
      <c r="H222" s="66"/>
    </row>
    <row r="223" customFormat="false" ht="14.4" hidden="true" customHeight="false" outlineLevel="0" collapsed="false">
      <c r="A223" s="66"/>
      <c r="B223" s="98" t="s">
        <v>305</v>
      </c>
      <c r="C223" s="96" t="s">
        <v>306</v>
      </c>
      <c r="D223" s="41"/>
      <c r="E223" s="89"/>
      <c r="H223" s="66"/>
    </row>
    <row r="224" customFormat="false" ht="14.4" hidden="true" customHeight="false" outlineLevel="0" collapsed="false">
      <c r="A224" s="66"/>
      <c r="B224" s="105" t="s">
        <v>307</v>
      </c>
      <c r="C224" s="106" t="s">
        <v>308</v>
      </c>
      <c r="D224" s="66"/>
      <c r="E224" s="89"/>
      <c r="H224" s="66"/>
    </row>
    <row r="225" customFormat="false" ht="14.4" hidden="true" customHeight="false" outlineLevel="0" collapsed="false">
      <c r="A225" s="66"/>
      <c r="B225" s="98" t="s">
        <v>309</v>
      </c>
      <c r="C225" s="96" t="s">
        <v>310</v>
      </c>
      <c r="D225" s="41"/>
      <c r="E225" s="89"/>
      <c r="H225" s="66"/>
    </row>
    <row r="226" customFormat="false" ht="14.4" hidden="true" customHeight="false" outlineLevel="0" collapsed="false">
      <c r="B226" s="103"/>
      <c r="C226" s="103"/>
      <c r="E226" s="89"/>
    </row>
    <row r="227" customFormat="false" ht="14.4" hidden="true" customHeight="false" outlineLevel="0" collapsed="false">
      <c r="B227" s="103"/>
      <c r="C227" s="103"/>
      <c r="E227" s="89"/>
    </row>
    <row r="228" customFormat="false" ht="14.4" hidden="true" customHeight="false" outlineLevel="0" collapsed="false">
      <c r="A228" s="104" t="s">
        <v>68</v>
      </c>
      <c r="B228" s="100" t="s">
        <v>29</v>
      </c>
      <c r="C228" s="101" t="s">
        <v>89</v>
      </c>
      <c r="D228" s="102"/>
      <c r="E228" s="89"/>
    </row>
    <row r="229" customFormat="false" ht="14.4" hidden="true" customHeight="false" outlineLevel="0" collapsed="false">
      <c r="B229" s="98" t="s">
        <v>156</v>
      </c>
      <c r="C229" s="96" t="s">
        <v>157</v>
      </c>
      <c r="D229" s="41"/>
      <c r="E229" s="89"/>
      <c r="I229" s="99"/>
    </row>
    <row r="230" customFormat="false" ht="14.4" hidden="true" customHeight="false" outlineLevel="0" collapsed="false">
      <c r="B230" s="98" t="s">
        <v>171</v>
      </c>
      <c r="C230" s="96" t="s">
        <v>172</v>
      </c>
      <c r="D230" s="41"/>
      <c r="E230" s="89"/>
      <c r="I230" s="99"/>
    </row>
    <row r="231" customFormat="false" ht="14.4" hidden="true" customHeight="false" outlineLevel="0" collapsed="false">
      <c r="B231" s="98" t="s">
        <v>46</v>
      </c>
      <c r="C231" s="96" t="s">
        <v>158</v>
      </c>
      <c r="D231" s="41"/>
      <c r="E231" s="89"/>
      <c r="I231" s="99"/>
    </row>
    <row r="232" customFormat="false" ht="14.4" hidden="true" customHeight="false" outlineLevel="0" collapsed="false">
      <c r="B232" s="98" t="s">
        <v>173</v>
      </c>
      <c r="C232" s="96" t="s">
        <v>174</v>
      </c>
      <c r="D232" s="41"/>
      <c r="E232" s="89"/>
      <c r="I232" s="99"/>
    </row>
    <row r="233" customFormat="false" ht="14.4" hidden="true" customHeight="false" outlineLevel="0" collapsed="false">
      <c r="B233" s="98" t="s">
        <v>159</v>
      </c>
      <c r="C233" s="96" t="s">
        <v>160</v>
      </c>
      <c r="D233" s="41"/>
      <c r="E233" s="89"/>
      <c r="I233" s="99"/>
    </row>
    <row r="234" customFormat="false" ht="14.4" hidden="true" customHeight="false" outlineLevel="0" collapsed="false">
      <c r="B234" s="98" t="s">
        <v>175</v>
      </c>
      <c r="C234" s="96" t="s">
        <v>176</v>
      </c>
      <c r="D234" s="41"/>
      <c r="E234" s="89"/>
      <c r="I234" s="99"/>
    </row>
    <row r="235" customFormat="false" ht="14.4" hidden="true" customHeight="false" outlineLevel="0" collapsed="false">
      <c r="B235" s="98" t="s">
        <v>161</v>
      </c>
      <c r="C235" s="96" t="s">
        <v>162</v>
      </c>
      <c r="D235" s="41"/>
      <c r="E235" s="89"/>
      <c r="I235" s="99"/>
    </row>
    <row r="236" customFormat="false" ht="14.4" hidden="true" customHeight="false" outlineLevel="0" collapsed="false">
      <c r="B236" s="98" t="s">
        <v>177</v>
      </c>
      <c r="C236" s="96" t="s">
        <v>178</v>
      </c>
      <c r="D236" s="41"/>
      <c r="E236" s="89"/>
      <c r="I236" s="99"/>
    </row>
    <row r="237" customFormat="false" ht="14.4" hidden="true" customHeight="false" outlineLevel="0" collapsed="false">
      <c r="B237" s="98" t="s">
        <v>163</v>
      </c>
      <c r="C237" s="96" t="s">
        <v>164</v>
      </c>
      <c r="D237" s="41"/>
      <c r="E237" s="89"/>
      <c r="I237" s="41"/>
      <c r="K237" s="41"/>
    </row>
    <row r="238" customFormat="false" ht="14.4" hidden="true" customHeight="false" outlineLevel="0" collapsed="false">
      <c r="B238" s="98" t="s">
        <v>179</v>
      </c>
      <c r="C238" s="96" t="s">
        <v>180</v>
      </c>
      <c r="D238" s="41"/>
      <c r="E238" s="89"/>
      <c r="I238" s="41"/>
      <c r="K238" s="41"/>
    </row>
    <row r="239" customFormat="false" ht="14.4" hidden="true" customHeight="false" outlineLevel="0" collapsed="false">
      <c r="B239" s="98" t="s">
        <v>69</v>
      </c>
      <c r="C239" s="96" t="s">
        <v>165</v>
      </c>
      <c r="D239" s="41"/>
      <c r="E239" s="89"/>
      <c r="I239" s="99"/>
    </row>
    <row r="240" customFormat="false" ht="14.4" hidden="true" customHeight="false" outlineLevel="0" collapsed="false">
      <c r="B240" s="98" t="s">
        <v>166</v>
      </c>
      <c r="C240" s="96" t="s">
        <v>167</v>
      </c>
      <c r="D240" s="41"/>
      <c r="E240" s="89"/>
      <c r="I240" s="99"/>
    </row>
    <row r="241" customFormat="false" ht="14.4" hidden="true" customHeight="false" outlineLevel="0" collapsed="false">
      <c r="B241" s="98" t="s">
        <v>168</v>
      </c>
      <c r="C241" s="96" t="s">
        <v>169</v>
      </c>
      <c r="D241" s="41"/>
      <c r="E241" s="89"/>
      <c r="I241" s="99"/>
    </row>
    <row r="242" customFormat="false" ht="14.4" hidden="true" customHeight="false" outlineLevel="0" collapsed="false">
      <c r="B242" s="100" t="s">
        <v>29</v>
      </c>
      <c r="C242" s="101" t="s">
        <v>89</v>
      </c>
      <c r="D242" s="102"/>
      <c r="E242" s="89"/>
      <c r="I242" s="99"/>
    </row>
    <row r="243" customFormat="false" ht="14.4" hidden="true" customHeight="false" outlineLevel="0" collapsed="false">
      <c r="A243" s="104" t="s">
        <v>311</v>
      </c>
      <c r="B243" s="98" t="s">
        <v>289</v>
      </c>
      <c r="C243" s="98" t="s">
        <v>290</v>
      </c>
      <c r="D243" s="99"/>
      <c r="E243" s="89"/>
      <c r="I243" s="99"/>
    </row>
    <row r="244" customFormat="false" ht="14.4" hidden="true" customHeight="false" outlineLevel="0" collapsed="false">
      <c r="B244" s="98" t="s">
        <v>71</v>
      </c>
      <c r="C244" s="96" t="s">
        <v>300</v>
      </c>
      <c r="D244" s="41"/>
      <c r="E244" s="89"/>
      <c r="I244" s="99"/>
    </row>
    <row r="245" customFormat="false" ht="14.4" hidden="true" customHeight="false" outlineLevel="0" collapsed="false">
      <c r="B245" s="98" t="s">
        <v>291</v>
      </c>
      <c r="C245" s="96" t="s">
        <v>292</v>
      </c>
      <c r="D245" s="41"/>
      <c r="E245" s="89"/>
      <c r="I245" s="99"/>
    </row>
    <row r="246" customFormat="false" ht="14.4" hidden="true" customHeight="false" outlineLevel="0" collapsed="false">
      <c r="B246" s="98" t="s">
        <v>301</v>
      </c>
      <c r="C246" s="96" t="s">
        <v>302</v>
      </c>
      <c r="D246" s="41"/>
      <c r="E246" s="91"/>
      <c r="I246" s="99"/>
    </row>
    <row r="247" customFormat="false" ht="14.4" hidden="true" customHeight="false" outlineLevel="0" collapsed="false">
      <c r="B247" s="98" t="s">
        <v>293</v>
      </c>
      <c r="C247" s="96" t="s">
        <v>294</v>
      </c>
      <c r="D247" s="41"/>
      <c r="E247" s="107"/>
      <c r="I247" s="99"/>
    </row>
    <row r="248" customFormat="false" ht="14.4" hidden="true" customHeight="false" outlineLevel="0" collapsed="false">
      <c r="B248" s="98" t="s">
        <v>303</v>
      </c>
      <c r="C248" s="96" t="s">
        <v>304</v>
      </c>
      <c r="D248" s="41"/>
      <c r="E248" s="91"/>
      <c r="I248" s="92"/>
    </row>
    <row r="249" customFormat="false" ht="14.4" hidden="true" customHeight="false" outlineLevel="0" collapsed="false">
      <c r="B249" s="98" t="s">
        <v>295</v>
      </c>
      <c r="C249" s="96" t="s">
        <v>296</v>
      </c>
      <c r="D249" s="41"/>
      <c r="E249" s="107"/>
      <c r="I249" s="99"/>
      <c r="K249" s="41"/>
    </row>
    <row r="250" customFormat="false" ht="14.4" hidden="true" customHeight="false" outlineLevel="0" collapsed="false">
      <c r="B250" s="98" t="s">
        <v>305</v>
      </c>
      <c r="C250" s="96" t="s">
        <v>306</v>
      </c>
      <c r="D250" s="41"/>
      <c r="E250" s="89"/>
      <c r="I250" s="41"/>
      <c r="K250" s="41"/>
    </row>
    <row r="251" customFormat="false" ht="14.4" hidden="true" customHeight="false" outlineLevel="0" collapsed="false">
      <c r="B251" s="98" t="s">
        <v>40</v>
      </c>
      <c r="C251" s="96" t="s">
        <v>297</v>
      </c>
      <c r="D251" s="41"/>
      <c r="E251" s="107"/>
      <c r="I251" s="99"/>
    </row>
    <row r="252" customFormat="false" ht="14.4" hidden="true" customHeight="false" outlineLevel="0" collapsed="false">
      <c r="B252" s="105" t="s">
        <v>307</v>
      </c>
      <c r="C252" s="106" t="s">
        <v>308</v>
      </c>
      <c r="D252" s="66"/>
      <c r="E252" s="108"/>
      <c r="I252" s="99"/>
    </row>
    <row r="253" customFormat="false" ht="14.4" hidden="true" customHeight="false" outlineLevel="0" collapsed="false">
      <c r="B253" s="105" t="s">
        <v>298</v>
      </c>
      <c r="C253" s="106" t="s">
        <v>299</v>
      </c>
      <c r="D253" s="66"/>
      <c r="E253" s="107"/>
      <c r="I253" s="99"/>
    </row>
    <row r="254" customFormat="false" ht="14.4" hidden="true" customHeight="false" outlineLevel="0" collapsed="false">
      <c r="B254" s="98" t="s">
        <v>309</v>
      </c>
      <c r="C254" s="96" t="s">
        <v>310</v>
      </c>
      <c r="D254" s="41"/>
      <c r="E254" s="108"/>
      <c r="I254" s="99"/>
    </row>
    <row r="255" customFormat="false" ht="14.4" hidden="true" customHeight="false" outlineLevel="0" collapsed="false">
      <c r="B255" s="100" t="s">
        <v>29</v>
      </c>
      <c r="C255" s="101" t="s">
        <v>89</v>
      </c>
      <c r="D255" s="102"/>
      <c r="E255" s="107"/>
      <c r="I255" s="92"/>
    </row>
    <row r="256" customFormat="false" ht="14.4" hidden="true" customHeight="false" outlineLevel="0" collapsed="false">
      <c r="A256" s="104" t="s">
        <v>45</v>
      </c>
      <c r="B256" s="98" t="s">
        <v>262</v>
      </c>
      <c r="C256" s="96" t="s">
        <v>263</v>
      </c>
      <c r="D256" s="41"/>
      <c r="E256" s="108"/>
      <c r="I256" s="99"/>
    </row>
    <row r="257" customFormat="false" ht="14.4" hidden="true" customHeight="false" outlineLevel="0" collapsed="false">
      <c r="B257" s="98" t="s">
        <v>156</v>
      </c>
      <c r="C257" s="96" t="s">
        <v>157</v>
      </c>
      <c r="D257" s="41"/>
      <c r="E257" s="107"/>
      <c r="I257" s="99"/>
    </row>
    <row r="258" customFormat="false" ht="14.4" hidden="true" customHeight="false" outlineLevel="0" collapsed="false">
      <c r="B258" s="98" t="s">
        <v>264</v>
      </c>
      <c r="C258" s="96" t="s">
        <v>265</v>
      </c>
      <c r="D258" s="41"/>
      <c r="E258" s="108"/>
      <c r="I258" s="99"/>
    </row>
    <row r="259" customFormat="false" ht="14.4" hidden="true" customHeight="false" outlineLevel="0" collapsed="false">
      <c r="B259" s="98" t="s">
        <v>171</v>
      </c>
      <c r="C259" s="96" t="s">
        <v>172</v>
      </c>
      <c r="D259" s="41"/>
      <c r="E259" s="107"/>
      <c r="I259" s="99"/>
    </row>
    <row r="260" customFormat="false" ht="14.4" hidden="true" customHeight="false" outlineLevel="0" collapsed="false">
      <c r="B260" s="98" t="s">
        <v>266</v>
      </c>
      <c r="C260" s="96" t="s">
        <v>267</v>
      </c>
      <c r="D260" s="41"/>
      <c r="E260" s="108"/>
      <c r="I260" s="99"/>
    </row>
    <row r="261" customFormat="false" ht="14.4" hidden="true" customHeight="false" outlineLevel="0" collapsed="false">
      <c r="B261" s="98" t="s">
        <v>46</v>
      </c>
      <c r="C261" s="96" t="s">
        <v>158</v>
      </c>
      <c r="D261" s="41"/>
      <c r="E261" s="107"/>
      <c r="I261" s="99"/>
    </row>
    <row r="262" customFormat="false" ht="14.4" hidden="true" customHeight="false" outlineLevel="0" collapsed="false">
      <c r="B262" s="98" t="s">
        <v>268</v>
      </c>
      <c r="C262" s="96" t="s">
        <v>269</v>
      </c>
      <c r="D262" s="41"/>
      <c r="E262" s="108"/>
      <c r="I262" s="99"/>
    </row>
    <row r="263" customFormat="false" ht="14.4" hidden="true" customHeight="false" outlineLevel="0" collapsed="false">
      <c r="B263" s="98" t="s">
        <v>173</v>
      </c>
      <c r="C263" s="96" t="s">
        <v>174</v>
      </c>
      <c r="D263" s="41"/>
      <c r="E263" s="107"/>
    </row>
    <row r="264" customFormat="false" ht="14.4" hidden="true" customHeight="false" outlineLevel="0" collapsed="false">
      <c r="B264" s="98" t="s">
        <v>270</v>
      </c>
      <c r="C264" s="96" t="s">
        <v>271</v>
      </c>
      <c r="D264" s="41"/>
      <c r="E264" s="108"/>
    </row>
    <row r="265" customFormat="false" ht="14.4" hidden="true" customHeight="false" outlineLevel="0" collapsed="false">
      <c r="B265" s="98" t="s">
        <v>159</v>
      </c>
      <c r="C265" s="96" t="s">
        <v>160</v>
      </c>
      <c r="D265" s="41"/>
      <c r="E265" s="107"/>
      <c r="I265" s="99"/>
    </row>
    <row r="266" customFormat="false" ht="14.4" hidden="true" customHeight="false" outlineLevel="0" collapsed="false">
      <c r="B266" s="98" t="s">
        <v>272</v>
      </c>
      <c r="C266" s="96" t="s">
        <v>273</v>
      </c>
      <c r="D266" s="41"/>
      <c r="E266" s="108"/>
      <c r="I266" s="99"/>
    </row>
    <row r="267" customFormat="false" ht="14.4" hidden="true" customHeight="false" outlineLevel="0" collapsed="false">
      <c r="B267" s="98" t="s">
        <v>175</v>
      </c>
      <c r="C267" s="96" t="s">
        <v>176</v>
      </c>
      <c r="D267" s="41"/>
      <c r="E267" s="107"/>
      <c r="I267" s="99"/>
    </row>
    <row r="268" customFormat="false" ht="14.4" hidden="true" customHeight="false" outlineLevel="0" collapsed="false">
      <c r="B268" s="98" t="s">
        <v>274</v>
      </c>
      <c r="C268" s="96" t="s">
        <v>275</v>
      </c>
      <c r="D268" s="41"/>
      <c r="E268" s="108"/>
      <c r="I268" s="99"/>
    </row>
    <row r="269" customFormat="false" ht="14.4" hidden="true" customHeight="false" outlineLevel="0" collapsed="false">
      <c r="B269" s="98" t="s">
        <v>161</v>
      </c>
      <c r="C269" s="96" t="s">
        <v>162</v>
      </c>
      <c r="D269" s="41"/>
      <c r="E269" s="107"/>
      <c r="I269" s="99"/>
    </row>
    <row r="270" customFormat="false" ht="14.4" hidden="true" customHeight="false" outlineLevel="0" collapsed="false">
      <c r="B270" s="98" t="s">
        <v>177</v>
      </c>
      <c r="C270" s="96" t="s">
        <v>178</v>
      </c>
      <c r="D270" s="41"/>
      <c r="E270" s="108"/>
      <c r="I270" s="99"/>
    </row>
    <row r="271" customFormat="false" ht="14.4" hidden="true" customHeight="false" outlineLevel="0" collapsed="false">
      <c r="B271" s="98" t="s">
        <v>163</v>
      </c>
      <c r="C271" s="96" t="s">
        <v>164</v>
      </c>
      <c r="D271" s="41"/>
      <c r="E271" s="107"/>
      <c r="I271" s="99"/>
    </row>
    <row r="272" customFormat="false" ht="14.4" hidden="true" customHeight="false" outlineLevel="0" collapsed="false">
      <c r="B272" s="98" t="s">
        <v>179</v>
      </c>
      <c r="C272" s="96" t="s">
        <v>180</v>
      </c>
      <c r="D272" s="41"/>
      <c r="E272" s="108"/>
      <c r="I272" s="99"/>
    </row>
    <row r="273" customFormat="false" ht="14.4" hidden="true" customHeight="false" outlineLevel="0" collapsed="false">
      <c r="B273" s="98" t="s">
        <v>69</v>
      </c>
      <c r="C273" s="96" t="s">
        <v>165</v>
      </c>
      <c r="D273" s="41"/>
      <c r="E273" s="107"/>
      <c r="I273" s="99"/>
    </row>
    <row r="274" customFormat="false" ht="14.4" hidden="true" customHeight="false" outlineLevel="0" collapsed="false">
      <c r="B274" s="98" t="s">
        <v>166</v>
      </c>
      <c r="C274" s="96" t="s">
        <v>167</v>
      </c>
      <c r="D274" s="41"/>
      <c r="E274" s="108"/>
      <c r="I274" s="99"/>
    </row>
    <row r="275" customFormat="false" ht="14.4" hidden="true" customHeight="false" outlineLevel="0" collapsed="false">
      <c r="B275" s="98" t="s">
        <v>168</v>
      </c>
      <c r="C275" s="96" t="s">
        <v>169</v>
      </c>
      <c r="D275" s="41"/>
      <c r="E275" s="107"/>
      <c r="I275" s="99"/>
    </row>
    <row r="276" customFormat="false" ht="14.4" hidden="true" customHeight="false" outlineLevel="0" collapsed="false">
      <c r="B276" s="98"/>
      <c r="C276" s="96"/>
      <c r="D276" s="41"/>
      <c r="E276" s="107"/>
      <c r="I276" s="99"/>
    </row>
    <row r="277" customFormat="false" ht="14.4" hidden="true" customHeight="false" outlineLevel="0" collapsed="false">
      <c r="B277" s="100" t="s">
        <v>29</v>
      </c>
      <c r="C277" s="101" t="s">
        <v>89</v>
      </c>
      <c r="D277" s="102"/>
      <c r="E277" s="108"/>
      <c r="I277" s="99"/>
    </row>
    <row r="278" customFormat="false" ht="14.4" hidden="true" customHeight="false" outlineLevel="0" collapsed="false">
      <c r="A278" s="104" t="s">
        <v>312</v>
      </c>
      <c r="B278" s="98" t="s">
        <v>132</v>
      </c>
      <c r="C278" s="96" t="s">
        <v>133</v>
      </c>
      <c r="D278" s="41"/>
      <c r="E278" s="107"/>
      <c r="I278" s="41"/>
    </row>
    <row r="279" customFormat="false" ht="14.4" hidden="true" customHeight="false" outlineLevel="0" collapsed="false">
      <c r="B279" s="98" t="s">
        <v>139</v>
      </c>
      <c r="C279" s="96" t="s">
        <v>140</v>
      </c>
      <c r="D279" s="41"/>
      <c r="E279" s="108"/>
      <c r="I279" s="99"/>
    </row>
    <row r="280" customFormat="false" ht="14.4" hidden="true" customHeight="false" outlineLevel="0" collapsed="false">
      <c r="B280" s="98" t="s">
        <v>134</v>
      </c>
      <c r="C280" s="96" t="s">
        <v>135</v>
      </c>
      <c r="D280" s="41"/>
      <c r="E280" s="107"/>
      <c r="I280" s="99"/>
    </row>
    <row r="281" customFormat="false" ht="14.4" hidden="true" customHeight="false" outlineLevel="0" collapsed="false">
      <c r="B281" s="98" t="s">
        <v>141</v>
      </c>
      <c r="C281" s="96" t="s">
        <v>142</v>
      </c>
      <c r="D281" s="41"/>
      <c r="E281" s="89"/>
      <c r="I281" s="99"/>
    </row>
    <row r="282" customFormat="false" ht="14.4" hidden="true" customHeight="false" outlineLevel="0" collapsed="false">
      <c r="B282" s="98" t="s">
        <v>76</v>
      </c>
      <c r="C282" s="96" t="s">
        <v>136</v>
      </c>
      <c r="D282" s="41"/>
      <c r="E282" s="89"/>
      <c r="I282" s="99"/>
    </row>
    <row r="283" customFormat="false" ht="14.4" hidden="true" customHeight="false" outlineLevel="0" collapsed="false">
      <c r="B283" s="98" t="s">
        <v>143</v>
      </c>
      <c r="C283" s="96" t="s">
        <v>144</v>
      </c>
      <c r="D283" s="41"/>
      <c r="E283" s="107"/>
      <c r="I283" s="41"/>
      <c r="K283" s="41"/>
    </row>
    <row r="284" customFormat="false" ht="14.4" hidden="true" customHeight="false" outlineLevel="0" collapsed="false">
      <c r="B284" s="98" t="s">
        <v>137</v>
      </c>
      <c r="C284" s="96" t="s">
        <v>138</v>
      </c>
      <c r="D284" s="41"/>
      <c r="E284" s="107"/>
      <c r="I284" s="99"/>
      <c r="K284" s="41"/>
    </row>
    <row r="285" customFormat="false" ht="14.4" hidden="true" customHeight="false" outlineLevel="0" collapsed="false">
      <c r="B285" s="98" t="s">
        <v>54</v>
      </c>
      <c r="C285" s="96" t="s">
        <v>145</v>
      </c>
      <c r="D285" s="41"/>
      <c r="E285" s="107"/>
      <c r="I285" s="99"/>
    </row>
    <row r="286" customFormat="false" ht="14.4" hidden="true" customHeight="false" outlineLevel="0" collapsed="false">
      <c r="B286" s="98" t="s">
        <v>146</v>
      </c>
      <c r="C286" s="96" t="s">
        <v>147</v>
      </c>
      <c r="D286" s="41"/>
      <c r="E286" s="107"/>
      <c r="I286" s="99"/>
    </row>
    <row r="288" customFormat="false" ht="14.4" hidden="true" customHeight="false" outlineLevel="0" collapsed="false">
      <c r="B288" s="103" t="s">
        <v>313</v>
      </c>
      <c r="C288" s="103" t="s">
        <v>314</v>
      </c>
      <c r="D288" s="103" t="s">
        <v>315</v>
      </c>
      <c r="E288" s="103" t="s">
        <v>316</v>
      </c>
    </row>
    <row r="289" customFormat="false" ht="14.4" hidden="true" customHeight="false" outlineLevel="0" collapsed="false">
      <c r="B289" s="0" t="s">
        <v>55</v>
      </c>
      <c r="C289" s="41" t="s">
        <v>55</v>
      </c>
      <c r="D289" s="41" t="s">
        <v>317</v>
      </c>
      <c r="E289" s="41" t="str">
        <f aca="false">CONCATENATE(Table_Name76[[#This Row],[Table name]],"[Link]")</f>
        <v>Abs[Link]</v>
      </c>
    </row>
    <row r="290" customFormat="false" ht="14.4" hidden="true" customHeight="false" outlineLevel="0" collapsed="false">
      <c r="B290" s="0" t="s">
        <v>66</v>
      </c>
      <c r="C290" s="41" t="s">
        <v>66</v>
      </c>
      <c r="D290" s="41" t="s">
        <v>318</v>
      </c>
      <c r="E290" s="41" t="str">
        <f aca="false">CONCATENATE(Table_Name76[[#This Row],[Table name]],"[Link]")</f>
        <v>Calves[Link]</v>
      </c>
    </row>
    <row r="291" customFormat="false" ht="14.4" hidden="true" customHeight="false" outlineLevel="0" collapsed="false">
      <c r="B291" s="0" t="s">
        <v>83</v>
      </c>
      <c r="C291" s="41" t="s">
        <v>83</v>
      </c>
      <c r="D291" s="41" t="s">
        <v>319</v>
      </c>
      <c r="E291" s="41" t="str">
        <f aca="false">CONCATENATE(Table_Name76[[#This Row],[Table name]],"[Link]")</f>
        <v>Biceps[Link]</v>
      </c>
    </row>
    <row r="292" customFormat="false" ht="14.4" hidden="true" customHeight="false" outlineLevel="0" collapsed="false">
      <c r="B292" s="0" t="s">
        <v>131</v>
      </c>
      <c r="C292" s="41" t="s">
        <v>320</v>
      </c>
      <c r="D292" s="41" t="s">
        <v>321</v>
      </c>
      <c r="E292" s="41" t="str">
        <f aca="false">CONCATENATE(Table_Name76[[#This Row],[Table name]],"[Link]")</f>
        <v>Rear_Delts[Link]</v>
      </c>
    </row>
    <row r="293" customFormat="false" ht="14.4" hidden="true" customHeight="false" outlineLevel="0" collapsed="false">
      <c r="B293" s="0" t="s">
        <v>53</v>
      </c>
      <c r="C293" s="41" t="s">
        <v>322</v>
      </c>
      <c r="D293" s="41" t="s">
        <v>323</v>
      </c>
      <c r="E293" s="41" t="str">
        <f aca="false">CONCATENATE(Table_Name76[[#This Row],[Table name]],"[Link]")</f>
        <v>Side_Delts[Link]</v>
      </c>
    </row>
    <row r="294" customFormat="false" ht="14.4" hidden="true" customHeight="false" outlineLevel="0" collapsed="false">
      <c r="B294" s="0" t="s">
        <v>85</v>
      </c>
      <c r="C294" s="41" t="s">
        <v>85</v>
      </c>
      <c r="D294" s="41" t="s">
        <v>324</v>
      </c>
      <c r="E294" s="41" t="str">
        <f aca="false">CONCATENATE(Table_Name76[[#This Row],[Table name]],"[Link]")</f>
        <v>Traps[Link]</v>
      </c>
    </row>
    <row r="295" customFormat="false" ht="14.4" hidden="true" customHeight="false" outlineLevel="0" collapsed="false">
      <c r="B295" s="0" t="s">
        <v>155</v>
      </c>
      <c r="C295" s="41" t="s">
        <v>325</v>
      </c>
      <c r="D295" s="41" t="s">
        <v>326</v>
      </c>
      <c r="E295" s="41" t="str">
        <f aca="false">CONCATENATE(Table_Name76[[#This Row],[Table name]],"[Link]")</f>
        <v>Horizontal_Triceps[Link]</v>
      </c>
    </row>
    <row r="296" customFormat="false" ht="14.4" hidden="true" customHeight="false" outlineLevel="0" collapsed="false">
      <c r="B296" s="0" t="s">
        <v>170</v>
      </c>
      <c r="C296" s="41" t="s">
        <v>327</v>
      </c>
      <c r="D296" s="41" t="s">
        <v>328</v>
      </c>
      <c r="E296" s="41" t="str">
        <f aca="false">CONCATENATE(Table_Name76[[#This Row],[Table name]],"[Link]")</f>
        <v>Vertical_Triceps[Link]</v>
      </c>
    </row>
    <row r="297" customFormat="false" ht="14.4" hidden="true" customHeight="false" outlineLevel="0" collapsed="false">
      <c r="B297" s="0" t="s">
        <v>49</v>
      </c>
      <c r="C297" s="41" t="s">
        <v>329</v>
      </c>
      <c r="D297" s="41" t="s">
        <v>330</v>
      </c>
      <c r="E297" s="41" t="str">
        <f aca="false">CONCATENATE(Table_Name76[[#This Row],[Table name]],"[Link]")</f>
        <v>Horizonal_Back[Link]</v>
      </c>
    </row>
    <row r="298" customFormat="false" ht="14.4" hidden="true" customHeight="false" outlineLevel="0" collapsed="false">
      <c r="B298" s="0" t="s">
        <v>51</v>
      </c>
      <c r="C298" s="41" t="s">
        <v>331</v>
      </c>
      <c r="D298" s="41" t="s">
        <v>332</v>
      </c>
      <c r="E298" s="41" t="str">
        <f aca="false">CONCATENATE(Table_Name76[[#This Row],[Table name]],"[Link]")</f>
        <v>Vertical_Back[Link]</v>
      </c>
    </row>
    <row r="299" customFormat="false" ht="14.4" hidden="true" customHeight="false" outlineLevel="0" collapsed="false">
      <c r="B299" s="0" t="s">
        <v>61</v>
      </c>
      <c r="C299" s="41" t="s">
        <v>61</v>
      </c>
      <c r="D299" s="41" t="s">
        <v>333</v>
      </c>
      <c r="E299" s="41" t="str">
        <f aca="false">CONCATENATE(Table_Name76[[#This Row],[Table name]],"[Link]")</f>
        <v>Quads[Link]</v>
      </c>
    </row>
    <row r="300" customFormat="false" ht="14.4" hidden="true" customHeight="false" outlineLevel="0" collapsed="false">
      <c r="B300" s="0" t="s">
        <v>79</v>
      </c>
      <c r="C300" s="41" t="s">
        <v>79</v>
      </c>
      <c r="D300" s="41" t="s">
        <v>334</v>
      </c>
      <c r="E300" s="41" t="str">
        <f aca="false">CONCATENATE(Table_Name76[[#This Row],[Table name]],"[Link]")</f>
        <v>Glutes[Link]</v>
      </c>
    </row>
    <row r="301" customFormat="false" ht="14.4" hidden="true" customHeight="false" outlineLevel="0" collapsed="false">
      <c r="B301" s="0" t="s">
        <v>81</v>
      </c>
      <c r="C301" s="41" t="s">
        <v>335</v>
      </c>
      <c r="D301" s="41" t="s">
        <v>336</v>
      </c>
      <c r="E301" s="41" t="str">
        <f aca="false">CONCATENATE(Table_Name76[[#This Row],[Table name]],"[Link]")</f>
        <v>Hamstrings_Hip_Hinge[Link]</v>
      </c>
    </row>
    <row r="302" customFormat="false" ht="14.4" hidden="true" customHeight="false" outlineLevel="0" collapsed="false">
      <c r="B302" s="0" t="s">
        <v>64</v>
      </c>
      <c r="C302" s="41" t="s">
        <v>337</v>
      </c>
      <c r="D302" s="41" t="s">
        <v>338</v>
      </c>
      <c r="E302" s="41" t="str">
        <f aca="false">CONCATENATE(Table_Name76[[#This Row],[Table name]],"[Link]")</f>
        <v>Hamstrings_Isolation[Link]</v>
      </c>
    </row>
    <row r="303" customFormat="false" ht="14.4" hidden="true" customHeight="false" outlineLevel="0" collapsed="false">
      <c r="B303" s="0" t="s">
        <v>261</v>
      </c>
      <c r="C303" s="41" t="s">
        <v>339</v>
      </c>
      <c r="D303" s="41" t="s">
        <v>340</v>
      </c>
      <c r="E303" s="41" t="str">
        <f aca="false">CONCATENATE(Table_Name76[[#This Row],[Table name]],"[Link]")</f>
        <v>Chest_Isolation[Link]</v>
      </c>
    </row>
    <row r="304" customFormat="false" ht="14.4" hidden="true" customHeight="false" outlineLevel="0" collapsed="false">
      <c r="B304" s="0" t="s">
        <v>47</v>
      </c>
      <c r="C304" s="41" t="s">
        <v>341</v>
      </c>
      <c r="D304" s="41" t="s">
        <v>342</v>
      </c>
      <c r="E304" s="41" t="str">
        <f aca="false">CONCATENATE(Table_Name76[[#This Row],[Table name]],"[Link]")</f>
        <v>Horizontal_Push[Link]</v>
      </c>
    </row>
    <row r="305" customFormat="false" ht="14.4" hidden="true" customHeight="false" outlineLevel="0" collapsed="false">
      <c r="B305" s="0" t="s">
        <v>39</v>
      </c>
      <c r="C305" s="41" t="s">
        <v>343</v>
      </c>
      <c r="D305" s="41" t="s">
        <v>344</v>
      </c>
      <c r="E305" s="41" t="str">
        <f aca="false">CONCATENATE(Table_Name76[[#This Row],[Table name]],"[Link]")</f>
        <v>Incline_Push[Link]</v>
      </c>
    </row>
    <row r="306" customFormat="false" ht="14.4" hidden="true" customHeight="false" outlineLevel="0" collapsed="false">
      <c r="B306" s="0" t="s">
        <v>70</v>
      </c>
      <c r="C306" s="41" t="s">
        <v>345</v>
      </c>
      <c r="D306" s="41" t="s">
        <v>346</v>
      </c>
      <c r="E306" s="41" t="str">
        <f aca="false">CONCATENATE(Table_Name76[[#This Row],[Table name]],"[Link]")</f>
        <v>Front_Delts[Link]</v>
      </c>
    </row>
    <row r="307" customFormat="false" ht="14.4" hidden="true" customHeight="false" outlineLevel="0" collapsed="false">
      <c r="B307" s="0" t="s">
        <v>68</v>
      </c>
      <c r="C307" s="41" t="s">
        <v>68</v>
      </c>
      <c r="D307" s="41" t="s">
        <v>347</v>
      </c>
      <c r="E307" s="41" t="str">
        <f aca="false">CONCATENATE(Table_Name76[[#This Row],[Table name]],"[Link]")</f>
        <v>Triceps[Link]</v>
      </c>
    </row>
    <row r="308" customFormat="false" ht="14.4" hidden="true" customHeight="false" outlineLevel="0" collapsed="false">
      <c r="B308" s="0" t="s">
        <v>311</v>
      </c>
      <c r="C308" s="41" t="s">
        <v>348</v>
      </c>
      <c r="D308" s="41" t="s">
        <v>349</v>
      </c>
      <c r="E308" s="41" t="str">
        <f aca="false">CONCATENATE(Table_Name76[[#This Row],[Table name]],"[Link]")</f>
        <v>Incline_Push_or_Front_Delts[Link]</v>
      </c>
    </row>
    <row r="309" customFormat="false" ht="14.4" hidden="true" customHeight="false" outlineLevel="0" collapsed="false">
      <c r="B309" s="0" t="s">
        <v>45</v>
      </c>
      <c r="C309" s="41" t="s">
        <v>350</v>
      </c>
      <c r="D309" s="41" t="s">
        <v>351</v>
      </c>
      <c r="E309" s="41" t="str">
        <f aca="false">CONCATENATE(Table_Name76[[#This Row],[Table name]],"[Link]")</f>
        <v>Chest_Isolation_or_Triceps[Link]</v>
      </c>
    </row>
    <row r="310" customFormat="false" ht="14.4" hidden="true" customHeight="false" outlineLevel="0" collapsed="false">
      <c r="B310" s="0" t="s">
        <v>75</v>
      </c>
      <c r="C310" s="41" t="s">
        <v>352</v>
      </c>
      <c r="D310" s="41" t="s">
        <v>353</v>
      </c>
      <c r="E310" s="41" t="str">
        <f aca="false">CONCATENATE(Table_Name76[[#This Row],[Table name]],"[Link]")</f>
        <v>Rear_or_Side_Delts[Link]</v>
      </c>
    </row>
    <row r="312" customFormat="false" ht="14.4" hidden="true" customHeight="false" outlineLevel="0" collapsed="false">
      <c r="B312" s="109" t="s">
        <v>29</v>
      </c>
      <c r="C312" s="103" t="s">
        <v>89</v>
      </c>
      <c r="D312" s="109" t="s">
        <v>313</v>
      </c>
    </row>
    <row r="313" customFormat="false" ht="14.4" hidden="true" customHeight="false" outlineLevel="0" collapsed="false">
      <c r="B313" s="41" t="s">
        <v>90</v>
      </c>
      <c r="C313" s="0" t="s">
        <v>91</v>
      </c>
      <c r="D313" s="0" t="s">
        <v>55</v>
      </c>
    </row>
    <row r="314" customFormat="false" ht="14.4" hidden="true" customHeight="false" outlineLevel="0" collapsed="false">
      <c r="B314" s="41" t="s">
        <v>92</v>
      </c>
      <c r="C314" s="0" t="s">
        <v>93</v>
      </c>
      <c r="D314" s="0" t="s">
        <v>55</v>
      </c>
    </row>
    <row r="315" customFormat="false" ht="14.4" hidden="true" customHeight="false" outlineLevel="0" collapsed="false">
      <c r="B315" s="41" t="s">
        <v>94</v>
      </c>
      <c r="C315" s="0" t="s">
        <v>95</v>
      </c>
      <c r="D315" s="0" t="s">
        <v>55</v>
      </c>
    </row>
    <row r="316" customFormat="false" ht="14.4" hidden="true" customHeight="false" outlineLevel="0" collapsed="false">
      <c r="B316" s="41" t="s">
        <v>96</v>
      </c>
      <c r="C316" s="0" t="s">
        <v>97</v>
      </c>
      <c r="D316" s="0" t="s">
        <v>55</v>
      </c>
    </row>
    <row r="317" customFormat="false" ht="14.4" hidden="true" customHeight="false" outlineLevel="0" collapsed="false">
      <c r="B317" s="99" t="s">
        <v>98</v>
      </c>
      <c r="C317" s="0" t="s">
        <v>99</v>
      </c>
      <c r="D317" s="0" t="s">
        <v>55</v>
      </c>
    </row>
    <row r="318" customFormat="false" ht="14.4" hidden="true" customHeight="false" outlineLevel="0" collapsed="false">
      <c r="B318" s="41" t="s">
        <v>56</v>
      </c>
      <c r="C318" s="0" t="s">
        <v>100</v>
      </c>
      <c r="D318" s="0" t="s">
        <v>55</v>
      </c>
    </row>
    <row r="319" customFormat="false" ht="14.4" hidden="true" customHeight="false" outlineLevel="0" collapsed="false">
      <c r="B319" s="41" t="s">
        <v>101</v>
      </c>
      <c r="C319" s="0" t="s">
        <v>102</v>
      </c>
      <c r="D319" s="0" t="s">
        <v>55</v>
      </c>
    </row>
    <row r="320" customFormat="false" ht="14.4" hidden="true" customHeight="false" outlineLevel="0" collapsed="false">
      <c r="B320" s="41" t="s">
        <v>110</v>
      </c>
      <c r="C320" s="0" t="s">
        <v>111</v>
      </c>
      <c r="D320" s="0" t="s">
        <v>83</v>
      </c>
    </row>
    <row r="321" customFormat="false" ht="14.4" hidden="true" customHeight="false" outlineLevel="0" collapsed="false">
      <c r="B321" s="41" t="s">
        <v>112</v>
      </c>
      <c r="C321" s="0" t="s">
        <v>113</v>
      </c>
      <c r="D321" s="0" t="s">
        <v>83</v>
      </c>
    </row>
    <row r="322" customFormat="false" ht="14.4" hidden="true" customHeight="false" outlineLevel="0" collapsed="false">
      <c r="B322" s="41" t="s">
        <v>114</v>
      </c>
      <c r="C322" s="0" t="s">
        <v>115</v>
      </c>
      <c r="D322" s="0" t="s">
        <v>83</v>
      </c>
    </row>
    <row r="323" customFormat="false" ht="14.4" hidden="true" customHeight="false" outlineLevel="0" collapsed="false">
      <c r="B323" s="41" t="s">
        <v>116</v>
      </c>
      <c r="C323" s="0" t="s">
        <v>117</v>
      </c>
      <c r="D323" s="0" t="s">
        <v>83</v>
      </c>
    </row>
    <row r="324" customFormat="false" ht="14.4" hidden="true" customHeight="false" outlineLevel="0" collapsed="false">
      <c r="B324" s="41" t="s">
        <v>118</v>
      </c>
      <c r="C324" s="0" t="s">
        <v>119</v>
      </c>
      <c r="D324" s="0" t="s">
        <v>83</v>
      </c>
    </row>
    <row r="325" customFormat="false" ht="14.4" hidden="true" customHeight="false" outlineLevel="0" collapsed="false">
      <c r="B325" s="41" t="s">
        <v>120</v>
      </c>
      <c r="C325" s="0" t="s">
        <v>121</v>
      </c>
      <c r="D325" s="0" t="s">
        <v>83</v>
      </c>
    </row>
    <row r="326" customFormat="false" ht="14.4" hidden="true" customHeight="false" outlineLevel="0" collapsed="false">
      <c r="B326" s="41" t="s">
        <v>122</v>
      </c>
      <c r="C326" s="0" t="s">
        <v>123</v>
      </c>
      <c r="D326" s="0" t="s">
        <v>83</v>
      </c>
    </row>
    <row r="327" customFormat="false" ht="14.4" hidden="true" customHeight="false" outlineLevel="0" collapsed="false">
      <c r="B327" s="41" t="s">
        <v>84</v>
      </c>
      <c r="C327" s="0" t="s">
        <v>124</v>
      </c>
      <c r="D327" s="0" t="s">
        <v>83</v>
      </c>
    </row>
    <row r="328" customFormat="false" ht="14.4" hidden="true" customHeight="false" outlineLevel="0" collapsed="false">
      <c r="B328" s="99" t="s">
        <v>125</v>
      </c>
      <c r="C328" s="0" t="s">
        <v>126</v>
      </c>
      <c r="D328" s="0" t="s">
        <v>83</v>
      </c>
    </row>
    <row r="329" customFormat="false" ht="14.4" hidden="true" customHeight="false" outlineLevel="0" collapsed="false">
      <c r="B329" s="41" t="s">
        <v>127</v>
      </c>
      <c r="C329" s="0" t="s">
        <v>128</v>
      </c>
      <c r="D329" s="0" t="s">
        <v>83</v>
      </c>
    </row>
    <row r="330" customFormat="false" ht="14.4" hidden="true" customHeight="false" outlineLevel="0" collapsed="false">
      <c r="B330" s="41" t="s">
        <v>129</v>
      </c>
      <c r="C330" s="0" t="s">
        <v>130</v>
      </c>
      <c r="D330" s="0" t="s">
        <v>83</v>
      </c>
    </row>
    <row r="331" customFormat="false" ht="14.4" hidden="true" customHeight="false" outlineLevel="0" collapsed="false">
      <c r="B331" s="41" t="s">
        <v>67</v>
      </c>
      <c r="C331" s="0" t="s">
        <v>103</v>
      </c>
      <c r="D331" s="0" t="s">
        <v>66</v>
      </c>
    </row>
    <row r="332" customFormat="false" ht="14.4" hidden="true" customHeight="false" outlineLevel="0" collapsed="false">
      <c r="B332" s="41" t="s">
        <v>104</v>
      </c>
      <c r="C332" s="0" t="s">
        <v>105</v>
      </c>
      <c r="D332" s="0" t="s">
        <v>66</v>
      </c>
    </row>
    <row r="333" customFormat="false" ht="14.4" hidden="true" customHeight="false" outlineLevel="0" collapsed="false">
      <c r="B333" s="41" t="s">
        <v>106</v>
      </c>
      <c r="C333" s="0" t="s">
        <v>107</v>
      </c>
      <c r="D333" s="0" t="s">
        <v>66</v>
      </c>
    </row>
    <row r="334" customFormat="false" ht="14.4" hidden="true" customHeight="false" outlineLevel="0" collapsed="false">
      <c r="B334" s="41" t="s">
        <v>108</v>
      </c>
      <c r="C334" s="0" t="s">
        <v>109</v>
      </c>
      <c r="D334" s="0" t="s">
        <v>66</v>
      </c>
    </row>
    <row r="335" customFormat="false" ht="14.4" hidden="true" customHeight="false" outlineLevel="0" collapsed="false">
      <c r="B335" s="41" t="s">
        <v>262</v>
      </c>
      <c r="C335" s="0" t="s">
        <v>263</v>
      </c>
      <c r="D335" s="0" t="s">
        <v>261</v>
      </c>
    </row>
    <row r="336" customFormat="false" ht="14.4" hidden="true" customHeight="false" outlineLevel="0" collapsed="false">
      <c r="B336" s="41" t="s">
        <v>264</v>
      </c>
      <c r="C336" s="0" t="s">
        <v>265</v>
      </c>
      <c r="D336" s="0" t="s">
        <v>261</v>
      </c>
    </row>
    <row r="337" customFormat="false" ht="14.4" hidden="true" customHeight="false" outlineLevel="0" collapsed="false">
      <c r="B337" s="41" t="s">
        <v>266</v>
      </c>
      <c r="C337" s="0" t="s">
        <v>267</v>
      </c>
      <c r="D337" s="0" t="s">
        <v>261</v>
      </c>
    </row>
    <row r="338" customFormat="false" ht="14.4" hidden="true" customHeight="false" outlineLevel="0" collapsed="false">
      <c r="B338" s="41" t="s">
        <v>268</v>
      </c>
      <c r="C338" s="0" t="s">
        <v>269</v>
      </c>
      <c r="D338" s="0" t="s">
        <v>261</v>
      </c>
    </row>
    <row r="339" customFormat="false" ht="14.4" hidden="true" customHeight="false" outlineLevel="0" collapsed="false">
      <c r="B339" s="41" t="s">
        <v>270</v>
      </c>
      <c r="C339" s="0" t="s">
        <v>271</v>
      </c>
      <c r="D339" s="0" t="s">
        <v>261</v>
      </c>
    </row>
    <row r="340" customFormat="false" ht="14.4" hidden="true" customHeight="false" outlineLevel="0" collapsed="false">
      <c r="B340" s="41" t="s">
        <v>272</v>
      </c>
      <c r="C340" s="0" t="s">
        <v>273</v>
      </c>
      <c r="D340" s="0" t="s">
        <v>261</v>
      </c>
    </row>
    <row r="341" customFormat="false" ht="14.4" hidden="true" customHeight="false" outlineLevel="0" collapsed="false">
      <c r="B341" s="41" t="s">
        <v>274</v>
      </c>
      <c r="C341" s="0" t="s">
        <v>275</v>
      </c>
      <c r="D341" s="0" t="s">
        <v>261</v>
      </c>
    </row>
    <row r="342" customFormat="false" ht="14.4" hidden="true" customHeight="false" outlineLevel="0" collapsed="false">
      <c r="B342" s="41" t="s">
        <v>262</v>
      </c>
      <c r="C342" s="0" t="s">
        <v>263</v>
      </c>
      <c r="D342" s="0" t="s">
        <v>45</v>
      </c>
    </row>
    <row r="343" customFormat="false" ht="14.4" hidden="true" customHeight="false" outlineLevel="0" collapsed="false">
      <c r="B343" s="41" t="s">
        <v>156</v>
      </c>
      <c r="C343" s="0" t="s">
        <v>157</v>
      </c>
      <c r="D343" s="0" t="s">
        <v>45</v>
      </c>
    </row>
    <row r="344" customFormat="false" ht="14.4" hidden="true" customHeight="false" outlineLevel="0" collapsed="false">
      <c r="B344" s="41" t="s">
        <v>264</v>
      </c>
      <c r="C344" s="0" t="s">
        <v>265</v>
      </c>
      <c r="D344" s="0" t="s">
        <v>45</v>
      </c>
    </row>
    <row r="345" customFormat="false" ht="14.4" hidden="true" customHeight="false" outlineLevel="0" collapsed="false">
      <c r="B345" s="41" t="s">
        <v>171</v>
      </c>
      <c r="C345" s="0" t="s">
        <v>172</v>
      </c>
      <c r="D345" s="0" t="s">
        <v>45</v>
      </c>
    </row>
    <row r="346" customFormat="false" ht="14.4" hidden="true" customHeight="false" outlineLevel="0" collapsed="false">
      <c r="B346" s="41" t="s">
        <v>266</v>
      </c>
      <c r="C346" s="0" t="s">
        <v>267</v>
      </c>
      <c r="D346" s="0" t="s">
        <v>45</v>
      </c>
    </row>
    <row r="347" customFormat="false" ht="14.4" hidden="true" customHeight="false" outlineLevel="0" collapsed="false">
      <c r="B347" s="41" t="s">
        <v>46</v>
      </c>
      <c r="C347" s="0" t="s">
        <v>158</v>
      </c>
      <c r="D347" s="0" t="s">
        <v>45</v>
      </c>
    </row>
    <row r="348" customFormat="false" ht="14.4" hidden="true" customHeight="false" outlineLevel="0" collapsed="false">
      <c r="B348" s="41" t="s">
        <v>268</v>
      </c>
      <c r="C348" s="0" t="s">
        <v>269</v>
      </c>
      <c r="D348" s="0" t="s">
        <v>45</v>
      </c>
    </row>
    <row r="349" customFormat="false" ht="14.4" hidden="true" customHeight="false" outlineLevel="0" collapsed="false">
      <c r="B349" s="41" t="s">
        <v>173</v>
      </c>
      <c r="C349" s="0" t="s">
        <v>174</v>
      </c>
      <c r="D349" s="0" t="s">
        <v>45</v>
      </c>
    </row>
    <row r="350" customFormat="false" ht="14.4" hidden="true" customHeight="false" outlineLevel="0" collapsed="false">
      <c r="B350" s="41" t="s">
        <v>270</v>
      </c>
      <c r="C350" s="0" t="s">
        <v>271</v>
      </c>
      <c r="D350" s="0" t="s">
        <v>45</v>
      </c>
    </row>
    <row r="351" customFormat="false" ht="14.4" hidden="true" customHeight="false" outlineLevel="0" collapsed="false">
      <c r="B351" s="41" t="s">
        <v>159</v>
      </c>
      <c r="C351" s="0" t="s">
        <v>160</v>
      </c>
      <c r="D351" s="0" t="s">
        <v>45</v>
      </c>
    </row>
    <row r="352" customFormat="false" ht="14.4" hidden="true" customHeight="false" outlineLevel="0" collapsed="false">
      <c r="B352" s="41" t="s">
        <v>272</v>
      </c>
      <c r="C352" s="0" t="s">
        <v>273</v>
      </c>
      <c r="D352" s="0" t="s">
        <v>45</v>
      </c>
    </row>
    <row r="353" customFormat="false" ht="14.4" hidden="true" customHeight="false" outlineLevel="0" collapsed="false">
      <c r="B353" s="41" t="s">
        <v>175</v>
      </c>
      <c r="C353" s="0" t="s">
        <v>176</v>
      </c>
      <c r="D353" s="0" t="s">
        <v>45</v>
      </c>
    </row>
    <row r="354" customFormat="false" ht="14.4" hidden="true" customHeight="false" outlineLevel="0" collapsed="false">
      <c r="B354" s="41" t="s">
        <v>274</v>
      </c>
      <c r="C354" s="0" t="s">
        <v>275</v>
      </c>
      <c r="D354" s="0" t="s">
        <v>45</v>
      </c>
    </row>
    <row r="355" customFormat="false" ht="14.4" hidden="true" customHeight="false" outlineLevel="0" collapsed="false">
      <c r="B355" s="41" t="s">
        <v>161</v>
      </c>
      <c r="C355" s="0" t="s">
        <v>162</v>
      </c>
      <c r="D355" s="0" t="s">
        <v>45</v>
      </c>
    </row>
    <row r="356" customFormat="false" ht="14.4" hidden="true" customHeight="false" outlineLevel="0" collapsed="false">
      <c r="B356" s="41" t="s">
        <v>177</v>
      </c>
      <c r="C356" s="0" t="s">
        <v>178</v>
      </c>
      <c r="D356" s="0" t="s">
        <v>45</v>
      </c>
    </row>
    <row r="357" customFormat="false" ht="14.4" hidden="true" customHeight="false" outlineLevel="0" collapsed="false">
      <c r="B357" s="41" t="s">
        <v>163</v>
      </c>
      <c r="C357" s="0" t="s">
        <v>164</v>
      </c>
      <c r="D357" s="0" t="s">
        <v>45</v>
      </c>
    </row>
    <row r="358" customFormat="false" ht="14.4" hidden="true" customHeight="false" outlineLevel="0" collapsed="false">
      <c r="B358" s="41" t="s">
        <v>179</v>
      </c>
      <c r="C358" s="0" t="s">
        <v>180</v>
      </c>
      <c r="D358" s="0" t="s">
        <v>45</v>
      </c>
    </row>
    <row r="359" customFormat="false" ht="14.4" hidden="true" customHeight="false" outlineLevel="0" collapsed="false">
      <c r="B359" s="41" t="s">
        <v>69</v>
      </c>
      <c r="C359" s="0" t="s">
        <v>165</v>
      </c>
      <c r="D359" s="0" t="s">
        <v>45</v>
      </c>
    </row>
    <row r="360" customFormat="false" ht="14.4" hidden="true" customHeight="false" outlineLevel="0" collapsed="false">
      <c r="B360" s="41" t="s">
        <v>166</v>
      </c>
      <c r="C360" s="0" t="s">
        <v>167</v>
      </c>
      <c r="D360" s="0" t="s">
        <v>45</v>
      </c>
    </row>
    <row r="361" customFormat="false" ht="14.4" hidden="true" customHeight="false" outlineLevel="0" collapsed="false">
      <c r="B361" s="41" t="s">
        <v>168</v>
      </c>
      <c r="C361" s="0" t="s">
        <v>169</v>
      </c>
      <c r="D361" s="0" t="s">
        <v>45</v>
      </c>
    </row>
    <row r="362" customFormat="false" ht="14.4" hidden="true" customHeight="false" outlineLevel="0" collapsed="false">
      <c r="B362" s="41" t="s">
        <v>71</v>
      </c>
      <c r="C362" s="0" t="s">
        <v>300</v>
      </c>
      <c r="D362" s="0" t="s">
        <v>70</v>
      </c>
    </row>
    <row r="363" customFormat="false" ht="14.4" hidden="true" customHeight="false" outlineLevel="0" collapsed="false">
      <c r="B363" s="41" t="s">
        <v>301</v>
      </c>
      <c r="C363" s="0" t="s">
        <v>302</v>
      </c>
      <c r="D363" s="0" t="s">
        <v>70</v>
      </c>
    </row>
    <row r="364" customFormat="false" ht="14.4" hidden="true" customHeight="false" outlineLevel="0" collapsed="false">
      <c r="B364" s="41" t="s">
        <v>303</v>
      </c>
      <c r="C364" s="0" t="s">
        <v>304</v>
      </c>
      <c r="D364" s="0" t="s">
        <v>70</v>
      </c>
    </row>
    <row r="365" customFormat="false" ht="14.4" hidden="true" customHeight="false" outlineLevel="0" collapsed="false">
      <c r="B365" s="41" t="s">
        <v>305</v>
      </c>
      <c r="C365" s="0" t="s">
        <v>306</v>
      </c>
      <c r="D365" s="0" t="s">
        <v>70</v>
      </c>
    </row>
    <row r="366" customFormat="false" ht="14.4" hidden="true" customHeight="false" outlineLevel="0" collapsed="false">
      <c r="B366" s="66" t="s">
        <v>307</v>
      </c>
      <c r="C366" s="0" t="s">
        <v>308</v>
      </c>
      <c r="D366" s="0" t="s">
        <v>70</v>
      </c>
    </row>
    <row r="367" customFormat="false" ht="14.4" hidden="true" customHeight="false" outlineLevel="0" collapsed="false">
      <c r="B367" s="41" t="s">
        <v>309</v>
      </c>
      <c r="C367" s="0" t="s">
        <v>310</v>
      </c>
      <c r="D367" s="0" t="s">
        <v>70</v>
      </c>
    </row>
    <row r="368" customFormat="false" ht="14.4" hidden="true" customHeight="false" outlineLevel="0" collapsed="false">
      <c r="B368" s="41" t="s">
        <v>232</v>
      </c>
      <c r="C368" s="0" t="s">
        <v>233</v>
      </c>
      <c r="D368" s="0" t="s">
        <v>79</v>
      </c>
    </row>
    <row r="369" customFormat="false" ht="14.4" hidden="true" customHeight="false" outlineLevel="0" collapsed="false">
      <c r="B369" s="41" t="s">
        <v>234</v>
      </c>
      <c r="C369" s="0" t="s">
        <v>235</v>
      </c>
      <c r="D369" s="0" t="s">
        <v>79</v>
      </c>
    </row>
    <row r="370" customFormat="false" ht="14.4" hidden="true" customHeight="false" outlineLevel="0" collapsed="false">
      <c r="B370" s="41" t="s">
        <v>236</v>
      </c>
      <c r="C370" s="0" t="s">
        <v>237</v>
      </c>
      <c r="D370" s="0" t="s">
        <v>79</v>
      </c>
    </row>
    <row r="371" customFormat="false" ht="14.4" hidden="true" customHeight="false" outlineLevel="0" collapsed="false">
      <c r="B371" s="41" t="s">
        <v>238</v>
      </c>
      <c r="C371" s="0" t="s">
        <v>239</v>
      </c>
      <c r="D371" s="0" t="s">
        <v>79</v>
      </c>
    </row>
    <row r="372" customFormat="false" ht="14.4" hidden="true" customHeight="false" outlineLevel="0" collapsed="false">
      <c r="B372" s="41" t="s">
        <v>240</v>
      </c>
      <c r="C372" s="0" t="s">
        <v>241</v>
      </c>
      <c r="D372" s="0" t="s">
        <v>79</v>
      </c>
    </row>
    <row r="373" customFormat="false" ht="14.4" hidden="true" customHeight="false" outlineLevel="0" collapsed="false">
      <c r="B373" s="41" t="s">
        <v>242</v>
      </c>
      <c r="C373" s="0" t="s">
        <v>243</v>
      </c>
      <c r="D373" s="0" t="s">
        <v>79</v>
      </c>
    </row>
    <row r="374" customFormat="false" ht="14.4" hidden="true" customHeight="false" outlineLevel="0" collapsed="false">
      <c r="B374" s="41" t="s">
        <v>80</v>
      </c>
      <c r="C374" s="0" t="s">
        <v>244</v>
      </c>
      <c r="D374" s="0" t="s">
        <v>79</v>
      </c>
    </row>
    <row r="375" customFormat="false" ht="14.4" hidden="true" customHeight="false" outlineLevel="0" collapsed="false">
      <c r="B375" s="41" t="s">
        <v>245</v>
      </c>
      <c r="C375" s="0" t="s">
        <v>246</v>
      </c>
      <c r="D375" s="0" t="s">
        <v>79</v>
      </c>
    </row>
    <row r="376" customFormat="false" ht="14.4" hidden="true" customHeight="false" outlineLevel="0" collapsed="false">
      <c r="B376" s="41" t="s">
        <v>248</v>
      </c>
      <c r="C376" s="0" t="s">
        <v>249</v>
      </c>
      <c r="D376" s="0" t="s">
        <v>247</v>
      </c>
    </row>
    <row r="377" customFormat="false" ht="14.4" hidden="true" customHeight="false" outlineLevel="0" collapsed="false">
      <c r="B377" s="41" t="s">
        <v>250</v>
      </c>
      <c r="C377" s="0" t="s">
        <v>251</v>
      </c>
      <c r="D377" s="0" t="s">
        <v>247</v>
      </c>
    </row>
    <row r="378" customFormat="false" ht="14.4" hidden="true" customHeight="false" outlineLevel="0" collapsed="false">
      <c r="B378" s="41" t="s">
        <v>252</v>
      </c>
      <c r="C378" s="0" t="s">
        <v>253</v>
      </c>
      <c r="D378" s="0" t="s">
        <v>247</v>
      </c>
    </row>
    <row r="379" customFormat="false" ht="14.4" hidden="true" customHeight="false" outlineLevel="0" collapsed="false">
      <c r="B379" s="41" t="s">
        <v>82</v>
      </c>
      <c r="C379" s="0" t="s">
        <v>254</v>
      </c>
      <c r="D379" s="0" t="s">
        <v>247</v>
      </c>
    </row>
    <row r="380" customFormat="false" ht="14.4" hidden="true" customHeight="false" outlineLevel="0" collapsed="false">
      <c r="B380" s="41" t="s">
        <v>65</v>
      </c>
      <c r="C380" s="0" t="s">
        <v>256</v>
      </c>
      <c r="D380" s="0" t="s">
        <v>255</v>
      </c>
    </row>
    <row r="381" customFormat="false" ht="14.4" hidden="true" customHeight="false" outlineLevel="0" collapsed="false">
      <c r="B381" s="41" t="s">
        <v>257</v>
      </c>
      <c r="C381" s="0" t="s">
        <v>258</v>
      </c>
      <c r="D381" s="0" t="s">
        <v>255</v>
      </c>
    </row>
    <row r="382" customFormat="false" ht="14.4" hidden="true" customHeight="false" outlineLevel="0" collapsed="false">
      <c r="B382" s="41" t="s">
        <v>259</v>
      </c>
      <c r="C382" s="0" t="s">
        <v>260</v>
      </c>
      <c r="D382" s="0" t="s">
        <v>255</v>
      </c>
    </row>
    <row r="383" customFormat="false" ht="14.4" hidden="true" customHeight="false" outlineLevel="0" collapsed="false">
      <c r="B383" s="41" t="s">
        <v>50</v>
      </c>
      <c r="C383" s="0" t="s">
        <v>182</v>
      </c>
      <c r="D383" s="0" t="s">
        <v>181</v>
      </c>
    </row>
    <row r="384" customFormat="false" ht="14.4" hidden="true" customHeight="false" outlineLevel="0" collapsed="false">
      <c r="B384" s="41" t="s">
        <v>183</v>
      </c>
      <c r="C384" s="0" t="s">
        <v>184</v>
      </c>
      <c r="D384" s="0" t="s">
        <v>181</v>
      </c>
    </row>
    <row r="385" customFormat="false" ht="14.4" hidden="true" customHeight="false" outlineLevel="0" collapsed="false">
      <c r="B385" s="41" t="s">
        <v>185</v>
      </c>
      <c r="C385" s="0" t="s">
        <v>186</v>
      </c>
      <c r="D385" s="0" t="s">
        <v>181</v>
      </c>
    </row>
    <row r="386" customFormat="false" ht="14.4" hidden="true" customHeight="false" outlineLevel="0" collapsed="false">
      <c r="B386" s="41" t="s">
        <v>187</v>
      </c>
      <c r="C386" s="0" t="s">
        <v>188</v>
      </c>
      <c r="D386" s="0" t="s">
        <v>181</v>
      </c>
    </row>
    <row r="387" customFormat="false" ht="14.4" hidden="true" customHeight="false" outlineLevel="0" collapsed="false">
      <c r="B387" s="41" t="s">
        <v>189</v>
      </c>
      <c r="C387" s="0" t="s">
        <v>190</v>
      </c>
      <c r="D387" s="0" t="s">
        <v>181</v>
      </c>
    </row>
    <row r="388" customFormat="false" ht="14.4" hidden="true" customHeight="false" outlineLevel="0" collapsed="false">
      <c r="B388" s="41" t="s">
        <v>191</v>
      </c>
      <c r="C388" s="0" t="s">
        <v>192</v>
      </c>
      <c r="D388" s="0" t="s">
        <v>181</v>
      </c>
    </row>
    <row r="389" customFormat="false" ht="14.4" hidden="true" customHeight="false" outlineLevel="0" collapsed="false">
      <c r="B389" s="41" t="s">
        <v>193</v>
      </c>
      <c r="C389" s="0" t="s">
        <v>194</v>
      </c>
      <c r="D389" s="0" t="s">
        <v>181</v>
      </c>
    </row>
    <row r="390" customFormat="false" ht="14.4" hidden="true" customHeight="false" outlineLevel="0" collapsed="false">
      <c r="B390" s="41" t="s">
        <v>195</v>
      </c>
      <c r="C390" s="0" t="s">
        <v>196</v>
      </c>
      <c r="D390" s="0" t="s">
        <v>181</v>
      </c>
    </row>
    <row r="391" customFormat="false" ht="14.4" hidden="true" customHeight="false" outlineLevel="0" collapsed="false">
      <c r="B391" s="41" t="s">
        <v>48</v>
      </c>
      <c r="C391" s="0" t="s">
        <v>276</v>
      </c>
      <c r="D391" s="0" t="s">
        <v>47</v>
      </c>
    </row>
    <row r="392" customFormat="false" ht="14.4" hidden="true" customHeight="false" outlineLevel="0" collapsed="false">
      <c r="B392" s="41" t="s">
        <v>277</v>
      </c>
      <c r="C392" s="0" t="s">
        <v>278</v>
      </c>
      <c r="D392" s="0" t="s">
        <v>47</v>
      </c>
    </row>
    <row r="393" customFormat="false" ht="14.4" hidden="true" customHeight="false" outlineLevel="0" collapsed="false">
      <c r="B393" s="41" t="s">
        <v>279</v>
      </c>
      <c r="C393" s="0" t="s">
        <v>280</v>
      </c>
      <c r="D393" s="0" t="s">
        <v>47</v>
      </c>
    </row>
    <row r="394" customFormat="false" ht="14.4" hidden="true" customHeight="false" outlineLevel="0" collapsed="false">
      <c r="B394" s="41" t="s">
        <v>281</v>
      </c>
      <c r="C394" s="0" t="s">
        <v>282</v>
      </c>
      <c r="D394" s="0" t="s">
        <v>47</v>
      </c>
    </row>
    <row r="395" customFormat="false" ht="14.4" hidden="true" customHeight="false" outlineLevel="0" collapsed="false">
      <c r="B395" s="66" t="s">
        <v>283</v>
      </c>
      <c r="C395" s="0" t="s">
        <v>284</v>
      </c>
      <c r="D395" s="0" t="s">
        <v>47</v>
      </c>
    </row>
    <row r="396" customFormat="false" ht="14.4" hidden="true" customHeight="false" outlineLevel="0" collapsed="false">
      <c r="B396" s="41" t="s">
        <v>285</v>
      </c>
      <c r="C396" s="0" t="s">
        <v>286</v>
      </c>
      <c r="D396" s="0" t="s">
        <v>47</v>
      </c>
    </row>
    <row r="397" customFormat="false" ht="14.4" hidden="true" customHeight="false" outlineLevel="0" collapsed="false">
      <c r="B397" s="41" t="s">
        <v>287</v>
      </c>
      <c r="C397" s="0" t="s">
        <v>288</v>
      </c>
      <c r="D397" s="0" t="s">
        <v>47</v>
      </c>
    </row>
    <row r="398" customFormat="false" ht="14.4" hidden="true" customHeight="false" outlineLevel="0" collapsed="false">
      <c r="B398" s="41" t="s">
        <v>156</v>
      </c>
      <c r="C398" s="0" t="s">
        <v>157</v>
      </c>
      <c r="D398" s="0" t="s">
        <v>155</v>
      </c>
    </row>
    <row r="399" customFormat="false" ht="14.4" hidden="true" customHeight="false" outlineLevel="0" collapsed="false">
      <c r="B399" s="41" t="s">
        <v>46</v>
      </c>
      <c r="C399" s="0" t="s">
        <v>158</v>
      </c>
      <c r="D399" s="0" t="s">
        <v>155</v>
      </c>
    </row>
    <row r="400" customFormat="false" ht="14.4" hidden="true" customHeight="false" outlineLevel="0" collapsed="false">
      <c r="B400" s="41" t="s">
        <v>159</v>
      </c>
      <c r="C400" s="0" t="s">
        <v>160</v>
      </c>
      <c r="D400" s="0" t="s">
        <v>155</v>
      </c>
    </row>
    <row r="401" customFormat="false" ht="14.4" hidden="true" customHeight="false" outlineLevel="0" collapsed="false">
      <c r="B401" s="41" t="s">
        <v>161</v>
      </c>
      <c r="C401" s="0" t="s">
        <v>162</v>
      </c>
      <c r="D401" s="0" t="s">
        <v>155</v>
      </c>
    </row>
    <row r="402" customFormat="false" ht="14.4" hidden="true" customHeight="false" outlineLevel="0" collapsed="false">
      <c r="B402" s="41" t="s">
        <v>163</v>
      </c>
      <c r="C402" s="0" t="s">
        <v>164</v>
      </c>
      <c r="D402" s="0" t="s">
        <v>155</v>
      </c>
    </row>
    <row r="403" customFormat="false" ht="14.4" hidden="true" customHeight="false" outlineLevel="0" collapsed="false">
      <c r="B403" s="41" t="s">
        <v>69</v>
      </c>
      <c r="C403" s="0" t="s">
        <v>165</v>
      </c>
      <c r="D403" s="0" t="s">
        <v>155</v>
      </c>
    </row>
    <row r="404" customFormat="false" ht="14.4" hidden="true" customHeight="false" outlineLevel="0" collapsed="false">
      <c r="B404" s="41" t="s">
        <v>166</v>
      </c>
      <c r="C404" s="0" t="s">
        <v>167</v>
      </c>
      <c r="D404" s="0" t="s">
        <v>155</v>
      </c>
    </row>
    <row r="405" customFormat="false" ht="14.4" hidden="true" customHeight="false" outlineLevel="0" collapsed="false">
      <c r="B405" s="41" t="s">
        <v>168</v>
      </c>
      <c r="C405" s="0" t="s">
        <v>169</v>
      </c>
      <c r="D405" s="0" t="s">
        <v>155</v>
      </c>
    </row>
    <row r="406" customFormat="false" ht="14.4" hidden="true" customHeight="false" outlineLevel="0" collapsed="false">
      <c r="B406" s="99" t="s">
        <v>289</v>
      </c>
      <c r="C406" s="0" t="s">
        <v>290</v>
      </c>
      <c r="D406" s="0" t="s">
        <v>39</v>
      </c>
    </row>
    <row r="407" customFormat="false" ht="14.4" hidden="true" customHeight="false" outlineLevel="0" collapsed="false">
      <c r="B407" s="41" t="s">
        <v>291</v>
      </c>
      <c r="C407" s="0" t="s">
        <v>292</v>
      </c>
      <c r="D407" s="0" t="s">
        <v>39</v>
      </c>
    </row>
    <row r="408" customFormat="false" ht="14.4" hidden="true" customHeight="false" outlineLevel="0" collapsed="false">
      <c r="B408" s="41" t="s">
        <v>293</v>
      </c>
      <c r="C408" s="0" t="s">
        <v>294</v>
      </c>
      <c r="D408" s="0" t="s">
        <v>39</v>
      </c>
    </row>
    <row r="409" customFormat="false" ht="14.4" hidden="true" customHeight="false" outlineLevel="0" collapsed="false">
      <c r="B409" s="41" t="s">
        <v>295</v>
      </c>
      <c r="C409" s="0" t="s">
        <v>296</v>
      </c>
      <c r="D409" s="0" t="s">
        <v>39</v>
      </c>
    </row>
    <row r="410" customFormat="false" ht="14.4" hidden="true" customHeight="false" outlineLevel="0" collapsed="false">
      <c r="B410" s="41" t="s">
        <v>40</v>
      </c>
      <c r="C410" s="0" t="s">
        <v>297</v>
      </c>
      <c r="D410" s="0" t="s">
        <v>39</v>
      </c>
    </row>
    <row r="411" customFormat="false" ht="14.4" hidden="true" customHeight="false" outlineLevel="0" collapsed="false">
      <c r="B411" s="66" t="s">
        <v>298</v>
      </c>
      <c r="C411" s="0" t="s">
        <v>299</v>
      </c>
      <c r="D411" s="0" t="s">
        <v>39</v>
      </c>
    </row>
    <row r="412" customFormat="false" ht="14.4" hidden="true" customHeight="false" outlineLevel="0" collapsed="false">
      <c r="B412" s="99" t="s">
        <v>289</v>
      </c>
      <c r="C412" s="0" t="s">
        <v>290</v>
      </c>
      <c r="D412" s="0" t="s">
        <v>311</v>
      </c>
    </row>
    <row r="413" customFormat="false" ht="14.4" hidden="true" customHeight="false" outlineLevel="0" collapsed="false">
      <c r="B413" s="41" t="s">
        <v>71</v>
      </c>
      <c r="C413" s="0" t="s">
        <v>300</v>
      </c>
      <c r="D413" s="0" t="s">
        <v>311</v>
      </c>
    </row>
    <row r="414" customFormat="false" ht="14.4" hidden="true" customHeight="false" outlineLevel="0" collapsed="false">
      <c r="B414" s="41" t="s">
        <v>291</v>
      </c>
      <c r="C414" s="0" t="s">
        <v>292</v>
      </c>
      <c r="D414" s="0" t="s">
        <v>311</v>
      </c>
    </row>
    <row r="415" customFormat="false" ht="14.4" hidden="true" customHeight="false" outlineLevel="0" collapsed="false">
      <c r="B415" s="41" t="s">
        <v>301</v>
      </c>
      <c r="C415" s="0" t="s">
        <v>302</v>
      </c>
      <c r="D415" s="0" t="s">
        <v>311</v>
      </c>
    </row>
    <row r="416" customFormat="false" ht="14.4" hidden="true" customHeight="false" outlineLevel="0" collapsed="false">
      <c r="B416" s="41" t="s">
        <v>293</v>
      </c>
      <c r="C416" s="0" t="s">
        <v>294</v>
      </c>
      <c r="D416" s="0" t="s">
        <v>311</v>
      </c>
    </row>
    <row r="417" customFormat="false" ht="14.4" hidden="true" customHeight="false" outlineLevel="0" collapsed="false">
      <c r="B417" s="41" t="s">
        <v>303</v>
      </c>
      <c r="C417" s="0" t="s">
        <v>304</v>
      </c>
      <c r="D417" s="0" t="s">
        <v>311</v>
      </c>
    </row>
    <row r="418" customFormat="false" ht="14.4" hidden="true" customHeight="false" outlineLevel="0" collapsed="false">
      <c r="B418" s="41" t="s">
        <v>295</v>
      </c>
      <c r="C418" s="0" t="s">
        <v>296</v>
      </c>
      <c r="D418" s="0" t="s">
        <v>311</v>
      </c>
    </row>
    <row r="419" customFormat="false" ht="14.4" hidden="true" customHeight="false" outlineLevel="0" collapsed="false">
      <c r="B419" s="41" t="s">
        <v>305</v>
      </c>
      <c r="C419" s="0" t="s">
        <v>306</v>
      </c>
      <c r="D419" s="0" t="s">
        <v>311</v>
      </c>
    </row>
    <row r="420" customFormat="false" ht="14.4" hidden="true" customHeight="false" outlineLevel="0" collapsed="false">
      <c r="B420" s="41" t="s">
        <v>40</v>
      </c>
      <c r="C420" s="0" t="s">
        <v>297</v>
      </c>
      <c r="D420" s="0" t="s">
        <v>311</v>
      </c>
    </row>
    <row r="421" customFormat="false" ht="14.4" hidden="true" customHeight="false" outlineLevel="0" collapsed="false">
      <c r="B421" s="66" t="s">
        <v>307</v>
      </c>
      <c r="C421" s="0" t="s">
        <v>308</v>
      </c>
      <c r="D421" s="0" t="s">
        <v>311</v>
      </c>
    </row>
    <row r="422" customFormat="false" ht="14.4" hidden="true" customHeight="false" outlineLevel="0" collapsed="false">
      <c r="B422" s="66" t="s">
        <v>298</v>
      </c>
      <c r="C422" s="0" t="s">
        <v>299</v>
      </c>
      <c r="D422" s="0" t="s">
        <v>311</v>
      </c>
    </row>
    <row r="423" customFormat="false" ht="14.4" hidden="true" customHeight="false" outlineLevel="0" collapsed="false">
      <c r="B423" s="41" t="s">
        <v>309</v>
      </c>
      <c r="C423" s="0" t="s">
        <v>310</v>
      </c>
      <c r="D423" s="0" t="s">
        <v>311</v>
      </c>
    </row>
    <row r="424" customFormat="false" ht="14.4" hidden="true" customHeight="false" outlineLevel="0" collapsed="false">
      <c r="B424" s="41" t="s">
        <v>62</v>
      </c>
      <c r="C424" s="0" t="s">
        <v>220</v>
      </c>
      <c r="D424" s="0" t="s">
        <v>61</v>
      </c>
    </row>
    <row r="425" customFormat="false" ht="14.4" hidden="true" customHeight="false" outlineLevel="0" collapsed="false">
      <c r="B425" s="41" t="s">
        <v>221</v>
      </c>
      <c r="C425" s="0" t="s">
        <v>222</v>
      </c>
      <c r="D425" s="0" t="s">
        <v>61</v>
      </c>
    </row>
    <row r="426" customFormat="false" ht="14.4" hidden="true" customHeight="false" outlineLevel="0" collapsed="false">
      <c r="B426" s="41" t="s">
        <v>223</v>
      </c>
      <c r="C426" s="0" t="s">
        <v>224</v>
      </c>
      <c r="D426" s="0" t="s">
        <v>61</v>
      </c>
    </row>
    <row r="427" customFormat="false" ht="14.4" hidden="true" customHeight="false" outlineLevel="0" collapsed="false">
      <c r="B427" s="41" t="s">
        <v>63</v>
      </c>
      <c r="C427" s="0" t="s">
        <v>225</v>
      </c>
      <c r="D427" s="0" t="s">
        <v>61</v>
      </c>
    </row>
    <row r="428" customFormat="false" ht="14.4" hidden="true" customHeight="false" outlineLevel="0" collapsed="false">
      <c r="B428" s="41" t="s">
        <v>226</v>
      </c>
      <c r="C428" s="0" t="s">
        <v>227</v>
      </c>
      <c r="D428" s="0" t="s">
        <v>61</v>
      </c>
    </row>
    <row r="429" customFormat="false" ht="14.4" hidden="true" customHeight="false" outlineLevel="0" collapsed="false">
      <c r="B429" s="41" t="s">
        <v>228</v>
      </c>
      <c r="C429" s="0" t="s">
        <v>229</v>
      </c>
      <c r="D429" s="0" t="s">
        <v>61</v>
      </c>
    </row>
    <row r="430" customFormat="false" ht="14.4" hidden="true" customHeight="false" outlineLevel="0" collapsed="false">
      <c r="B430" s="41" t="s">
        <v>230</v>
      </c>
      <c r="C430" s="0" t="s">
        <v>231</v>
      </c>
      <c r="D430" s="0" t="s">
        <v>61</v>
      </c>
    </row>
    <row r="431" customFormat="false" ht="14.4" hidden="true" customHeight="false" outlineLevel="0" collapsed="false">
      <c r="B431" s="41" t="s">
        <v>132</v>
      </c>
      <c r="C431" s="0" t="s">
        <v>133</v>
      </c>
      <c r="D431" s="0" t="s">
        <v>131</v>
      </c>
    </row>
    <row r="432" customFormat="false" ht="14.4" hidden="true" customHeight="false" outlineLevel="0" collapsed="false">
      <c r="B432" s="41" t="s">
        <v>134</v>
      </c>
      <c r="C432" s="0" t="s">
        <v>135</v>
      </c>
      <c r="D432" s="0" t="s">
        <v>131</v>
      </c>
    </row>
    <row r="433" customFormat="false" ht="14.4" hidden="true" customHeight="false" outlineLevel="0" collapsed="false">
      <c r="B433" s="41" t="s">
        <v>76</v>
      </c>
      <c r="C433" s="0" t="s">
        <v>136</v>
      </c>
      <c r="D433" s="0" t="s">
        <v>131</v>
      </c>
    </row>
    <row r="434" customFormat="false" ht="14.4" hidden="true" customHeight="false" outlineLevel="0" collapsed="false">
      <c r="B434" s="41" t="s">
        <v>137</v>
      </c>
      <c r="C434" s="0" t="s">
        <v>138</v>
      </c>
      <c r="D434" s="0" t="s">
        <v>131</v>
      </c>
    </row>
    <row r="435" customFormat="false" ht="14.4" hidden="true" customHeight="false" outlineLevel="0" collapsed="false">
      <c r="B435" s="41" t="s">
        <v>132</v>
      </c>
      <c r="C435" s="0" t="s">
        <v>133</v>
      </c>
      <c r="D435" s="0" t="s">
        <v>312</v>
      </c>
    </row>
    <row r="436" customFormat="false" ht="14.4" hidden="true" customHeight="false" outlineLevel="0" collapsed="false">
      <c r="B436" s="41" t="s">
        <v>139</v>
      </c>
      <c r="C436" s="0" t="s">
        <v>140</v>
      </c>
      <c r="D436" s="0" t="s">
        <v>312</v>
      </c>
    </row>
    <row r="437" customFormat="false" ht="14.4" hidden="true" customHeight="false" outlineLevel="0" collapsed="false">
      <c r="B437" s="41" t="s">
        <v>134</v>
      </c>
      <c r="C437" s="0" t="s">
        <v>135</v>
      </c>
      <c r="D437" s="0" t="s">
        <v>312</v>
      </c>
    </row>
    <row r="438" customFormat="false" ht="14.4" hidden="true" customHeight="false" outlineLevel="0" collapsed="false">
      <c r="B438" s="41" t="s">
        <v>141</v>
      </c>
      <c r="C438" s="0" t="s">
        <v>142</v>
      </c>
      <c r="D438" s="0" t="s">
        <v>312</v>
      </c>
    </row>
    <row r="439" customFormat="false" ht="14.4" hidden="true" customHeight="false" outlineLevel="0" collapsed="false">
      <c r="B439" s="41" t="s">
        <v>76</v>
      </c>
      <c r="C439" s="0" t="s">
        <v>136</v>
      </c>
      <c r="D439" s="0" t="s">
        <v>312</v>
      </c>
    </row>
    <row r="440" customFormat="false" ht="14.4" hidden="true" customHeight="false" outlineLevel="0" collapsed="false">
      <c r="B440" s="41" t="s">
        <v>143</v>
      </c>
      <c r="C440" s="0" t="s">
        <v>144</v>
      </c>
      <c r="D440" s="0" t="s">
        <v>312</v>
      </c>
    </row>
    <row r="441" customFormat="false" ht="14.4" hidden="true" customHeight="false" outlineLevel="0" collapsed="false">
      <c r="B441" s="41" t="s">
        <v>137</v>
      </c>
      <c r="C441" s="0" t="s">
        <v>138</v>
      </c>
      <c r="D441" s="0" t="s">
        <v>312</v>
      </c>
    </row>
    <row r="442" customFormat="false" ht="14.4" hidden="true" customHeight="false" outlineLevel="0" collapsed="false">
      <c r="B442" s="41" t="s">
        <v>54</v>
      </c>
      <c r="C442" s="0" t="s">
        <v>145</v>
      </c>
      <c r="D442" s="0" t="s">
        <v>312</v>
      </c>
    </row>
    <row r="443" customFormat="false" ht="14.4" hidden="true" customHeight="false" outlineLevel="0" collapsed="false">
      <c r="B443" s="41" t="s">
        <v>146</v>
      </c>
      <c r="C443" s="0" t="s">
        <v>147</v>
      </c>
      <c r="D443" s="0" t="s">
        <v>312</v>
      </c>
    </row>
    <row r="444" customFormat="false" ht="14.4" hidden="true" customHeight="false" outlineLevel="0" collapsed="false">
      <c r="B444" s="41" t="s">
        <v>139</v>
      </c>
      <c r="C444" s="0" t="s">
        <v>140</v>
      </c>
      <c r="D444" s="104" t="s">
        <v>53</v>
      </c>
    </row>
    <row r="445" customFormat="false" ht="14.4" hidden="true" customHeight="false" outlineLevel="0" collapsed="false">
      <c r="B445" s="41" t="s">
        <v>141</v>
      </c>
      <c r="C445" s="0" t="s">
        <v>142</v>
      </c>
      <c r="D445" s="104" t="s">
        <v>53</v>
      </c>
    </row>
    <row r="446" customFormat="false" ht="14.4" hidden="true" customHeight="false" outlineLevel="0" collapsed="false">
      <c r="B446" s="41" t="s">
        <v>143</v>
      </c>
      <c r="C446" s="0" t="s">
        <v>144</v>
      </c>
      <c r="D446" s="104" t="s">
        <v>53</v>
      </c>
    </row>
    <row r="447" customFormat="false" ht="14.4" hidden="true" customHeight="false" outlineLevel="0" collapsed="false">
      <c r="B447" s="41" t="s">
        <v>54</v>
      </c>
      <c r="C447" s="0" t="s">
        <v>145</v>
      </c>
      <c r="D447" s="104" t="s">
        <v>53</v>
      </c>
    </row>
    <row r="448" customFormat="false" ht="14.4" hidden="true" customHeight="false" outlineLevel="0" collapsed="false">
      <c r="B448" s="41" t="s">
        <v>146</v>
      </c>
      <c r="C448" s="0" t="s">
        <v>147</v>
      </c>
      <c r="D448" s="104" t="s">
        <v>53</v>
      </c>
    </row>
    <row r="449" customFormat="false" ht="14.4" hidden="true" customHeight="false" outlineLevel="0" collapsed="false">
      <c r="B449" s="41" t="s">
        <v>148</v>
      </c>
      <c r="C449" s="0" t="s">
        <v>149</v>
      </c>
      <c r="D449" s="0" t="s">
        <v>85</v>
      </c>
    </row>
    <row r="450" customFormat="false" ht="14.4" hidden="true" customHeight="false" outlineLevel="0" collapsed="false">
      <c r="B450" s="41" t="s">
        <v>150</v>
      </c>
      <c r="C450" s="0" t="s">
        <v>151</v>
      </c>
      <c r="D450" s="0" t="s">
        <v>85</v>
      </c>
    </row>
    <row r="451" customFormat="false" ht="14.4" hidden="true" customHeight="false" outlineLevel="0" collapsed="false">
      <c r="B451" s="41" t="s">
        <v>86</v>
      </c>
      <c r="C451" s="0" t="s">
        <v>152</v>
      </c>
      <c r="D451" s="0" t="s">
        <v>85</v>
      </c>
    </row>
    <row r="452" customFormat="false" ht="14.4" hidden="true" customHeight="false" outlineLevel="0" collapsed="false">
      <c r="B452" s="41" t="s">
        <v>153</v>
      </c>
      <c r="C452" s="0" t="s">
        <v>154</v>
      </c>
      <c r="D452" s="0" t="s">
        <v>85</v>
      </c>
    </row>
    <row r="453" customFormat="false" ht="14.4" hidden="true" customHeight="false" outlineLevel="0" collapsed="false">
      <c r="B453" s="41" t="s">
        <v>156</v>
      </c>
      <c r="C453" s="0" t="s">
        <v>157</v>
      </c>
      <c r="D453" s="0" t="s">
        <v>68</v>
      </c>
    </row>
    <row r="454" customFormat="false" ht="14.4" hidden="true" customHeight="false" outlineLevel="0" collapsed="false">
      <c r="B454" s="41" t="s">
        <v>171</v>
      </c>
      <c r="C454" s="0" t="s">
        <v>172</v>
      </c>
      <c r="D454" s="0" t="s">
        <v>68</v>
      </c>
    </row>
    <row r="455" customFormat="false" ht="14.4" hidden="true" customHeight="false" outlineLevel="0" collapsed="false">
      <c r="B455" s="41" t="s">
        <v>46</v>
      </c>
      <c r="C455" s="0" t="s">
        <v>158</v>
      </c>
      <c r="D455" s="0" t="s">
        <v>68</v>
      </c>
    </row>
    <row r="456" customFormat="false" ht="14.4" hidden="true" customHeight="false" outlineLevel="0" collapsed="false">
      <c r="B456" s="41" t="s">
        <v>173</v>
      </c>
      <c r="C456" s="0" t="s">
        <v>174</v>
      </c>
      <c r="D456" s="0" t="s">
        <v>68</v>
      </c>
    </row>
    <row r="457" customFormat="false" ht="14.4" hidden="true" customHeight="false" outlineLevel="0" collapsed="false">
      <c r="B457" s="41" t="s">
        <v>159</v>
      </c>
      <c r="C457" s="0" t="s">
        <v>160</v>
      </c>
      <c r="D457" s="0" t="s">
        <v>68</v>
      </c>
    </row>
    <row r="458" customFormat="false" ht="14.4" hidden="true" customHeight="false" outlineLevel="0" collapsed="false">
      <c r="B458" s="41" t="s">
        <v>175</v>
      </c>
      <c r="C458" s="0" t="s">
        <v>176</v>
      </c>
      <c r="D458" s="0" t="s">
        <v>68</v>
      </c>
    </row>
    <row r="459" customFormat="false" ht="14.4" hidden="true" customHeight="false" outlineLevel="0" collapsed="false">
      <c r="B459" s="41" t="s">
        <v>161</v>
      </c>
      <c r="C459" s="0" t="s">
        <v>162</v>
      </c>
      <c r="D459" s="0" t="s">
        <v>68</v>
      </c>
    </row>
    <row r="460" customFormat="false" ht="14.4" hidden="true" customHeight="false" outlineLevel="0" collapsed="false">
      <c r="B460" s="41" t="s">
        <v>177</v>
      </c>
      <c r="C460" s="0" t="s">
        <v>178</v>
      </c>
      <c r="D460" s="0" t="s">
        <v>68</v>
      </c>
    </row>
    <row r="461" customFormat="false" ht="14.4" hidden="true" customHeight="false" outlineLevel="0" collapsed="false">
      <c r="B461" s="41" t="s">
        <v>163</v>
      </c>
      <c r="C461" s="0" t="s">
        <v>164</v>
      </c>
      <c r="D461" s="0" t="s">
        <v>68</v>
      </c>
    </row>
    <row r="462" customFormat="false" ht="14.4" hidden="true" customHeight="false" outlineLevel="0" collapsed="false">
      <c r="B462" s="41" t="s">
        <v>179</v>
      </c>
      <c r="C462" s="0" t="s">
        <v>180</v>
      </c>
      <c r="D462" s="0" t="s">
        <v>68</v>
      </c>
    </row>
    <row r="463" customFormat="false" ht="14.4" hidden="true" customHeight="false" outlineLevel="0" collapsed="false">
      <c r="B463" s="41" t="s">
        <v>69</v>
      </c>
      <c r="C463" s="0" t="s">
        <v>165</v>
      </c>
      <c r="D463" s="0" t="s">
        <v>68</v>
      </c>
    </row>
    <row r="464" customFormat="false" ht="14.4" hidden="true" customHeight="false" outlineLevel="0" collapsed="false">
      <c r="B464" s="41" t="s">
        <v>166</v>
      </c>
      <c r="C464" s="0" t="s">
        <v>167</v>
      </c>
      <c r="D464" s="0" t="s">
        <v>68</v>
      </c>
    </row>
    <row r="465" customFormat="false" ht="14.4" hidden="true" customHeight="false" outlineLevel="0" collapsed="false">
      <c r="B465" s="41" t="s">
        <v>168</v>
      </c>
      <c r="C465" s="0" t="s">
        <v>169</v>
      </c>
      <c r="D465" s="0" t="s">
        <v>68</v>
      </c>
    </row>
    <row r="466" customFormat="false" ht="14.4" hidden="true" customHeight="false" outlineLevel="0" collapsed="false">
      <c r="B466" s="41" t="s">
        <v>198</v>
      </c>
      <c r="C466" s="0" t="s">
        <v>199</v>
      </c>
      <c r="D466" s="0" t="s">
        <v>197</v>
      </c>
    </row>
    <row r="467" customFormat="false" ht="14.4" hidden="true" customHeight="false" outlineLevel="0" collapsed="false">
      <c r="B467" s="41" t="s">
        <v>200</v>
      </c>
      <c r="C467" s="0" t="s">
        <v>201</v>
      </c>
      <c r="D467" s="0" t="s">
        <v>197</v>
      </c>
    </row>
    <row r="468" customFormat="false" ht="14.4" hidden="true" customHeight="false" outlineLevel="0" collapsed="false">
      <c r="B468" s="41" t="s">
        <v>202</v>
      </c>
      <c r="C468" s="0" t="s">
        <v>203</v>
      </c>
      <c r="D468" s="0" t="s">
        <v>197</v>
      </c>
    </row>
    <row r="469" customFormat="false" ht="14.4" hidden="true" customHeight="false" outlineLevel="0" collapsed="false">
      <c r="B469" s="41" t="s">
        <v>204</v>
      </c>
      <c r="C469" s="0" t="s">
        <v>205</v>
      </c>
      <c r="D469" s="0" t="s">
        <v>197</v>
      </c>
    </row>
    <row r="470" customFormat="false" ht="14.4" hidden="true" customHeight="false" outlineLevel="0" collapsed="false">
      <c r="B470" s="41" t="s">
        <v>206</v>
      </c>
      <c r="C470" s="0" t="s">
        <v>207</v>
      </c>
      <c r="D470" s="0" t="s">
        <v>197</v>
      </c>
    </row>
    <row r="471" customFormat="false" ht="14.4" hidden="true" customHeight="false" outlineLevel="0" collapsed="false">
      <c r="B471" s="99" t="s">
        <v>208</v>
      </c>
      <c r="C471" s="0" t="s">
        <v>209</v>
      </c>
      <c r="D471" s="0" t="s">
        <v>197</v>
      </c>
    </row>
    <row r="472" customFormat="false" ht="14.4" hidden="true" customHeight="false" outlineLevel="0" collapsed="false">
      <c r="B472" s="99" t="s">
        <v>210</v>
      </c>
      <c r="C472" s="0" t="s">
        <v>211</v>
      </c>
      <c r="D472" s="0" t="s">
        <v>197</v>
      </c>
    </row>
    <row r="473" customFormat="false" ht="14.4" hidden="true" customHeight="false" outlineLevel="0" collapsed="false">
      <c r="B473" s="41" t="s">
        <v>52</v>
      </c>
      <c r="C473" s="0" t="s">
        <v>212</v>
      </c>
      <c r="D473" s="0" t="s">
        <v>197</v>
      </c>
    </row>
    <row r="474" customFormat="false" ht="14.4" hidden="true" customHeight="false" outlineLevel="0" collapsed="false">
      <c r="B474" s="99" t="s">
        <v>213</v>
      </c>
      <c r="C474" s="0" t="s">
        <v>214</v>
      </c>
      <c r="D474" s="0" t="s">
        <v>197</v>
      </c>
    </row>
    <row r="475" customFormat="false" ht="14.4" hidden="true" customHeight="false" outlineLevel="0" collapsed="false">
      <c r="B475" s="99" t="s">
        <v>74</v>
      </c>
      <c r="C475" s="0" t="s">
        <v>215</v>
      </c>
      <c r="D475" s="0" t="s">
        <v>197</v>
      </c>
    </row>
    <row r="476" customFormat="false" ht="14.4" hidden="true" customHeight="false" outlineLevel="0" collapsed="false">
      <c r="B476" s="41" t="s">
        <v>216</v>
      </c>
      <c r="C476" s="0" t="s">
        <v>217</v>
      </c>
      <c r="D476" s="0" t="s">
        <v>197</v>
      </c>
    </row>
    <row r="477" customFormat="false" ht="14.4" hidden="true" customHeight="false" outlineLevel="0" collapsed="false">
      <c r="B477" s="99" t="s">
        <v>218</v>
      </c>
      <c r="C477" s="0" t="s">
        <v>219</v>
      </c>
      <c r="D477" s="0" t="s">
        <v>197</v>
      </c>
    </row>
    <row r="478" customFormat="false" ht="14.4" hidden="true" customHeight="false" outlineLevel="0" collapsed="false">
      <c r="B478" s="41" t="s">
        <v>171</v>
      </c>
      <c r="C478" s="0" t="s">
        <v>172</v>
      </c>
      <c r="D478" s="0" t="s">
        <v>170</v>
      </c>
    </row>
    <row r="479" customFormat="false" ht="14.4" hidden="true" customHeight="false" outlineLevel="0" collapsed="false">
      <c r="B479" s="41" t="s">
        <v>173</v>
      </c>
      <c r="C479" s="0" t="s">
        <v>174</v>
      </c>
      <c r="D479" s="0" t="s">
        <v>170</v>
      </c>
    </row>
    <row r="480" customFormat="false" ht="14.4" hidden="true" customHeight="false" outlineLevel="0" collapsed="false">
      <c r="B480" s="41" t="s">
        <v>175</v>
      </c>
      <c r="C480" s="0" t="s">
        <v>176</v>
      </c>
      <c r="D480" s="0" t="s">
        <v>170</v>
      </c>
    </row>
    <row r="481" customFormat="false" ht="14.4" hidden="true" customHeight="false" outlineLevel="0" collapsed="false">
      <c r="B481" s="41" t="s">
        <v>177</v>
      </c>
      <c r="C481" s="0" t="s">
        <v>178</v>
      </c>
      <c r="D481" s="0" t="s">
        <v>170</v>
      </c>
    </row>
    <row r="482" customFormat="false" ht="14.4" hidden="true" customHeight="false" outlineLevel="0" collapsed="false">
      <c r="B482" s="41" t="s">
        <v>179</v>
      </c>
      <c r="C482" s="0" t="s">
        <v>180</v>
      </c>
      <c r="D482" s="0" t="s">
        <v>170</v>
      </c>
    </row>
  </sheetData>
  <mergeCells count="28">
    <mergeCell ref="H10:M10"/>
    <mergeCell ref="N10:S10"/>
    <mergeCell ref="T10:Y10"/>
    <mergeCell ref="Z10:AE10"/>
    <mergeCell ref="AF10:AK10"/>
    <mergeCell ref="AL10:AQ10"/>
    <mergeCell ref="AR10:AU10"/>
    <mergeCell ref="H20:M20"/>
    <mergeCell ref="N20:S20"/>
    <mergeCell ref="T20:Y20"/>
    <mergeCell ref="Z20:AE20"/>
    <mergeCell ref="AF20:AK20"/>
    <mergeCell ref="AL20:AQ20"/>
    <mergeCell ref="AR20:AU20"/>
    <mergeCell ref="H29:M29"/>
    <mergeCell ref="N29:S29"/>
    <mergeCell ref="T29:Y29"/>
    <mergeCell ref="Z29:AE29"/>
    <mergeCell ref="AF29:AK29"/>
    <mergeCell ref="AL29:AQ29"/>
    <mergeCell ref="AR29:AU29"/>
    <mergeCell ref="H39:M39"/>
    <mergeCell ref="N39:S39"/>
    <mergeCell ref="T39:Y39"/>
    <mergeCell ref="Z39:AE39"/>
    <mergeCell ref="AF39:AK39"/>
    <mergeCell ref="AL39:AQ39"/>
    <mergeCell ref="AR39:AU39"/>
  </mergeCells>
  <dataValidations count="2">
    <dataValidation allowBlank="true" operator="between" showDropDown="false" showErrorMessage="true" showInputMessage="true" sqref="C13:C19 C23:C28 C32:C38 C42:C47" type="list">
      <formula1>INDIRECT(D13)</formula1>
      <formula2>0</formula2>
    </dataValidation>
    <dataValidation allowBlank="true" operator="between" showDropDown="false" showErrorMessage="true" showInputMessage="true" sqref="S13:T19 Y13:Y19 AE13:AE19 AK13:AK19 AQ13:AQ19 S23:T28 Y23:Y28 AE23:AE28 AK23:AK28 AQ23:AQ28 M32:M38 S32:T38 Y32:Y38 AE32:AE38 AK32:AK38 M42:M47 S42:T47 Y42:Y47 AE42:AE47 AK42:AK47" type="list">
      <formula1>$C$68:$C$72</formula1>
      <formula2>0</formula2>
    </dataValidation>
  </dataValidations>
  <hyperlinks>
    <hyperlink ref="B76" r:id="rId1" display="Machine Crunch"/>
    <hyperlink ref="B77" r:id="rId2" display="Slant Board Sit-Up"/>
    <hyperlink ref="B78" r:id="rId3" display="Reaching Sit-Up"/>
    <hyperlink ref="B79" r:id="rId4" display="V-Up"/>
    <hyperlink ref="B80" r:id="rId5" display="Modified Candlestick"/>
    <hyperlink ref="C80" r:id="rId6" display="https://youtu.be/sPIBL43Ds48"/>
    <hyperlink ref="B81" r:id="rId7" display="Hanging Knee Raise"/>
    <hyperlink ref="B82" r:id="rId8" display="Hanging Strait Leg Raise"/>
    <hyperlink ref="B85" r:id="rId9" display="Calves on Calf Machine"/>
    <hyperlink ref="B86" r:id="rId10" display="Stair Calves"/>
    <hyperlink ref="B87" r:id="rId11" display="Calves on Leg Press"/>
    <hyperlink ref="B88" r:id="rId12" display="Smith Machine Calves"/>
    <hyperlink ref="B91" r:id="rId13" display="Barbell Curl"/>
    <hyperlink ref="B92" r:id="rId14" display="EZ Curl "/>
    <hyperlink ref="B93" r:id="rId15" display="Close Grip Barbell Curl"/>
    <hyperlink ref="B94" r:id="rId16" display="2-Arm Dumbbell Curl"/>
    <hyperlink ref="B95" r:id="rId17" display="Cable Curl"/>
    <hyperlink ref="B96" r:id="rId18" display="Incline Dumbbell Curl"/>
    <hyperlink ref="B97" r:id="rId19" display="Dummbell Twist Curl"/>
    <hyperlink ref="B98" r:id="rId20" display="Hammer Curl"/>
    <hyperlink ref="B99" r:id="rId21" display="Dumbbell Spider Curl"/>
    <hyperlink ref="C99" r:id="rId22" display="https://youtu.be/y_GK6fn7raU"/>
    <hyperlink ref="B100" r:id="rId23" display="Alternating Dumbbell Curl"/>
    <hyperlink ref="B101" r:id="rId24" display="Cable Rope Twist Curl"/>
    <hyperlink ref="B104" r:id="rId25" display="Barbell Facepull"/>
    <hyperlink ref="B105" r:id="rId26" display="Dumbbell Facepull"/>
    <hyperlink ref="B106" r:id="rId27" display="Cable Facepull"/>
    <hyperlink ref="B107" r:id="rId28" display="Dumbbell Rear Lateral Raise"/>
    <hyperlink ref="B110" r:id="rId29" display="Barbell Upright Row"/>
    <hyperlink ref="B111" r:id="rId30" display="Dumbbell Upright Row"/>
    <hyperlink ref="B112" r:id="rId31" display="Cable Upright Row"/>
    <hyperlink ref="B113" r:id="rId32" display="Dumbbell Side Lateral Raise"/>
    <hyperlink ref="B114" r:id="rId33" display="Thumbs Down Lateral Raise"/>
    <hyperlink ref="B117" r:id="rId34" display="Barbell Shrug"/>
    <hyperlink ref="B118" r:id="rId35" display="Barbell Bent Over Shrug"/>
    <hyperlink ref="B119" r:id="rId36" display="Dumbbell Shrug"/>
    <hyperlink ref="B120" r:id="rId37" display="Dumbbell Bent Over Shrug"/>
    <hyperlink ref="B123" r:id="rId38" display="Skullcrusher"/>
    <hyperlink ref="B124" r:id="rId39" display="JM Press"/>
    <hyperlink ref="B125" r:id="rId40" display="Dips"/>
    <hyperlink ref="B126" r:id="rId41" display="Assisted Dips"/>
    <hyperlink ref="B127" r:id="rId42" display="Dumbbell Skullcrusher"/>
    <hyperlink ref="B128" r:id="rId43" display="Cable Tricep Pushdown"/>
    <hyperlink ref="B129" r:id="rId44" display="Cable Rope Pushdown"/>
    <hyperlink ref="B130" r:id="rId45" display="Bar Skull"/>
    <hyperlink ref="B133" r:id="rId46" display="EZ Bar Overhead Tricep Extension"/>
    <hyperlink ref="B134" r:id="rId47" display="Barbell Overhead Tricep Extension"/>
    <hyperlink ref="B135" r:id="rId48" display="Seated EZ Bar Overhead Tricep Extension"/>
    <hyperlink ref="B136" r:id="rId49" display="Seated Barbell Overhead Tricep Extension"/>
    <hyperlink ref="B137" r:id="rId50" display="Cable Overhead Tricep Extension"/>
    <hyperlink ref="B140" r:id="rId51" display="Barbell Bent Over Row"/>
    <hyperlink ref="B141" r:id="rId52" display="Underhand EZ Bar Row"/>
    <hyperlink ref="B142" r:id="rId53" display="Row to Chest"/>
    <hyperlink ref="B143" r:id="rId54" display="1-Arm Dumbbell Row"/>
    <hyperlink ref="B144" r:id="rId55" display="Chest Supported Row"/>
    <hyperlink ref="B145" r:id="rId56" display="Row Machine"/>
    <hyperlink ref="B146" r:id="rId57" display="2-Arm Dumbbell Row"/>
    <hyperlink ref="B147" r:id="rId58" display="Cable Row"/>
    <hyperlink ref="B150" r:id="rId59" display="Overhand Pullup"/>
    <hyperlink ref="B151" r:id="rId60" display="Parallel Pullup"/>
    <hyperlink ref="B152" r:id="rId61" display="Underhand Pullup"/>
    <hyperlink ref="B153" r:id="rId62" display="Wide Grip Pullup"/>
    <hyperlink ref="B154" r:id="rId63" display="Assisted Overhand Pullup"/>
    <hyperlink ref="B155" r:id="rId64" display="Assisted Parallel Pullup"/>
    <hyperlink ref="C155" r:id="rId65" display="https://youtu.be/UNo4yBbidG4"/>
    <hyperlink ref="B156" r:id="rId66" display="Assisted Underhand Pullup"/>
    <hyperlink ref="C156" r:id="rId67" display="https://youtu.be/2PC8eYTte5w"/>
    <hyperlink ref="B157" r:id="rId68" display="Normal Grip Pulldown"/>
    <hyperlink ref="B158" r:id="rId69" display="Parallel Pulldown"/>
    <hyperlink ref="C158" r:id="rId70" display="https://youtu.be/uMjeHo2_EwM"/>
    <hyperlink ref="B159" r:id="rId71" display="Underhand Pulldown"/>
    <hyperlink ref="C159" r:id="rId72" display="https://youtu.be/bxfHw1LvH24"/>
    <hyperlink ref="B160" r:id="rId73" display="Wide-Grip Pulldown"/>
    <hyperlink ref="B161" r:id="rId74" display="Narrow Grip Pulldown"/>
    <hyperlink ref="C161" r:id="rId75" display="https://youtu.be/QzjjwxZOVdE"/>
    <hyperlink ref="B164" r:id="rId76" display="High Bar Squat"/>
    <hyperlink ref="B165" r:id="rId77" display="Close Stance Feet Forward Squats"/>
    <hyperlink ref="B166" r:id="rId78" display="Machine Feet Forward Squat"/>
    <hyperlink ref="B167" r:id="rId79" display="Leg Press"/>
    <hyperlink ref="B168" r:id="rId80" display="Hack Squat"/>
    <hyperlink ref="B169" r:id="rId81" display="Front Squat "/>
    <hyperlink ref="B170" r:id="rId82" display="Front Squat (Alernate Grip)"/>
    <hyperlink ref="B173" r:id="rId83" display="Barbell Walking Lunge"/>
    <hyperlink ref="B174" r:id="rId84" display="Dumbbell Walking Lunge"/>
    <hyperlink ref="B175" r:id="rId85" display="Sumo Squat"/>
    <hyperlink ref="B176" r:id="rId86" display="Deficit Deadlift "/>
    <hyperlink ref="B177" r:id="rId87" display="25's Deadlift"/>
    <hyperlink ref="B178" r:id="rId88" display="Sumo Deadlift"/>
    <hyperlink ref="B179" r:id="rId89" display="Deadlift"/>
    <hyperlink ref="B180" r:id="rId90" display="Hex Bar Deadlift"/>
    <hyperlink ref="B183" r:id="rId91" display="Stiff-Legged Deadlift"/>
    <hyperlink ref="B184" r:id="rId92" display="Low Bar Good Morning"/>
    <hyperlink ref="B185" r:id="rId93" display="High Bar Good Morning"/>
    <hyperlink ref="B186" r:id="rId94" display="45 Degree Back Raise"/>
    <hyperlink ref="B189" r:id="rId95" display="Lying Leg Curl"/>
    <hyperlink ref="B190" r:id="rId96" display="Seated Leg Curl"/>
    <hyperlink ref="B191" r:id="rId97" display="Single-Leg Leg Curl"/>
    <hyperlink ref="B194" r:id="rId98" display="Flat Dumbbell Flye"/>
    <hyperlink ref="B195" r:id="rId99" display="Incline Dumbbell Flye"/>
    <hyperlink ref="B196" r:id="rId100" display="Cable Flye"/>
    <hyperlink ref="B197" r:id="rId101" display="High Cable Flye"/>
    <hyperlink ref="B198" r:id="rId102" display="Machine Chest Flye"/>
    <hyperlink ref="B199" r:id="rId103" display="Cable Incline Flye"/>
    <hyperlink ref="B200" r:id="rId104" display="Pec Dec Flye"/>
    <hyperlink ref="B203" r:id="rId105" display="Medium Grip Bench Press"/>
    <hyperlink ref="B204" r:id="rId106" display="Wide Grip Bench Press"/>
    <hyperlink ref="B205" r:id="rId107" display="Flat Dumbbell Bench Press"/>
    <hyperlink ref="B206" r:id="rId108" display="Close Grip Bench Press"/>
    <hyperlink ref="B207" r:id="rId109" display="Flat Machine Bench Press"/>
    <hyperlink ref="B208" r:id="rId110" display="Pushup"/>
    <hyperlink ref="B209" r:id="rId111" display="Close Grip Pushup"/>
    <hyperlink ref="B212" r:id="rId112" display="Incline Medium Grip Bench Press"/>
    <hyperlink ref="C212" r:id="rId113" display="https://youtu.be/zWRCV_td3I8"/>
    <hyperlink ref="B213" r:id="rId114" display="Incline Wide Grip Bench Press"/>
    <hyperlink ref="B214" r:id="rId115" display="Low Incline Dumbbell Press"/>
    <hyperlink ref="B215" r:id="rId116" display="Incline Dumbbell Press"/>
    <hyperlink ref="B216" r:id="rId117" display="Incline Close Grip Bench Press"/>
    <hyperlink ref="B217" r:id="rId118" display="Incline Machine Bench Press"/>
    <hyperlink ref="B220" r:id="rId119" display="Standing Barbell Shoulder Press"/>
    <hyperlink ref="B221" r:id="rId120" display="Seated Barbell Shoulder Press"/>
    <hyperlink ref="B222" r:id="rId121" display="Seated Dumbbell Shoulder Press"/>
    <hyperlink ref="B223" r:id="rId122" display="High Incline Dumbbell Press"/>
    <hyperlink ref="B224" r:id="rId123" display="Shoulder Press Machine"/>
    <hyperlink ref="B225" r:id="rId124" display="Standing Dumbbell Shoulder Press"/>
    <hyperlink ref="B229" r:id="rId125" display="Skullcrusher"/>
    <hyperlink ref="B230" r:id="rId126" display="EZ Bar Overhead Tricep Extension"/>
    <hyperlink ref="B231" r:id="rId127" display="JM Press"/>
    <hyperlink ref="B232" r:id="rId128" display="Barbell Overhead Tricep Extension"/>
    <hyperlink ref="B233" r:id="rId129" display="Dips"/>
    <hyperlink ref="B234" r:id="rId130" display="Seated EZ Bar Overhead Tricep Extension"/>
    <hyperlink ref="B235" r:id="rId131" display="Assisted Dips"/>
    <hyperlink ref="B236" r:id="rId132" display="Seated Barbell Overhead Tricep Extension"/>
    <hyperlink ref="B237" r:id="rId133" display="Dumbbell Skullcrusher"/>
    <hyperlink ref="B238" r:id="rId134" display="Cable Overhead Tricep Extension"/>
    <hyperlink ref="B239" r:id="rId135" display="Cable Tricep Pushdown"/>
    <hyperlink ref="B240" r:id="rId136" display="Cable Rope Pushdown"/>
    <hyperlink ref="B241" r:id="rId137" display="Bar Skull"/>
    <hyperlink ref="B243" r:id="rId138" display="Incline Medium Grip Bench Press"/>
    <hyperlink ref="C243" r:id="rId139" display="https://youtu.be/zWRCV_td3I8"/>
    <hyperlink ref="B244" r:id="rId140" display="Standing Barbell Shoulder Press"/>
    <hyperlink ref="B245" r:id="rId141" display="Incline Wide Grip Bench Press"/>
    <hyperlink ref="B246" r:id="rId142" display="Seated Barbell Shoulder Press"/>
    <hyperlink ref="B247" r:id="rId143" display="Low Incline Dumbbell Press"/>
    <hyperlink ref="B248" r:id="rId144" display="Seated Dumbbell Shoulder Press"/>
    <hyperlink ref="B249" r:id="rId145" display="Incline Dumbbell Press"/>
    <hyperlink ref="B250" r:id="rId146" display="High Incline Dumbbell Press"/>
    <hyperlink ref="B251" r:id="rId147" display="Incline Close Grip Bench Press"/>
    <hyperlink ref="B252" r:id="rId148" display="Shoulder Press Machine"/>
    <hyperlink ref="B253" r:id="rId149" display="Incline Machine Bench Press"/>
    <hyperlink ref="B254" r:id="rId150" display="Standing Dumbbell Shoulder Press"/>
    <hyperlink ref="B256" r:id="rId151" display="Flat Dumbbell Flye"/>
    <hyperlink ref="B257" r:id="rId152" display="Skullcrusher"/>
    <hyperlink ref="B258" r:id="rId153" display="Incline Dumbbell Flye"/>
    <hyperlink ref="B259" r:id="rId154" display="EZ Bar Overhead Tricep Extension"/>
    <hyperlink ref="B260" r:id="rId155" display="Cable Flye"/>
    <hyperlink ref="B261" r:id="rId156" display="JM Press"/>
    <hyperlink ref="B262" r:id="rId157" display="High Cable Flye"/>
    <hyperlink ref="B263" r:id="rId158" display="Barbell Overhead Tricep Extension"/>
    <hyperlink ref="B264" r:id="rId159" display="Machine Chest Flye"/>
    <hyperlink ref="B265" r:id="rId160" display="Dips"/>
    <hyperlink ref="B266" r:id="rId161" display="Cable Incline Flye"/>
    <hyperlink ref="B267" r:id="rId162" display="Seated EZ Bar Overhead Tricep Extension"/>
    <hyperlink ref="B268" r:id="rId163" display="Pec Dec Flye"/>
    <hyperlink ref="B269" r:id="rId164" display="Assisted Dips"/>
    <hyperlink ref="B270" r:id="rId165" display="Seated Barbell Overhead Tricep Extension"/>
    <hyperlink ref="B271" r:id="rId166" display="Dumbbell Skullcrusher"/>
    <hyperlink ref="B272" r:id="rId167" display="Cable Overhead Tricep Extension"/>
    <hyperlink ref="B273" r:id="rId168" display="Cable Tricep Pushdown"/>
    <hyperlink ref="B274" r:id="rId169" display="Cable Rope Pushdown"/>
    <hyperlink ref="B275" r:id="rId170" display="Bar Skull"/>
    <hyperlink ref="B278" r:id="rId171" display="Barbell Facepull"/>
    <hyperlink ref="B279" r:id="rId172" display="Barbell Upright Row"/>
    <hyperlink ref="B280" r:id="rId173" display="Dumbbell Facepull"/>
    <hyperlink ref="B281" r:id="rId174" display="Dumbbell Upright Row"/>
    <hyperlink ref="B282" r:id="rId175" display="Cable Facepull"/>
    <hyperlink ref="B283" r:id="rId176" display="Cable Upright Row"/>
    <hyperlink ref="B284" r:id="rId177" display="Dumbbell Rear Lateral Raise"/>
    <hyperlink ref="B285" r:id="rId178" display="Dumbbell Side Lateral Raise"/>
    <hyperlink ref="B286" r:id="rId179" display="Thumbs Down Lateral Rais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80"/>
  <tableParts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I4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RowHeight="14.4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35.89"/>
    <col collapsed="false" customWidth="true" hidden="false" outlineLevel="0" max="3" min="3" style="0" width="38.89"/>
    <col collapsed="false" customWidth="true" hidden="true" outlineLevel="0" max="4" min="4" style="0" width="36"/>
    <col collapsed="false" customWidth="true" hidden="true" outlineLevel="0" max="5" min="5" style="0" width="32.11"/>
    <col collapsed="false" customWidth="true" hidden="false" outlineLevel="0" max="6" min="6" style="0" width="25.33"/>
    <col collapsed="false" customWidth="true" hidden="false" outlineLevel="0" max="7" min="7" style="0" width="18.44"/>
    <col collapsed="false" customWidth="true" hidden="false" outlineLevel="0" max="8" min="8" style="0" width="36.11"/>
    <col collapsed="false" customWidth="true" hidden="false" outlineLevel="0" max="9" min="9" style="0" width="7.34"/>
    <col collapsed="false" customWidth="true" hidden="false" outlineLevel="0" max="10" min="10" style="0" width="7.56"/>
    <col collapsed="false" customWidth="true" hidden="false" outlineLevel="0" max="11" min="11" style="0" width="9"/>
    <col collapsed="false" customWidth="true" hidden="false" outlineLevel="0" max="12" min="12" style="0" width="11.33"/>
    <col collapsed="false" customWidth="true" hidden="false" outlineLevel="0" max="13" min="13" style="0" width="7.56"/>
    <col collapsed="false" customWidth="true" hidden="false" outlineLevel="0" max="14" min="14" style="0" width="36.11"/>
    <col collapsed="false" customWidth="true" hidden="false" outlineLevel="0" max="15" min="15" style="0" width="4.66"/>
    <col collapsed="false" customWidth="true" hidden="false" outlineLevel="0" max="16" min="16" style="0" width="7.56"/>
    <col collapsed="false" customWidth="true" hidden="false" outlineLevel="0" max="17" min="17" style="0" width="9"/>
    <col collapsed="false" customWidth="true" hidden="false" outlineLevel="0" max="18" min="18" style="0" width="11.33"/>
    <col collapsed="false" customWidth="true" hidden="false" outlineLevel="0" max="19" min="19" style="0" width="7.56"/>
    <col collapsed="false" customWidth="true" hidden="false" outlineLevel="0" max="20" min="20" style="0" width="35.11"/>
    <col collapsed="false" customWidth="true" hidden="false" outlineLevel="0" max="21" min="21" style="0" width="8.89"/>
    <col collapsed="false" customWidth="true" hidden="false" outlineLevel="0" max="22" min="22" style="0" width="7.56"/>
    <col collapsed="false" customWidth="true" hidden="false" outlineLevel="0" max="23" min="23" style="0" width="9"/>
    <col collapsed="false" customWidth="true" hidden="false" outlineLevel="0" max="24" min="24" style="0" width="11.33"/>
    <col collapsed="false" customWidth="true" hidden="false" outlineLevel="0" max="25" min="25" style="0" width="7.56"/>
    <col collapsed="false" customWidth="true" hidden="false" outlineLevel="0" max="26" min="26" style="0" width="36.66"/>
    <col collapsed="false" customWidth="true" hidden="false" outlineLevel="0" max="27" min="27" style="0" width="4.66"/>
    <col collapsed="false" customWidth="true" hidden="false" outlineLevel="0" max="28" min="28" style="0" width="7.56"/>
    <col collapsed="false" customWidth="true" hidden="false" outlineLevel="0" max="29" min="29" style="0" width="9"/>
    <col collapsed="false" customWidth="true" hidden="false" outlineLevel="0" max="30" min="30" style="0" width="11.33"/>
    <col collapsed="false" customWidth="true" hidden="false" outlineLevel="0" max="31" min="31" style="0" width="7.56"/>
    <col collapsed="false" customWidth="true" hidden="false" outlineLevel="0" max="32" min="32" style="0" width="36.33"/>
    <col collapsed="false" customWidth="true" hidden="false" outlineLevel="0" max="33" min="33" style="0" width="4.66"/>
    <col collapsed="false" customWidth="true" hidden="false" outlineLevel="0" max="34" min="34" style="0" width="7.56"/>
    <col collapsed="false" customWidth="true" hidden="false" outlineLevel="0" max="36" min="35" style="0" width="17.67"/>
    <col collapsed="false" customWidth="true" hidden="false" outlineLevel="0" max="37" min="37" style="0" width="15.11"/>
    <col collapsed="false" customWidth="true" hidden="false" outlineLevel="0" max="38" min="38" style="0" width="17.67"/>
    <col collapsed="false" customWidth="true" hidden="false" outlineLevel="0" max="1025" min="39" style="0" width="8.67"/>
  </cols>
  <sheetData>
    <row r="1" customFormat="false" ht="18.6" hidden="false" customHeight="false" outlineLevel="0" collapsed="false">
      <c r="C1" s="1" t="s">
        <v>0</v>
      </c>
      <c r="D1" s="2"/>
      <c r="E1" s="3"/>
      <c r="F1" s="4" t="s">
        <v>1</v>
      </c>
      <c r="G1" s="5" t="s">
        <v>2</v>
      </c>
      <c r="H1" s="6" t="s">
        <v>3</v>
      </c>
      <c r="I1" s="7" t="s">
        <v>4</v>
      </c>
      <c r="J1" s="8"/>
      <c r="K1" s="8"/>
      <c r="L1" s="8"/>
      <c r="M1" s="8"/>
      <c r="N1" s="8"/>
      <c r="O1" s="8"/>
      <c r="P1" s="8"/>
      <c r="Q1" s="8"/>
      <c r="R1" s="8"/>
      <c r="S1" s="8"/>
      <c r="T1" s="9"/>
      <c r="U1" s="10" t="s">
        <v>5</v>
      </c>
      <c r="V1" s="11"/>
      <c r="W1" s="12"/>
      <c r="X1" s="12"/>
      <c r="Y1" s="12"/>
      <c r="Z1" s="12"/>
      <c r="AA1" s="15"/>
      <c r="AB1" s="15"/>
      <c r="AC1" s="15"/>
      <c r="AD1" s="15"/>
      <c r="AE1" s="15"/>
      <c r="AF1" s="15"/>
      <c r="AG1" s="16"/>
      <c r="AH1" s="17"/>
    </row>
    <row r="2" customFormat="false" ht="18.6" hidden="false" customHeight="false" outlineLevel="0" collapsed="false">
      <c r="F2" s="18" t="s">
        <v>6</v>
      </c>
      <c r="G2" s="19" t="s">
        <v>7</v>
      </c>
      <c r="H2" s="20" t="s">
        <v>8</v>
      </c>
      <c r="I2" s="110" t="s">
        <v>354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3"/>
      <c r="U2" s="24" t="s">
        <v>10</v>
      </c>
      <c r="V2" s="25"/>
      <c r="W2" s="26"/>
      <c r="X2" s="26"/>
      <c r="Y2" s="26"/>
      <c r="Z2" s="111"/>
      <c r="AA2" s="28"/>
      <c r="AB2" s="28"/>
      <c r="AC2" s="28"/>
    </row>
    <row r="3" customFormat="false" ht="18.6" hidden="false" customHeight="false" outlineLevel="0" collapsed="false">
      <c r="C3" s="0" t="s">
        <v>11</v>
      </c>
      <c r="F3" s="29" t="s">
        <v>12</v>
      </c>
      <c r="G3" s="30" t="s">
        <v>13</v>
      </c>
      <c r="H3" s="31" t="s">
        <v>14</v>
      </c>
      <c r="I3" s="110" t="s">
        <v>355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AA3" s="28"/>
      <c r="AB3" s="28"/>
      <c r="AC3" s="28"/>
    </row>
    <row r="4" customFormat="false" ht="15" hidden="false" customHeight="false" outlineLevel="0" collapsed="false">
      <c r="G4" s="0" t="s">
        <v>11</v>
      </c>
      <c r="I4" s="112" t="s">
        <v>356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4"/>
      <c r="U4" s="28"/>
      <c r="V4" s="28"/>
      <c r="W4" s="28"/>
      <c r="X4" s="28"/>
      <c r="Y4" s="28"/>
      <c r="Z4" s="28"/>
      <c r="AA4" s="28"/>
      <c r="AB4" s="28"/>
      <c r="AC4" s="28"/>
    </row>
    <row r="7" customFormat="false" ht="15" hidden="false" customHeight="false" outlineLevel="0" collapsed="false"/>
    <row r="8" customFormat="false" ht="18.6" hidden="false" customHeight="false" outlineLevel="0" collapsed="false">
      <c r="G8" s="35" t="s">
        <v>19</v>
      </c>
      <c r="H8" s="36" t="s">
        <v>20</v>
      </c>
      <c r="I8" s="36"/>
      <c r="J8" s="36"/>
      <c r="K8" s="36"/>
      <c r="L8" s="36"/>
      <c r="M8" s="36"/>
      <c r="N8" s="37" t="s">
        <v>21</v>
      </c>
      <c r="O8" s="37"/>
      <c r="P8" s="37"/>
      <c r="Q8" s="37"/>
      <c r="R8" s="37"/>
      <c r="S8" s="37"/>
      <c r="T8" s="38" t="s">
        <v>22</v>
      </c>
      <c r="U8" s="38"/>
      <c r="V8" s="38"/>
      <c r="W8" s="38"/>
      <c r="X8" s="38"/>
      <c r="Y8" s="38"/>
      <c r="Z8" s="39" t="s">
        <v>23</v>
      </c>
      <c r="AA8" s="39"/>
      <c r="AB8" s="39"/>
      <c r="AC8" s="39"/>
      <c r="AD8" s="39"/>
      <c r="AE8" s="39"/>
      <c r="AF8" s="40" t="s">
        <v>357</v>
      </c>
      <c r="AG8" s="40"/>
      <c r="AH8" s="40"/>
      <c r="AI8" s="40"/>
    </row>
    <row r="9" customFormat="false" ht="15" hidden="false" customHeight="false" outlineLevel="0" collapsed="false">
      <c r="B9" s="41"/>
      <c r="C9" s="41" t="s">
        <v>27</v>
      </c>
      <c r="D9" s="41"/>
      <c r="E9" s="41"/>
      <c r="F9" s="41"/>
      <c r="G9" s="42" t="s">
        <v>28</v>
      </c>
      <c r="H9" s="43" t="s">
        <v>29</v>
      </c>
      <c r="I9" s="44" t="s">
        <v>30</v>
      </c>
      <c r="J9" s="45" t="s">
        <v>31</v>
      </c>
      <c r="K9" s="46" t="s">
        <v>32</v>
      </c>
      <c r="L9" s="46" t="s">
        <v>33</v>
      </c>
      <c r="M9" s="47" t="s">
        <v>34</v>
      </c>
      <c r="N9" s="48" t="s">
        <v>29</v>
      </c>
      <c r="O9" s="48" t="s">
        <v>30</v>
      </c>
      <c r="P9" s="45" t="s">
        <v>31</v>
      </c>
      <c r="Q9" s="46" t="s">
        <v>32</v>
      </c>
      <c r="R9" s="46" t="s">
        <v>33</v>
      </c>
      <c r="S9" s="47" t="s">
        <v>34</v>
      </c>
      <c r="T9" s="48" t="s">
        <v>29</v>
      </c>
      <c r="U9" s="48" t="s">
        <v>30</v>
      </c>
      <c r="V9" s="45" t="s">
        <v>31</v>
      </c>
      <c r="W9" s="46" t="s">
        <v>32</v>
      </c>
      <c r="X9" s="46" t="s">
        <v>33</v>
      </c>
      <c r="Y9" s="47" t="s">
        <v>34</v>
      </c>
      <c r="Z9" s="48" t="s">
        <v>29</v>
      </c>
      <c r="AA9" s="48" t="s">
        <v>30</v>
      </c>
      <c r="AB9" s="45" t="s">
        <v>31</v>
      </c>
      <c r="AC9" s="46" t="s">
        <v>32</v>
      </c>
      <c r="AD9" s="46" t="s">
        <v>33</v>
      </c>
      <c r="AE9" s="47" t="s">
        <v>34</v>
      </c>
      <c r="AF9" s="48" t="s">
        <v>29</v>
      </c>
      <c r="AG9" s="48" t="s">
        <v>30</v>
      </c>
      <c r="AH9" s="45" t="s">
        <v>31</v>
      </c>
      <c r="AI9" s="49" t="s">
        <v>32</v>
      </c>
    </row>
    <row r="10" customFormat="false" ht="15" hidden="false" customHeight="false" outlineLevel="0" collapsed="false">
      <c r="B10" s="50" t="s">
        <v>35</v>
      </c>
      <c r="C10" s="51" t="s">
        <v>36</v>
      </c>
      <c r="D10" s="52"/>
      <c r="E10" s="52"/>
      <c r="F10" s="51" t="s">
        <v>37</v>
      </c>
      <c r="G10" s="51" t="s">
        <v>38</v>
      </c>
      <c r="H10" s="46" t="s">
        <v>36</v>
      </c>
      <c r="I10" s="53"/>
      <c r="J10" s="53"/>
      <c r="K10" s="53"/>
      <c r="L10" s="53"/>
      <c r="M10" s="54"/>
      <c r="N10" s="43" t="s">
        <v>36</v>
      </c>
      <c r="O10" s="53"/>
      <c r="P10" s="53"/>
      <c r="Q10" s="53"/>
      <c r="R10" s="53"/>
      <c r="S10" s="54"/>
      <c r="T10" s="43" t="s">
        <v>36</v>
      </c>
      <c r="U10" s="53"/>
      <c r="V10" s="53"/>
      <c r="W10" s="53"/>
      <c r="X10" s="53"/>
      <c r="Y10" s="54"/>
      <c r="Z10" s="43" t="s">
        <v>36</v>
      </c>
      <c r="AA10" s="53"/>
      <c r="AB10" s="53"/>
      <c r="AC10" s="53"/>
      <c r="AD10" s="53"/>
      <c r="AE10" s="53"/>
      <c r="AF10" s="43" t="s">
        <v>36</v>
      </c>
      <c r="AG10" s="53"/>
      <c r="AH10" s="53"/>
      <c r="AI10" s="54"/>
    </row>
    <row r="11" customFormat="false" ht="15" hidden="false" customHeight="false" outlineLevel="0" collapsed="false">
      <c r="B11" s="113" t="s">
        <v>39</v>
      </c>
      <c r="C11" s="114"/>
      <c r="D11" s="115" t="str">
        <f aca="false" t="array" ref="D11:D11">INDEX(Table_Name28[Name List],MATCH(B11,Table_Name28[Category],0))</f>
        <v>Incline_Push[Exercise]</v>
      </c>
      <c r="E11" s="116" t="e">
        <f aca="false" t="array" ref="E11:E11">INDEX(Links49[Link],MATCH(C11,Links49[Exercise],0))</f>
        <v>#N/A</v>
      </c>
      <c r="F11" s="117" t="e">
        <f aca="false">HYPERLINK(E11,"Video")</f>
        <v>#N/A</v>
      </c>
      <c r="G11" s="118"/>
      <c r="H11" s="61" t="n">
        <f aca="false">C11</f>
        <v>0</v>
      </c>
      <c r="I11" s="62" t="n">
        <v>3</v>
      </c>
      <c r="J11" s="62" t="n">
        <f aca="false">MROUND(((G11)*0.75),5)</f>
        <v>0</v>
      </c>
      <c r="K11" s="62" t="s">
        <v>41</v>
      </c>
      <c r="L11" s="62"/>
      <c r="M11" s="42"/>
      <c r="N11" s="63" t="n">
        <f aca="false">C11</f>
        <v>0</v>
      </c>
      <c r="O11" s="62" t="n">
        <f aca="false">I11+(M38)</f>
        <v>3</v>
      </c>
      <c r="P11" s="62" t="n">
        <f aca="false">MROUND((J11*1.05),5)</f>
        <v>0</v>
      </c>
      <c r="Q11" s="62" t="s">
        <v>41</v>
      </c>
      <c r="R11" s="62"/>
      <c r="S11" s="119"/>
      <c r="T11" s="65" t="n">
        <f aca="false">C11</f>
        <v>0</v>
      </c>
      <c r="U11" s="62" t="n">
        <f aca="false">O11+(S38)</f>
        <v>3</v>
      </c>
      <c r="V11" s="62" t="n">
        <f aca="false">MROUND((J11*1.075),5)</f>
        <v>0</v>
      </c>
      <c r="W11" s="62" t="s">
        <v>42</v>
      </c>
      <c r="X11" s="62"/>
      <c r="Y11" s="119"/>
      <c r="Z11" s="63" t="n">
        <f aca="false">C11</f>
        <v>0</v>
      </c>
      <c r="AA11" s="62" t="n">
        <f aca="false">U11+(Y38)</f>
        <v>3</v>
      </c>
      <c r="AB11" s="62" t="n">
        <f aca="false">MROUND((J11*1.1),5)</f>
        <v>0</v>
      </c>
      <c r="AC11" s="62" t="s">
        <v>43</v>
      </c>
      <c r="AD11" s="62"/>
      <c r="AE11" s="119"/>
      <c r="AF11" s="63" t="n">
        <f aca="false">C11</f>
        <v>0</v>
      </c>
      <c r="AG11" s="62" t="n">
        <v>2</v>
      </c>
      <c r="AH11" s="67" t="n">
        <f aca="false">J11</f>
        <v>0</v>
      </c>
      <c r="AI11" s="42" t="s">
        <v>44</v>
      </c>
    </row>
    <row r="12" customFormat="false" ht="15" hidden="false" customHeight="false" outlineLevel="0" collapsed="false">
      <c r="A12" s="120" t="s">
        <v>358</v>
      </c>
      <c r="B12" s="121" t="s">
        <v>45</v>
      </c>
      <c r="C12" s="122"/>
      <c r="D12" s="123" t="str">
        <f aca="false" t="array" ref="D12:D12">INDEX(Table_Name28[Name List],MATCH(B12,Table_Name28[Category],0))</f>
        <v>Chest_Isolation_or_Triceps[Exercise]</v>
      </c>
      <c r="E12" s="124" t="e">
        <f aca="false" t="array" ref="E12:E12">INDEX(Links49[Link],MATCH(C12,Links49[Exercise],0))</f>
        <v>#N/A</v>
      </c>
      <c r="F12" s="125" t="e">
        <f aca="false">HYPERLINK(E12,"Video")</f>
        <v>#N/A</v>
      </c>
      <c r="G12" s="126"/>
      <c r="H12" s="127" t="n">
        <f aca="false">C12</f>
        <v>0</v>
      </c>
      <c r="I12" s="128" t="n">
        <v>3</v>
      </c>
      <c r="J12" s="128" t="n">
        <f aca="false">MROUND(((G12)*0.75),5)</f>
        <v>0</v>
      </c>
      <c r="K12" s="128" t="s">
        <v>41</v>
      </c>
      <c r="L12" s="128"/>
      <c r="M12" s="129"/>
      <c r="N12" s="130" t="n">
        <f aca="false">C12</f>
        <v>0</v>
      </c>
      <c r="O12" s="128" t="n">
        <f aca="false">I12+(M37)</f>
        <v>3</v>
      </c>
      <c r="P12" s="128" t="n">
        <f aca="false">MROUND((J12*1.05),5)</f>
        <v>0</v>
      </c>
      <c r="Q12" s="128" t="s">
        <v>41</v>
      </c>
      <c r="R12" s="128"/>
      <c r="S12" s="131"/>
      <c r="T12" s="132" t="n">
        <f aca="false">C12</f>
        <v>0</v>
      </c>
      <c r="U12" s="128" t="n">
        <f aca="false">O12+(S37)</f>
        <v>3</v>
      </c>
      <c r="V12" s="128" t="n">
        <f aca="false">MROUND((J12*1.075),5)</f>
        <v>0</v>
      </c>
      <c r="W12" s="128" t="s">
        <v>42</v>
      </c>
      <c r="X12" s="128"/>
      <c r="Y12" s="131"/>
      <c r="Z12" s="130" t="n">
        <f aca="false">C12</f>
        <v>0</v>
      </c>
      <c r="AA12" s="128" t="n">
        <f aca="false">U12+(Y37)</f>
        <v>3</v>
      </c>
      <c r="AB12" s="128" t="n">
        <f aca="false">MROUND((J12*1.1),5)</f>
        <v>0</v>
      </c>
      <c r="AC12" s="128" t="s">
        <v>43</v>
      </c>
      <c r="AD12" s="128"/>
      <c r="AE12" s="133"/>
      <c r="AF12" s="61" t="n">
        <f aca="false">C12</f>
        <v>0</v>
      </c>
      <c r="AG12" s="62" t="n">
        <v>2</v>
      </c>
      <c r="AH12" s="67" t="n">
        <f aca="false">J12</f>
        <v>0</v>
      </c>
      <c r="AI12" s="42" t="s">
        <v>44</v>
      </c>
    </row>
    <row r="13" customFormat="false" ht="15" hidden="false" customHeight="false" outlineLevel="0" collapsed="false">
      <c r="A13" s="120" t="s">
        <v>359</v>
      </c>
      <c r="B13" s="134" t="s">
        <v>47</v>
      </c>
      <c r="C13" s="135"/>
      <c r="D13" s="136" t="str">
        <f aca="false" t="array" ref="D13:D13">INDEX(Table_Name28[Name List],MATCH(B13,Table_Name28[Category],0))</f>
        <v>Horizontal_Push[Exercise]</v>
      </c>
      <c r="E13" s="137" t="e">
        <f aca="false" t="array" ref="E13:E13">INDEX(Links49[Link],MATCH(C13,Links49[Exercise],0))</f>
        <v>#N/A</v>
      </c>
      <c r="F13" s="138" t="e">
        <f aca="false">HYPERLINK(E13,"Video")</f>
        <v>#N/A</v>
      </c>
      <c r="G13" s="139"/>
      <c r="H13" s="140" t="n">
        <f aca="false">C13</f>
        <v>0</v>
      </c>
      <c r="I13" s="141" t="n">
        <v>3</v>
      </c>
      <c r="J13" s="141" t="n">
        <f aca="false">MROUND(((G13)*0.6),5)</f>
        <v>0</v>
      </c>
      <c r="K13" s="141" t="s">
        <v>41</v>
      </c>
      <c r="L13" s="141"/>
      <c r="M13" s="142"/>
      <c r="N13" s="143" t="n">
        <f aca="false">C13</f>
        <v>0</v>
      </c>
      <c r="O13" s="141" t="n">
        <f aca="false">I12+(M37)</f>
        <v>3</v>
      </c>
      <c r="P13" s="141" t="n">
        <f aca="false">MROUND((J13*1.05),5)</f>
        <v>0</v>
      </c>
      <c r="Q13" s="141" t="s">
        <v>41</v>
      </c>
      <c r="R13" s="141"/>
      <c r="S13" s="144"/>
      <c r="T13" s="145" t="n">
        <f aca="false">C13</f>
        <v>0</v>
      </c>
      <c r="U13" s="141" t="n">
        <f aca="false">O12+(S37)</f>
        <v>3</v>
      </c>
      <c r="V13" s="141" t="n">
        <f aca="false">MROUND((J13*1.075),5)</f>
        <v>0</v>
      </c>
      <c r="W13" s="141" t="s">
        <v>42</v>
      </c>
      <c r="X13" s="141"/>
      <c r="Y13" s="144"/>
      <c r="Z13" s="143" t="n">
        <f aca="false">C13</f>
        <v>0</v>
      </c>
      <c r="AA13" s="141" t="n">
        <f aca="false">U12+(Y37)</f>
        <v>3</v>
      </c>
      <c r="AB13" s="141" t="n">
        <f aca="false">MROUND((J13*1.1),5)</f>
        <v>0</v>
      </c>
      <c r="AC13" s="141" t="s">
        <v>43</v>
      </c>
      <c r="AD13" s="141"/>
      <c r="AE13" s="146"/>
      <c r="AF13" s="61"/>
      <c r="AG13" s="62"/>
      <c r="AH13" s="67"/>
      <c r="AI13" s="42"/>
    </row>
    <row r="14" customFormat="false" ht="15" hidden="false" customHeight="false" outlineLevel="0" collapsed="false">
      <c r="B14" s="55" t="s">
        <v>47</v>
      </c>
      <c r="C14" s="147"/>
      <c r="D14" s="57" t="str">
        <f aca="false" t="array" ref="D14:D14">INDEX(Table_Name28[Name List],MATCH(B14,Table_Name28[Category],0))</f>
        <v>Horizontal_Push[Exercise]</v>
      </c>
      <c r="E14" s="148" t="e">
        <f aca="false" t="array" ref="E14:E14">INDEX(Links49[Link],MATCH(C14,Links49[Exercise],0))</f>
        <v>#N/A</v>
      </c>
      <c r="F14" s="59" t="e">
        <f aca="false">HYPERLINK(E14,"Video")</f>
        <v>#N/A</v>
      </c>
      <c r="G14" s="60"/>
      <c r="H14" s="61" t="n">
        <f aca="false">C14</f>
        <v>0</v>
      </c>
      <c r="I14" s="62" t="n">
        <v>2</v>
      </c>
      <c r="J14" s="62" t="n">
        <f aca="false">MROUND(((G14)*0.75),5)</f>
        <v>0</v>
      </c>
      <c r="K14" s="62" t="s">
        <v>41</v>
      </c>
      <c r="L14" s="62"/>
      <c r="M14" s="42"/>
      <c r="N14" s="63" t="n">
        <f aca="false">C14</f>
        <v>0</v>
      </c>
      <c r="O14" s="62" t="n">
        <f aca="false">I14+(M37)</f>
        <v>2</v>
      </c>
      <c r="P14" s="62" t="n">
        <f aca="false">MROUND((J14*1.05),5)</f>
        <v>0</v>
      </c>
      <c r="Q14" s="62" t="s">
        <v>41</v>
      </c>
      <c r="R14" s="62"/>
      <c r="S14" s="149"/>
      <c r="T14" s="65" t="n">
        <f aca="false">C14</f>
        <v>0</v>
      </c>
      <c r="U14" s="62" t="n">
        <f aca="false">O14+(S37)</f>
        <v>2</v>
      </c>
      <c r="V14" s="62" t="n">
        <f aca="false">MROUND((J14*1.075),5)</f>
        <v>0</v>
      </c>
      <c r="W14" s="62" t="s">
        <v>42</v>
      </c>
      <c r="X14" s="62"/>
      <c r="Y14" s="149"/>
      <c r="Z14" s="63" t="n">
        <f aca="false">C14</f>
        <v>0</v>
      </c>
      <c r="AA14" s="62" t="n">
        <f aca="false">U14+(Y37)</f>
        <v>2</v>
      </c>
      <c r="AB14" s="62" t="n">
        <f aca="false">MROUND((J14*1.1),5)</f>
        <v>0</v>
      </c>
      <c r="AC14" s="62" t="s">
        <v>43</v>
      </c>
      <c r="AD14" s="62"/>
      <c r="AE14" s="149"/>
      <c r="AF14" s="63" t="n">
        <f aca="false">C14</f>
        <v>0</v>
      </c>
      <c r="AG14" s="62" t="n">
        <v>2</v>
      </c>
      <c r="AH14" s="67" t="n">
        <f aca="false">J14</f>
        <v>0</v>
      </c>
      <c r="AI14" s="42" t="s">
        <v>44</v>
      </c>
    </row>
    <row r="15" customFormat="false" ht="15" hidden="false" customHeight="false" outlineLevel="0" collapsed="false">
      <c r="B15" s="68" t="s">
        <v>49</v>
      </c>
      <c r="C15" s="150"/>
      <c r="D15" s="70" t="str">
        <f aca="false" t="array" ref="D15:D15">INDEX(Table_Name28[Name List],MATCH(B15,Table_Name28[Category],0))</f>
        <v>Horizontal_Back[Exercise]</v>
      </c>
      <c r="E15" s="151" t="e">
        <f aca="false" t="array" ref="E15:E15">INDEX(Links49[Link],MATCH(C15,Links49[Exercise],0))</f>
        <v>#N/A</v>
      </c>
      <c r="F15" s="72" t="e">
        <f aca="false">HYPERLINK(E15,"Video")</f>
        <v>#N/A</v>
      </c>
      <c r="G15" s="73"/>
      <c r="H15" s="61" t="n">
        <f aca="false">C15</f>
        <v>0</v>
      </c>
      <c r="I15" s="62" t="n">
        <v>2</v>
      </c>
      <c r="J15" s="62" t="n">
        <f aca="false">MROUND(((G15)*0.75),5)</f>
        <v>0</v>
      </c>
      <c r="K15" s="62" t="s">
        <v>41</v>
      </c>
      <c r="L15" s="62"/>
      <c r="M15" s="42"/>
      <c r="N15" s="63" t="n">
        <f aca="false">C15</f>
        <v>0</v>
      </c>
      <c r="O15" s="62" t="n">
        <f aca="false">I15+(M34)</f>
        <v>2</v>
      </c>
      <c r="P15" s="62" t="n">
        <f aca="false">MROUND((J15*1.05),5)</f>
        <v>0</v>
      </c>
      <c r="Q15" s="62" t="s">
        <v>41</v>
      </c>
      <c r="R15" s="62"/>
      <c r="S15" s="64"/>
      <c r="T15" s="65" t="n">
        <f aca="false">C15</f>
        <v>0</v>
      </c>
      <c r="U15" s="62" t="n">
        <f aca="false">O15+(S34)</f>
        <v>2</v>
      </c>
      <c r="V15" s="62" t="n">
        <f aca="false">MROUND((J15*1.075),5)</f>
        <v>0</v>
      </c>
      <c r="W15" s="62" t="s">
        <v>42</v>
      </c>
      <c r="X15" s="62"/>
      <c r="Y15" s="64"/>
      <c r="Z15" s="63" t="n">
        <f aca="false">C15</f>
        <v>0</v>
      </c>
      <c r="AA15" s="62" t="n">
        <f aca="false">U15+(Y34)</f>
        <v>2</v>
      </c>
      <c r="AB15" s="62" t="n">
        <f aca="false">MROUND((J15*1.1),5)</f>
        <v>0</v>
      </c>
      <c r="AC15" s="62" t="s">
        <v>43</v>
      </c>
      <c r="AD15" s="62"/>
      <c r="AE15" s="64"/>
      <c r="AF15" s="63" t="n">
        <f aca="false">C15</f>
        <v>0</v>
      </c>
      <c r="AG15" s="62" t="n">
        <v>2</v>
      </c>
      <c r="AH15" s="67" t="n">
        <f aca="false">J15</f>
        <v>0</v>
      </c>
      <c r="AI15" s="42" t="s">
        <v>44</v>
      </c>
    </row>
    <row r="16" customFormat="false" ht="15" hidden="false" customHeight="false" outlineLevel="0" collapsed="false">
      <c r="B16" s="68" t="s">
        <v>51</v>
      </c>
      <c r="C16" s="150"/>
      <c r="D16" s="70" t="str">
        <f aca="false" t="array" ref="D16:D16">INDEX(Table_Name28[Name List],MATCH(B16,Table_Name28[Category],0))</f>
        <v>Vertical_Back[Exercise]</v>
      </c>
      <c r="E16" s="151" t="e">
        <f aca="false" t="array" ref="E16:E16">INDEX(Links49[Link],MATCH(C16,Links49[Exercise],0))</f>
        <v>#N/A</v>
      </c>
      <c r="F16" s="72" t="e">
        <f aca="false">HYPERLINK(E16,"Video")</f>
        <v>#N/A</v>
      </c>
      <c r="G16" s="73"/>
      <c r="H16" s="61" t="n">
        <f aca="false">C16</f>
        <v>0</v>
      </c>
      <c r="I16" s="62" t="n">
        <v>2</v>
      </c>
      <c r="J16" s="62" t="n">
        <f aca="false">MROUND(((G16)*0.75),5)</f>
        <v>0</v>
      </c>
      <c r="K16" s="62" t="s">
        <v>41</v>
      </c>
      <c r="L16" s="62"/>
      <c r="M16" s="42"/>
      <c r="N16" s="63" t="n">
        <f aca="false">C16</f>
        <v>0</v>
      </c>
      <c r="O16" s="62" t="n">
        <f aca="false">I16+(M32)</f>
        <v>2</v>
      </c>
      <c r="P16" s="62" t="n">
        <f aca="false">MROUND((J16*1.05),5)</f>
        <v>0</v>
      </c>
      <c r="Q16" s="62" t="s">
        <v>41</v>
      </c>
      <c r="R16" s="62"/>
      <c r="S16" s="64"/>
      <c r="T16" s="65" t="n">
        <f aca="false">C16</f>
        <v>0</v>
      </c>
      <c r="U16" s="62" t="n">
        <f aca="false">O16+(S32)</f>
        <v>2</v>
      </c>
      <c r="V16" s="62" t="n">
        <f aca="false">MROUND((J16*1.075),5)</f>
        <v>0</v>
      </c>
      <c r="W16" s="62" t="s">
        <v>42</v>
      </c>
      <c r="X16" s="62"/>
      <c r="Y16" s="64"/>
      <c r="Z16" s="63" t="n">
        <f aca="false">C16</f>
        <v>0</v>
      </c>
      <c r="AA16" s="62" t="n">
        <f aca="false">U16+(Y32)</f>
        <v>2</v>
      </c>
      <c r="AB16" s="62" t="n">
        <f aca="false">MROUND((J16*1.1),5)</f>
        <v>0</v>
      </c>
      <c r="AC16" s="62" t="s">
        <v>43</v>
      </c>
      <c r="AD16" s="62"/>
      <c r="AE16" s="64"/>
      <c r="AF16" s="63" t="n">
        <f aca="false">C16</f>
        <v>0</v>
      </c>
      <c r="AG16" s="62" t="n">
        <v>2</v>
      </c>
      <c r="AH16" s="67" t="n">
        <f aca="false">J16</f>
        <v>0</v>
      </c>
      <c r="AI16" s="42" t="s">
        <v>44</v>
      </c>
    </row>
    <row r="17" customFormat="false" ht="15" hidden="false" customHeight="false" outlineLevel="0" collapsed="false">
      <c r="B17" s="68" t="s">
        <v>53</v>
      </c>
      <c r="C17" s="150"/>
      <c r="D17" s="70" t="str">
        <f aca="false" t="array" ref="D17:D17">INDEX(Table_Name28[Name List],MATCH(B17,Table_Name28[Category],0))</f>
        <v>Side_Delts[Exercise]</v>
      </c>
      <c r="E17" s="151" t="e">
        <f aca="false" t="array" ref="E17:E17">INDEX(Links49[Link],MATCH(C17,Links49[Exercise],0))</f>
        <v>#N/A</v>
      </c>
      <c r="F17" s="72" t="e">
        <f aca="false">HYPERLINK(E17,"Video")</f>
        <v>#N/A</v>
      </c>
      <c r="G17" s="73"/>
      <c r="H17" s="61" t="n">
        <f aca="false">C17</f>
        <v>0</v>
      </c>
      <c r="I17" s="62" t="n">
        <v>3</v>
      </c>
      <c r="J17" s="62" t="n">
        <f aca="false">MROUND(((G17)*0.75),5)</f>
        <v>0</v>
      </c>
      <c r="K17" s="62" t="s">
        <v>41</v>
      </c>
      <c r="L17" s="62" t="s">
        <v>11</v>
      </c>
      <c r="M17" s="42"/>
      <c r="N17" s="63" t="n">
        <f aca="false">C17</f>
        <v>0</v>
      </c>
      <c r="O17" s="62" t="n">
        <f aca="false">I17+(M35)</f>
        <v>3</v>
      </c>
      <c r="P17" s="62" t="n">
        <f aca="false">MROUND((J17*1.05),5)</f>
        <v>0</v>
      </c>
      <c r="Q17" s="62" t="s">
        <v>41</v>
      </c>
      <c r="R17" s="62"/>
      <c r="S17" s="64"/>
      <c r="T17" s="65" t="n">
        <f aca="false">C17</f>
        <v>0</v>
      </c>
      <c r="U17" s="62" t="n">
        <f aca="false">O17+(S35)</f>
        <v>3</v>
      </c>
      <c r="V17" s="62" t="n">
        <f aca="false">MROUND((J17*1.075),5)</f>
        <v>0</v>
      </c>
      <c r="W17" s="62" t="s">
        <v>42</v>
      </c>
      <c r="X17" s="62"/>
      <c r="Y17" s="64"/>
      <c r="Z17" s="63" t="n">
        <f aca="false">C17</f>
        <v>0</v>
      </c>
      <c r="AA17" s="62" t="n">
        <f aca="false">U17+(Y35)</f>
        <v>3</v>
      </c>
      <c r="AB17" s="62" t="n">
        <f aca="false">MROUND((J17*1.1),5)</f>
        <v>0</v>
      </c>
      <c r="AC17" s="62" t="s">
        <v>43</v>
      </c>
      <c r="AD17" s="62"/>
      <c r="AE17" s="64"/>
      <c r="AF17" s="63" t="n">
        <f aca="false">C17</f>
        <v>0</v>
      </c>
      <c r="AG17" s="62" t="n">
        <v>2</v>
      </c>
      <c r="AH17" s="67" t="n">
        <f aca="false">J17</f>
        <v>0</v>
      </c>
      <c r="AI17" s="42" t="s">
        <v>44</v>
      </c>
    </row>
    <row r="18" customFormat="false" ht="15" hidden="false" customHeight="false" outlineLevel="0" collapsed="false">
      <c r="B18" s="74" t="s">
        <v>55</v>
      </c>
      <c r="C18" s="152"/>
      <c r="D18" s="76" t="str">
        <f aca="false" t="array" ref="D18:D18">INDEX(Table_Name28[Name List],MATCH(B18,Table_Name28[Category],0))</f>
        <v>Abs[Exercise]</v>
      </c>
      <c r="E18" s="153" t="e">
        <f aca="false" t="array" ref="E18:E18">INDEX(Links49[Link],MATCH(C18,Links49[Exercise],0))</f>
        <v>#N/A</v>
      </c>
      <c r="F18" s="78" t="e">
        <f aca="false">HYPERLINK(E18,"Video")</f>
        <v>#N/A</v>
      </c>
      <c r="G18" s="79"/>
      <c r="H18" s="80" t="n">
        <f aca="false">C18</f>
        <v>0</v>
      </c>
      <c r="I18" s="81" t="n">
        <v>2</v>
      </c>
      <c r="J18" s="81" t="n">
        <f aca="false">MROUND(((G18)*0.75),5)</f>
        <v>0</v>
      </c>
      <c r="K18" s="81" t="s">
        <v>41</v>
      </c>
      <c r="L18" s="81"/>
      <c r="M18" s="82"/>
      <c r="N18" s="83" t="n">
        <f aca="false">C18</f>
        <v>0</v>
      </c>
      <c r="O18" s="81" t="n">
        <f aca="false">I18+(M39)</f>
        <v>2</v>
      </c>
      <c r="P18" s="81" t="n">
        <f aca="false">MROUND((J18*1.05),5)</f>
        <v>0</v>
      </c>
      <c r="Q18" s="81" t="s">
        <v>41</v>
      </c>
      <c r="R18" s="81"/>
      <c r="S18" s="64"/>
      <c r="T18" s="84" t="n">
        <f aca="false">C18</f>
        <v>0</v>
      </c>
      <c r="U18" s="81" t="n">
        <f aca="false">O18+(S39)</f>
        <v>2</v>
      </c>
      <c r="V18" s="81" t="n">
        <f aca="false">MROUND((J18*1.075),5)</f>
        <v>0</v>
      </c>
      <c r="W18" s="81" t="s">
        <v>42</v>
      </c>
      <c r="X18" s="81"/>
      <c r="Y18" s="64"/>
      <c r="Z18" s="83" t="n">
        <f aca="false">C18</f>
        <v>0</v>
      </c>
      <c r="AA18" s="81" t="n">
        <f aca="false">U18+(Y39)</f>
        <v>2</v>
      </c>
      <c r="AB18" s="81" t="n">
        <f aca="false">MROUND((J18*1.1),5)</f>
        <v>0</v>
      </c>
      <c r="AC18" s="81" t="s">
        <v>43</v>
      </c>
      <c r="AD18" s="81"/>
      <c r="AE18" s="64"/>
      <c r="AF18" s="83" t="n">
        <f aca="false">C18</f>
        <v>0</v>
      </c>
      <c r="AG18" s="81" t="n">
        <v>2</v>
      </c>
      <c r="AH18" s="85" t="n">
        <f aca="false">J18</f>
        <v>0</v>
      </c>
      <c r="AI18" s="82" t="s">
        <v>44</v>
      </c>
    </row>
    <row r="19" customFormat="false" ht="18.6" hidden="false" customHeight="false" outlineLevel="0" collapsed="false">
      <c r="B19" s="86" t="s">
        <v>57</v>
      </c>
      <c r="C19" s="41"/>
      <c r="D19" s="41"/>
      <c r="E19" s="41"/>
      <c r="F19" s="41"/>
      <c r="G19" s="42"/>
      <c r="H19" s="36" t="s">
        <v>20</v>
      </c>
      <c r="I19" s="36"/>
      <c r="J19" s="36"/>
      <c r="K19" s="36"/>
      <c r="L19" s="36"/>
      <c r="M19" s="36"/>
      <c r="N19" s="37" t="s">
        <v>21</v>
      </c>
      <c r="O19" s="37"/>
      <c r="P19" s="37"/>
      <c r="Q19" s="37"/>
      <c r="R19" s="37"/>
      <c r="S19" s="37"/>
      <c r="T19" s="38" t="s">
        <v>22</v>
      </c>
      <c r="U19" s="38"/>
      <c r="V19" s="38"/>
      <c r="W19" s="38"/>
      <c r="X19" s="38"/>
      <c r="Y19" s="38"/>
      <c r="Z19" s="39" t="s">
        <v>23</v>
      </c>
      <c r="AA19" s="39"/>
      <c r="AB19" s="39"/>
      <c r="AC19" s="39"/>
      <c r="AD19" s="39"/>
      <c r="AE19" s="39"/>
      <c r="AF19" s="40" t="s">
        <v>357</v>
      </c>
      <c r="AG19" s="40"/>
      <c r="AH19" s="40"/>
      <c r="AI19" s="40"/>
    </row>
    <row r="20" customFormat="false" ht="15" hidden="false" customHeight="false" outlineLevel="0" collapsed="false">
      <c r="B20" s="41"/>
      <c r="C20" s="41"/>
      <c r="D20" s="41"/>
      <c r="E20" s="41"/>
      <c r="F20" s="41"/>
      <c r="G20" s="41"/>
      <c r="H20" s="43" t="s">
        <v>29</v>
      </c>
      <c r="I20" s="44" t="s">
        <v>30</v>
      </c>
      <c r="J20" s="45" t="s">
        <v>31</v>
      </c>
      <c r="K20" s="46" t="s">
        <v>32</v>
      </c>
      <c r="L20" s="46" t="s">
        <v>33</v>
      </c>
      <c r="M20" s="47" t="s">
        <v>34</v>
      </c>
      <c r="N20" s="48" t="s">
        <v>29</v>
      </c>
      <c r="O20" s="48" t="s">
        <v>30</v>
      </c>
      <c r="P20" s="45" t="s">
        <v>31</v>
      </c>
      <c r="Q20" s="46" t="s">
        <v>32</v>
      </c>
      <c r="R20" s="46" t="s">
        <v>33</v>
      </c>
      <c r="S20" s="47" t="s">
        <v>34</v>
      </c>
      <c r="T20" s="48" t="s">
        <v>29</v>
      </c>
      <c r="U20" s="48" t="s">
        <v>30</v>
      </c>
      <c r="V20" s="45" t="s">
        <v>31</v>
      </c>
      <c r="W20" s="46" t="s">
        <v>32</v>
      </c>
      <c r="X20" s="46" t="s">
        <v>33</v>
      </c>
      <c r="Y20" s="47" t="s">
        <v>34</v>
      </c>
      <c r="Z20" s="48" t="s">
        <v>29</v>
      </c>
      <c r="AA20" s="48" t="s">
        <v>30</v>
      </c>
      <c r="AB20" s="45" t="s">
        <v>31</v>
      </c>
      <c r="AC20" s="87" t="s">
        <v>58</v>
      </c>
      <c r="AD20" s="46" t="s">
        <v>33</v>
      </c>
      <c r="AE20" s="47" t="s">
        <v>34</v>
      </c>
      <c r="AF20" s="48" t="s">
        <v>29</v>
      </c>
      <c r="AG20" s="48" t="s">
        <v>30</v>
      </c>
      <c r="AH20" s="45" t="s">
        <v>31</v>
      </c>
      <c r="AI20" s="49" t="s">
        <v>32</v>
      </c>
    </row>
    <row r="21" customFormat="false" ht="15" hidden="false" customHeight="false" outlineLevel="0" collapsed="false">
      <c r="B21" s="50" t="s">
        <v>59</v>
      </c>
      <c r="C21" s="51" t="s">
        <v>60</v>
      </c>
      <c r="D21" s="52"/>
      <c r="E21" s="88"/>
      <c r="F21" s="51" t="s">
        <v>37</v>
      </c>
      <c r="G21" s="51" t="s">
        <v>38</v>
      </c>
      <c r="H21" s="46" t="s">
        <v>60</v>
      </c>
      <c r="I21" s="53"/>
      <c r="J21" s="53"/>
      <c r="K21" s="53"/>
      <c r="L21" s="53"/>
      <c r="M21" s="54"/>
      <c r="N21" s="43" t="s">
        <v>60</v>
      </c>
      <c r="O21" s="53"/>
      <c r="P21" s="53"/>
      <c r="Q21" s="53"/>
      <c r="R21" s="53"/>
      <c r="S21" s="54"/>
      <c r="T21" s="43" t="s">
        <v>60</v>
      </c>
      <c r="U21" s="53"/>
      <c r="V21" s="53"/>
      <c r="W21" s="53"/>
      <c r="X21" s="53"/>
      <c r="Y21" s="53"/>
      <c r="Z21" s="43" t="s">
        <v>60</v>
      </c>
      <c r="AA21" s="53"/>
      <c r="AB21" s="53"/>
      <c r="AC21" s="53"/>
      <c r="AD21" s="53"/>
      <c r="AE21" s="53"/>
      <c r="AF21" s="43" t="s">
        <v>60</v>
      </c>
      <c r="AG21" s="53"/>
      <c r="AH21" s="53"/>
      <c r="AI21" s="54"/>
    </row>
    <row r="22" customFormat="false" ht="15" hidden="false" customHeight="false" outlineLevel="0" collapsed="false">
      <c r="B22" s="55" t="s">
        <v>61</v>
      </c>
      <c r="C22" s="147"/>
      <c r="D22" s="57" t="str">
        <f aca="false" t="array" ref="D22:D22">INDEX(Table_Name28[Name List],MATCH(B22,Table_Name28[Category],0))</f>
        <v>Quads[Exercise]</v>
      </c>
      <c r="E22" s="148" t="e">
        <f aca="false" t="array" ref="E22:E22">INDEX(Links49[Link],MATCH(C22,Links49[Exercise],0))</f>
        <v>#N/A</v>
      </c>
      <c r="F22" s="59" t="e">
        <f aca="false">HYPERLINK(E22,"Video")</f>
        <v>#N/A</v>
      </c>
      <c r="G22" s="60"/>
      <c r="H22" s="61" t="n">
        <f aca="false">C22</f>
        <v>0</v>
      </c>
      <c r="I22" s="62" t="n">
        <v>3</v>
      </c>
      <c r="J22" s="62" t="n">
        <f aca="false">MROUND(((G22)*0.75),5)</f>
        <v>0</v>
      </c>
      <c r="K22" s="62" t="s">
        <v>41</v>
      </c>
      <c r="L22" s="62"/>
      <c r="M22" s="42"/>
      <c r="N22" s="61" t="n">
        <f aca="false">C22</f>
        <v>0</v>
      </c>
      <c r="O22" s="62" t="n">
        <f aca="false">I22+(M45)</f>
        <v>3</v>
      </c>
      <c r="P22" s="62" t="n">
        <f aca="false">MROUND((J22*1.05),5)</f>
        <v>0</v>
      </c>
      <c r="Q22" s="62" t="s">
        <v>41</v>
      </c>
      <c r="R22" s="62"/>
      <c r="S22" s="64"/>
      <c r="T22" s="65" t="n">
        <f aca="false">C22</f>
        <v>0</v>
      </c>
      <c r="U22" s="62" t="n">
        <f aca="false">O22+(S45)</f>
        <v>3</v>
      </c>
      <c r="V22" s="62" t="n">
        <f aca="false">MROUND((J22*1.075),5)</f>
        <v>0</v>
      </c>
      <c r="W22" s="62" t="s">
        <v>42</v>
      </c>
      <c r="X22" s="62"/>
      <c r="Y22" s="64"/>
      <c r="Z22" s="63" t="n">
        <f aca="false">C22</f>
        <v>0</v>
      </c>
      <c r="AA22" s="62" t="n">
        <f aca="false">U22+(Y45)</f>
        <v>3</v>
      </c>
      <c r="AB22" s="62" t="n">
        <f aca="false">MROUND((J22*1.1),5)</f>
        <v>0</v>
      </c>
      <c r="AC22" s="62" t="s">
        <v>43</v>
      </c>
      <c r="AD22" s="62"/>
      <c r="AE22" s="154"/>
      <c r="AF22" s="63" t="n">
        <f aca="false">C22</f>
        <v>0</v>
      </c>
      <c r="AG22" s="62" t="n">
        <v>2</v>
      </c>
      <c r="AH22" s="67" t="n">
        <f aca="false">J22</f>
        <v>0</v>
      </c>
      <c r="AI22" s="42" t="s">
        <v>44</v>
      </c>
    </row>
    <row r="23" customFormat="false" ht="15" hidden="false" customHeight="false" outlineLevel="0" collapsed="false">
      <c r="B23" s="68" t="s">
        <v>61</v>
      </c>
      <c r="C23" s="150"/>
      <c r="D23" s="70" t="str">
        <f aca="false" t="array" ref="D23:D23">INDEX(Table_Name28[Name List],MATCH(B23,Table_Name28[Category],0))</f>
        <v>Quads[Exercise]</v>
      </c>
      <c r="E23" s="151" t="e">
        <f aca="false" t="array" ref="E23:E23">INDEX(Links49[Link],MATCH(C23,Links49[Exercise],0))</f>
        <v>#N/A</v>
      </c>
      <c r="F23" s="72" t="e">
        <f aca="false">HYPERLINK(E23,"Video")</f>
        <v>#N/A</v>
      </c>
      <c r="G23" s="73"/>
      <c r="H23" s="61" t="n">
        <f aca="false">C23</f>
        <v>0</v>
      </c>
      <c r="I23" s="62" t="n">
        <v>3</v>
      </c>
      <c r="J23" s="62" t="n">
        <f aca="false">MROUND(((G23)*0.75),5)</f>
        <v>0</v>
      </c>
      <c r="K23" s="62" t="s">
        <v>41</v>
      </c>
      <c r="L23" s="62"/>
      <c r="M23" s="42"/>
      <c r="N23" s="61" t="n">
        <f aca="false">C23</f>
        <v>0</v>
      </c>
      <c r="O23" s="62" t="n">
        <f aca="false">I23+(M45)</f>
        <v>3</v>
      </c>
      <c r="P23" s="62" t="n">
        <f aca="false">MROUND((J23*1.05),5)</f>
        <v>0</v>
      </c>
      <c r="Q23" s="62" t="s">
        <v>41</v>
      </c>
      <c r="R23" s="62"/>
      <c r="S23" s="64"/>
      <c r="T23" s="65" t="n">
        <f aca="false">C23</f>
        <v>0</v>
      </c>
      <c r="U23" s="62" t="n">
        <f aca="false">O23+(S45)</f>
        <v>3</v>
      </c>
      <c r="V23" s="62" t="n">
        <f aca="false">MROUND((J23*1.075),5)</f>
        <v>0</v>
      </c>
      <c r="W23" s="62" t="s">
        <v>42</v>
      </c>
      <c r="X23" s="62"/>
      <c r="Y23" s="64"/>
      <c r="Z23" s="63" t="n">
        <f aca="false">C23</f>
        <v>0</v>
      </c>
      <c r="AA23" s="62" t="n">
        <f aca="false">U23+(Y45)</f>
        <v>3</v>
      </c>
      <c r="AB23" s="62" t="n">
        <f aca="false">MROUND((J23*1.1),5)</f>
        <v>0</v>
      </c>
      <c r="AC23" s="62" t="s">
        <v>43</v>
      </c>
      <c r="AD23" s="62"/>
      <c r="AE23" s="154"/>
      <c r="AF23" s="63" t="n">
        <f aca="false">C23</f>
        <v>0</v>
      </c>
      <c r="AG23" s="62" t="n">
        <v>2</v>
      </c>
      <c r="AH23" s="67" t="n">
        <f aca="false">J23</f>
        <v>0</v>
      </c>
      <c r="AI23" s="42" t="s">
        <v>44</v>
      </c>
    </row>
    <row r="24" customFormat="false" ht="15" hidden="false" customHeight="false" outlineLevel="0" collapsed="false">
      <c r="B24" s="68" t="s">
        <v>64</v>
      </c>
      <c r="C24" s="150"/>
      <c r="D24" s="70" t="str">
        <f aca="false" t="array" ref="D24:D24">INDEX(Table_Name28[Name List],MATCH(B24,Table_Name28[Category],0))</f>
        <v>Hamstrings_Isolation[Exercise]</v>
      </c>
      <c r="E24" s="151" t="e">
        <f aca="false" t="array" ref="E24:E24">INDEX(Links49[Link],MATCH(C24,Links49[Exercise],0))</f>
        <v>#N/A</v>
      </c>
      <c r="F24" s="72" t="e">
        <f aca="false">HYPERLINK(E24,"Video")</f>
        <v>#N/A</v>
      </c>
      <c r="G24" s="73"/>
      <c r="H24" s="61" t="n">
        <f aca="false">C24</f>
        <v>0</v>
      </c>
      <c r="I24" s="62" t="n">
        <v>4</v>
      </c>
      <c r="J24" s="62" t="n">
        <f aca="false">MROUND(((G24)*0.75),5)</f>
        <v>0</v>
      </c>
      <c r="K24" s="62" t="s">
        <v>41</v>
      </c>
      <c r="L24" s="62"/>
      <c r="M24" s="42"/>
      <c r="N24" s="61" t="n">
        <f aca="false">C24</f>
        <v>0</v>
      </c>
      <c r="O24" s="62" t="n">
        <f aca="false">I24+(M44)</f>
        <v>4</v>
      </c>
      <c r="P24" s="62" t="n">
        <f aca="false">MROUND((J24*1.05),5)</f>
        <v>0</v>
      </c>
      <c r="Q24" s="62" t="s">
        <v>41</v>
      </c>
      <c r="R24" s="62"/>
      <c r="S24" s="64"/>
      <c r="T24" s="65" t="n">
        <f aca="false">C24</f>
        <v>0</v>
      </c>
      <c r="U24" s="62" t="n">
        <f aca="false">O24+(S44)</f>
        <v>4</v>
      </c>
      <c r="V24" s="62" t="n">
        <f aca="false">MROUND((J24*1.075),5)</f>
        <v>0</v>
      </c>
      <c r="W24" s="62" t="s">
        <v>42</v>
      </c>
      <c r="X24" s="62"/>
      <c r="Y24" s="64"/>
      <c r="Z24" s="63" t="n">
        <f aca="false">C24</f>
        <v>0</v>
      </c>
      <c r="AA24" s="62" t="n">
        <f aca="false">U24+(Y44)</f>
        <v>4</v>
      </c>
      <c r="AB24" s="62" t="n">
        <f aca="false">MROUND((J24*1.1),5)</f>
        <v>0</v>
      </c>
      <c r="AC24" s="62" t="s">
        <v>43</v>
      </c>
      <c r="AD24" s="62"/>
      <c r="AE24" s="154"/>
      <c r="AF24" s="63" t="n">
        <f aca="false">C24</f>
        <v>0</v>
      </c>
      <c r="AG24" s="62" t="n">
        <v>2</v>
      </c>
      <c r="AH24" s="67" t="n">
        <f aca="false">J24</f>
        <v>0</v>
      </c>
      <c r="AI24" s="42" t="s">
        <v>44</v>
      </c>
    </row>
    <row r="25" customFormat="false" ht="15" hidden="false" customHeight="false" outlineLevel="0" collapsed="false">
      <c r="B25" s="155" t="s">
        <v>66</v>
      </c>
      <c r="C25" s="156"/>
      <c r="D25" s="157" t="str">
        <f aca="false" t="array" ref="D25:D25">INDEX(Table_Name28[Name List],MATCH(B25,Table_Name28[Category],0))</f>
        <v>Calves[Exercise]</v>
      </c>
      <c r="E25" s="158" t="e">
        <f aca="false" t="array" ref="E25:E25">INDEX(Links49[Link],MATCH(C25,Links49[Exercise],0))</f>
        <v>#N/A</v>
      </c>
      <c r="F25" s="159" t="e">
        <f aca="false">HYPERLINK(E25,"Video")</f>
        <v>#N/A</v>
      </c>
      <c r="G25" s="160"/>
      <c r="H25" s="61" t="n">
        <f aca="false">C25</f>
        <v>0</v>
      </c>
      <c r="I25" s="62" t="n">
        <v>4</v>
      </c>
      <c r="J25" s="62" t="n">
        <f aca="false">MROUND(((G25)*0.75),5)</f>
        <v>0</v>
      </c>
      <c r="K25" s="62" t="s">
        <v>41</v>
      </c>
      <c r="L25" s="62"/>
      <c r="M25" s="42"/>
      <c r="N25" s="61" t="n">
        <f aca="false">C25</f>
        <v>0</v>
      </c>
      <c r="O25" s="62" t="n">
        <f aca="false">I25+(M49)</f>
        <v>4</v>
      </c>
      <c r="P25" s="62" t="n">
        <f aca="false">MROUND((J25*1.05),5)</f>
        <v>0</v>
      </c>
      <c r="Q25" s="62" t="s">
        <v>41</v>
      </c>
      <c r="R25" s="62"/>
      <c r="S25" s="119"/>
      <c r="T25" s="65" t="n">
        <f aca="false">C25</f>
        <v>0</v>
      </c>
      <c r="U25" s="62" t="n">
        <f aca="false">O25+(S49)</f>
        <v>4</v>
      </c>
      <c r="V25" s="62" t="n">
        <f aca="false">MROUND((J25*1.075),5)</f>
        <v>0</v>
      </c>
      <c r="W25" s="62" t="s">
        <v>42</v>
      </c>
      <c r="X25" s="62"/>
      <c r="Y25" s="119"/>
      <c r="Z25" s="63" t="n">
        <f aca="false">C25</f>
        <v>0</v>
      </c>
      <c r="AA25" s="62" t="n">
        <f aca="false">U25+(Y49)</f>
        <v>4</v>
      </c>
      <c r="AB25" s="62" t="n">
        <f aca="false">MROUND((J25*1.1),5)</f>
        <v>0</v>
      </c>
      <c r="AC25" s="62" t="s">
        <v>43</v>
      </c>
      <c r="AD25" s="62"/>
      <c r="AE25" s="161"/>
      <c r="AF25" s="63" t="n">
        <f aca="false">C25</f>
        <v>0</v>
      </c>
      <c r="AG25" s="62" t="n">
        <v>2</v>
      </c>
      <c r="AH25" s="67" t="n">
        <f aca="false">J25</f>
        <v>0</v>
      </c>
      <c r="AI25" s="42" t="s">
        <v>44</v>
      </c>
    </row>
    <row r="26" customFormat="false" ht="15" hidden="false" customHeight="false" outlineLevel="0" collapsed="false">
      <c r="A26" s="120" t="s">
        <v>358</v>
      </c>
      <c r="B26" s="121" t="s">
        <v>68</v>
      </c>
      <c r="C26" s="122"/>
      <c r="D26" s="123" t="str">
        <f aca="false" t="array" ref="D26:D26">INDEX(Table_Name28[Name List],MATCH(B26,Table_Name28[Category],0))</f>
        <v>Triceps[Exercise]</v>
      </c>
      <c r="E26" s="124" t="e">
        <f aca="false" t="array" ref="E26:E26">INDEX(Links49[Link],MATCH(C26,Links49[Exercise],0))</f>
        <v>#N/A</v>
      </c>
      <c r="F26" s="125" t="e">
        <f aca="false">HYPERLINK(E26,"Video")</f>
        <v>#N/A</v>
      </c>
      <c r="G26" s="126"/>
      <c r="H26" s="127" t="n">
        <f aca="false">C26</f>
        <v>0</v>
      </c>
      <c r="I26" s="128" t="n">
        <v>3</v>
      </c>
      <c r="J26" s="128" t="n">
        <f aca="false">MROUND(((G26)*0.75),5)</f>
        <v>0</v>
      </c>
      <c r="K26" s="128" t="s">
        <v>41</v>
      </c>
      <c r="L26" s="128"/>
      <c r="M26" s="129"/>
      <c r="N26" s="127" t="n">
        <f aca="false">C26</f>
        <v>0</v>
      </c>
      <c r="O26" s="128" t="n">
        <f aca="false">I26+(M38)</f>
        <v>3</v>
      </c>
      <c r="P26" s="128" t="n">
        <f aca="false">MROUND((J26*1.05),5)</f>
        <v>0</v>
      </c>
      <c r="Q26" s="128" t="s">
        <v>41</v>
      </c>
      <c r="R26" s="128"/>
      <c r="S26" s="131"/>
      <c r="T26" s="132" t="n">
        <f aca="false">C26</f>
        <v>0</v>
      </c>
      <c r="U26" s="128" t="n">
        <f aca="false">O26+(S38)</f>
        <v>3</v>
      </c>
      <c r="V26" s="128" t="n">
        <f aca="false">MROUND((J26*1.075),5)</f>
        <v>0</v>
      </c>
      <c r="W26" s="128" t="s">
        <v>42</v>
      </c>
      <c r="X26" s="128"/>
      <c r="Y26" s="131"/>
      <c r="Z26" s="130" t="n">
        <f aca="false">C26</f>
        <v>0</v>
      </c>
      <c r="AA26" s="128" t="n">
        <f aca="false">U26+(Y38)</f>
        <v>3</v>
      </c>
      <c r="AB26" s="128" t="n">
        <f aca="false">MROUND((J26*1.1),5)</f>
        <v>0</v>
      </c>
      <c r="AC26" s="128" t="s">
        <v>43</v>
      </c>
      <c r="AD26" s="128"/>
      <c r="AE26" s="162"/>
      <c r="AF26" s="63" t="n">
        <f aca="false">C26</f>
        <v>0</v>
      </c>
      <c r="AG26" s="62" t="n">
        <v>2</v>
      </c>
      <c r="AH26" s="67" t="n">
        <f aca="false">J26</f>
        <v>0</v>
      </c>
      <c r="AI26" s="42" t="s">
        <v>44</v>
      </c>
    </row>
    <row r="27" customFormat="false" ht="15" hidden="false" customHeight="false" outlineLevel="0" collapsed="false">
      <c r="A27" s="120" t="s">
        <v>359</v>
      </c>
      <c r="B27" s="134" t="s">
        <v>70</v>
      </c>
      <c r="C27" s="135"/>
      <c r="D27" s="136" t="str">
        <f aca="false" t="array" ref="D27:D27">INDEX(Table_Name28[Name List],MATCH(B27,Table_Name28[Category],0))</f>
        <v>Front_Delts[Exercise]</v>
      </c>
      <c r="E27" s="137" t="e">
        <f aca="false" t="array" ref="E27:E27">INDEX(Links49[Link],MATCH(C27,Links49[Exercise],0))</f>
        <v>#N/A</v>
      </c>
      <c r="F27" s="138" t="e">
        <f aca="false">HYPERLINK(E27,"Video")</f>
        <v>#N/A</v>
      </c>
      <c r="G27" s="139"/>
      <c r="H27" s="140" t="n">
        <f aca="false">C27</f>
        <v>0</v>
      </c>
      <c r="I27" s="141" t="n">
        <v>3</v>
      </c>
      <c r="J27" s="141" t="n">
        <f aca="false">MROUND(((G27)*0.6),5)</f>
        <v>0</v>
      </c>
      <c r="K27" s="141" t="s">
        <v>41</v>
      </c>
      <c r="L27" s="141"/>
      <c r="M27" s="142"/>
      <c r="N27" s="140" t="n">
        <f aca="false">C27</f>
        <v>0</v>
      </c>
      <c r="O27" s="141" t="n">
        <f aca="false">I26+(M38)</f>
        <v>3</v>
      </c>
      <c r="P27" s="141" t="n">
        <f aca="false">MROUND((J27*1.05),5)</f>
        <v>0</v>
      </c>
      <c r="Q27" s="141" t="s">
        <v>41</v>
      </c>
      <c r="R27" s="141"/>
      <c r="S27" s="144"/>
      <c r="T27" s="145" t="n">
        <f aca="false">C27</f>
        <v>0</v>
      </c>
      <c r="U27" s="141" t="n">
        <f aca="false">O26+(S38)</f>
        <v>3</v>
      </c>
      <c r="V27" s="141" t="n">
        <f aca="false">MROUND((J27*1.075),5)</f>
        <v>0</v>
      </c>
      <c r="W27" s="141" t="s">
        <v>42</v>
      </c>
      <c r="X27" s="141"/>
      <c r="Y27" s="144"/>
      <c r="Z27" s="143" t="n">
        <f aca="false">C27</f>
        <v>0</v>
      </c>
      <c r="AA27" s="141" t="n">
        <f aca="false">U26+(Y38)</f>
        <v>3</v>
      </c>
      <c r="AB27" s="141" t="n">
        <f aca="false">MROUND((J27*1.1),5)</f>
        <v>0</v>
      </c>
      <c r="AC27" s="141" t="s">
        <v>43</v>
      </c>
      <c r="AD27" s="141"/>
      <c r="AE27" s="163"/>
      <c r="AF27" s="63"/>
      <c r="AG27" s="62"/>
      <c r="AH27" s="67"/>
      <c r="AI27" s="42"/>
    </row>
    <row r="28" customFormat="false" ht="15" hidden="false" customHeight="false" outlineLevel="0" collapsed="false">
      <c r="B28" s="164" t="s">
        <v>70</v>
      </c>
      <c r="C28" s="165"/>
      <c r="D28" s="166" t="str">
        <f aca="false" t="array" ref="D28:D28">INDEX(Table_Name28[Name List],MATCH(B28,Table_Name28[Category],0))</f>
        <v>Front_Delts[Exercise]</v>
      </c>
      <c r="E28" s="167" t="e">
        <f aca="false" t="array" ref="E28:E28">INDEX(Links49[Link],MATCH(C28,Links49[Exercise],0))</f>
        <v>#N/A</v>
      </c>
      <c r="F28" s="168" t="e">
        <f aca="false">HYPERLINK(E28,"Video")</f>
        <v>#N/A</v>
      </c>
      <c r="G28" s="169"/>
      <c r="H28" s="61" t="n">
        <f aca="false">C28</f>
        <v>0</v>
      </c>
      <c r="I28" s="62" t="n">
        <v>3</v>
      </c>
      <c r="J28" s="81" t="n">
        <f aca="false">MROUND(((G28)*0.75),5)</f>
        <v>0</v>
      </c>
      <c r="K28" s="62" t="s">
        <v>41</v>
      </c>
      <c r="L28" s="62"/>
      <c r="M28" s="42"/>
      <c r="N28" s="61" t="n">
        <f aca="false">C28</f>
        <v>0</v>
      </c>
      <c r="O28" s="62" t="n">
        <f aca="false">I28+(M38)</f>
        <v>3</v>
      </c>
      <c r="P28" s="62" t="n">
        <f aca="false">MROUND((J28*1.05),5)</f>
        <v>0</v>
      </c>
      <c r="Q28" s="62" t="s">
        <v>41</v>
      </c>
      <c r="R28" s="62"/>
      <c r="S28" s="149"/>
      <c r="T28" s="65" t="n">
        <f aca="false">C28</f>
        <v>0</v>
      </c>
      <c r="U28" s="62" t="n">
        <f aca="false">O28+(S38)</f>
        <v>3</v>
      </c>
      <c r="V28" s="62" t="n">
        <f aca="false">MROUND((J28*1.075),5)</f>
        <v>0</v>
      </c>
      <c r="W28" s="62" t="s">
        <v>42</v>
      </c>
      <c r="X28" s="62"/>
      <c r="Y28" s="149"/>
      <c r="Z28" s="63" t="n">
        <f aca="false">C28</f>
        <v>0</v>
      </c>
      <c r="AA28" s="62" t="n">
        <f aca="false">U28+(Y38)</f>
        <v>3</v>
      </c>
      <c r="AB28" s="62" t="n">
        <f aca="false">MROUND((J28*1.1),5)</f>
        <v>0</v>
      </c>
      <c r="AC28" s="62" t="s">
        <v>43</v>
      </c>
      <c r="AD28" s="62"/>
      <c r="AE28" s="170"/>
      <c r="AF28" s="83" t="n">
        <f aca="false">C28</f>
        <v>0</v>
      </c>
      <c r="AG28" s="81" t="n">
        <v>2</v>
      </c>
      <c r="AH28" s="85" t="n">
        <f aca="false">J28</f>
        <v>0</v>
      </c>
      <c r="AI28" s="82" t="s">
        <v>44</v>
      </c>
    </row>
    <row r="29" customFormat="false" ht="18.6" hidden="false" customHeight="false" outlineLevel="0" collapsed="false">
      <c r="B29" s="86" t="s">
        <v>72</v>
      </c>
      <c r="C29" s="41"/>
      <c r="D29" s="41"/>
      <c r="E29" s="41"/>
      <c r="F29" s="41"/>
      <c r="G29" s="42"/>
      <c r="H29" s="36" t="s">
        <v>20</v>
      </c>
      <c r="I29" s="36"/>
      <c r="J29" s="36"/>
      <c r="K29" s="36"/>
      <c r="L29" s="36"/>
      <c r="M29" s="36"/>
      <c r="N29" s="37" t="s">
        <v>21</v>
      </c>
      <c r="O29" s="37"/>
      <c r="P29" s="37"/>
      <c r="Q29" s="37"/>
      <c r="R29" s="37"/>
      <c r="S29" s="37"/>
      <c r="T29" s="38" t="s">
        <v>22</v>
      </c>
      <c r="U29" s="38"/>
      <c r="V29" s="38"/>
      <c r="W29" s="38"/>
      <c r="X29" s="38"/>
      <c r="Y29" s="38"/>
      <c r="Z29" s="39" t="s">
        <v>23</v>
      </c>
      <c r="AA29" s="39"/>
      <c r="AB29" s="39"/>
      <c r="AC29" s="39"/>
      <c r="AD29" s="39"/>
      <c r="AE29" s="39"/>
      <c r="AF29" s="40" t="s">
        <v>357</v>
      </c>
      <c r="AG29" s="40"/>
      <c r="AH29" s="40"/>
      <c r="AI29" s="40"/>
    </row>
    <row r="30" customFormat="false" ht="15" hidden="false" customHeight="false" outlineLevel="0" collapsed="false">
      <c r="B30" s="41"/>
      <c r="C30" s="41"/>
      <c r="D30" s="41"/>
      <c r="E30" s="41"/>
      <c r="F30" s="41"/>
      <c r="G30" s="41"/>
      <c r="H30" s="43" t="s">
        <v>29</v>
      </c>
      <c r="I30" s="44" t="s">
        <v>30</v>
      </c>
      <c r="J30" s="45" t="s">
        <v>31</v>
      </c>
      <c r="K30" s="46" t="s">
        <v>32</v>
      </c>
      <c r="L30" s="46" t="s">
        <v>33</v>
      </c>
      <c r="M30" s="47" t="s">
        <v>34</v>
      </c>
      <c r="N30" s="48" t="s">
        <v>29</v>
      </c>
      <c r="O30" s="48" t="s">
        <v>30</v>
      </c>
      <c r="P30" s="45" t="s">
        <v>31</v>
      </c>
      <c r="Q30" s="46" t="s">
        <v>32</v>
      </c>
      <c r="R30" s="46" t="s">
        <v>33</v>
      </c>
      <c r="S30" s="47" t="s">
        <v>34</v>
      </c>
      <c r="T30" s="48" t="s">
        <v>29</v>
      </c>
      <c r="U30" s="48" t="s">
        <v>30</v>
      </c>
      <c r="V30" s="45" t="s">
        <v>31</v>
      </c>
      <c r="W30" s="46" t="s">
        <v>32</v>
      </c>
      <c r="X30" s="46" t="s">
        <v>33</v>
      </c>
      <c r="Y30" s="47" t="s">
        <v>34</v>
      </c>
      <c r="Z30" s="48" t="s">
        <v>29</v>
      </c>
      <c r="AA30" s="48" t="s">
        <v>30</v>
      </c>
      <c r="AB30" s="45" t="s">
        <v>31</v>
      </c>
      <c r="AC30" s="87" t="s">
        <v>58</v>
      </c>
      <c r="AD30" s="46" t="s">
        <v>33</v>
      </c>
      <c r="AE30" s="47" t="s">
        <v>34</v>
      </c>
      <c r="AF30" s="48" t="s">
        <v>29</v>
      </c>
      <c r="AG30" s="48" t="s">
        <v>30</v>
      </c>
      <c r="AH30" s="45" t="s">
        <v>31</v>
      </c>
      <c r="AI30" s="49" t="s">
        <v>32</v>
      </c>
    </row>
    <row r="31" customFormat="false" ht="15" hidden="false" customHeight="false" outlineLevel="0" collapsed="false">
      <c r="B31" s="50" t="s">
        <v>35</v>
      </c>
      <c r="C31" s="51" t="s">
        <v>73</v>
      </c>
      <c r="D31" s="52"/>
      <c r="E31" s="88"/>
      <c r="F31" s="51" t="s">
        <v>37</v>
      </c>
      <c r="G31" s="51" t="s">
        <v>38</v>
      </c>
      <c r="H31" s="46" t="s">
        <v>73</v>
      </c>
      <c r="I31" s="53"/>
      <c r="J31" s="53"/>
      <c r="K31" s="53"/>
      <c r="L31" s="53"/>
      <c r="M31" s="54"/>
      <c r="N31" s="43" t="s">
        <v>73</v>
      </c>
      <c r="O31" s="53"/>
      <c r="P31" s="53"/>
      <c r="Q31" s="53"/>
      <c r="R31" s="53"/>
      <c r="S31" s="54"/>
      <c r="T31" s="43" t="s">
        <v>73</v>
      </c>
      <c r="U31" s="53"/>
      <c r="V31" s="53"/>
      <c r="W31" s="53"/>
      <c r="X31" s="53"/>
      <c r="Y31" s="53"/>
      <c r="Z31" s="43" t="s">
        <v>73</v>
      </c>
      <c r="AA31" s="53"/>
      <c r="AB31" s="53"/>
      <c r="AC31" s="53"/>
      <c r="AD31" s="53"/>
      <c r="AE31" s="53"/>
      <c r="AF31" s="43" t="s">
        <v>73</v>
      </c>
      <c r="AG31" s="53"/>
      <c r="AH31" s="53"/>
      <c r="AI31" s="54"/>
    </row>
    <row r="32" customFormat="false" ht="15" hidden="false" customHeight="false" outlineLevel="0" collapsed="false">
      <c r="B32" s="55" t="s">
        <v>51</v>
      </c>
      <c r="C32" s="147"/>
      <c r="D32" s="57" t="str">
        <f aca="false" t="array" ref="D32:D32">INDEX(Table_Name28[Name List],MATCH(B32,Table_Name28[Category],0))</f>
        <v>Vertical_Back[Exercise]</v>
      </c>
      <c r="E32" s="148" t="e">
        <f aca="false" t="array" ref="E32:E32">INDEX(Links49[Link],MATCH(C32,Links49[Exercise],0))</f>
        <v>#N/A</v>
      </c>
      <c r="F32" s="59" t="e">
        <f aca="false">HYPERLINK(E32,"Video")</f>
        <v>#N/A</v>
      </c>
      <c r="G32" s="60"/>
      <c r="H32" s="61" t="n">
        <f aca="false">C32</f>
        <v>0</v>
      </c>
      <c r="I32" s="62" t="n">
        <v>3</v>
      </c>
      <c r="J32" s="62" t="n">
        <f aca="false">MROUND(((G32)*0.75),5)</f>
        <v>0</v>
      </c>
      <c r="K32" s="62" t="s">
        <v>41</v>
      </c>
      <c r="L32" s="62"/>
      <c r="M32" s="64"/>
      <c r="N32" s="61" t="n">
        <f aca="false">C32</f>
        <v>0</v>
      </c>
      <c r="O32" s="62" t="n">
        <f aca="false">I32+(S16)</f>
        <v>3</v>
      </c>
      <c r="P32" s="62" t="n">
        <f aca="false">MROUND((J32*1.05),5)</f>
        <v>0</v>
      </c>
      <c r="Q32" s="62" t="s">
        <v>41</v>
      </c>
      <c r="R32" s="62"/>
      <c r="S32" s="64"/>
      <c r="T32" s="65" t="n">
        <f aca="false">C32</f>
        <v>0</v>
      </c>
      <c r="U32" s="62" t="n">
        <f aca="false">O32+(Y16)</f>
        <v>3</v>
      </c>
      <c r="V32" s="62" t="n">
        <f aca="false">MROUND((J32*1.075),5)</f>
        <v>0</v>
      </c>
      <c r="W32" s="62" t="s">
        <v>42</v>
      </c>
      <c r="X32" s="62"/>
      <c r="Y32" s="64"/>
      <c r="Z32" s="63" t="n">
        <f aca="false">C32</f>
        <v>0</v>
      </c>
      <c r="AA32" s="62" t="n">
        <f aca="false">U32+(AE16)</f>
        <v>3</v>
      </c>
      <c r="AB32" s="62" t="n">
        <f aca="false">MROUND((J32*1.1),5)</f>
        <v>0</v>
      </c>
      <c r="AC32" s="62" t="s">
        <v>43</v>
      </c>
      <c r="AD32" s="62"/>
      <c r="AE32" s="62"/>
      <c r="AF32" s="63" t="n">
        <f aca="false">C32</f>
        <v>0</v>
      </c>
      <c r="AG32" s="62" t="n">
        <v>2</v>
      </c>
      <c r="AH32" s="67" t="n">
        <f aca="false">MROUND((J32*0.5),5)</f>
        <v>0</v>
      </c>
      <c r="AI32" s="42" t="s">
        <v>44</v>
      </c>
    </row>
    <row r="33" customFormat="false" ht="15" hidden="false" customHeight="false" outlineLevel="0" collapsed="false">
      <c r="B33" s="68" t="s">
        <v>51</v>
      </c>
      <c r="C33" s="150"/>
      <c r="D33" s="70" t="str">
        <f aca="false" t="array" ref="D33:D33">INDEX(Table_Name28[Name List],MATCH(B33,Table_Name28[Category],0))</f>
        <v>Vertical_Back[Exercise]</v>
      </c>
      <c r="E33" s="151" t="e">
        <f aca="false" t="array" ref="E33:E33">INDEX(Links49[Link],MATCH(C33,Links49[Exercise],0))</f>
        <v>#N/A</v>
      </c>
      <c r="F33" s="72" t="e">
        <f aca="false">HYPERLINK(E33,"Video")</f>
        <v>#N/A</v>
      </c>
      <c r="G33" s="73"/>
      <c r="H33" s="61" t="n">
        <f aca="false">C33</f>
        <v>0</v>
      </c>
      <c r="I33" s="62" t="n">
        <v>3</v>
      </c>
      <c r="J33" s="62" t="n">
        <f aca="false">MROUND(((G33)*0.75),5)</f>
        <v>0</v>
      </c>
      <c r="K33" s="62" t="s">
        <v>41</v>
      </c>
      <c r="L33" s="62"/>
      <c r="M33" s="64"/>
      <c r="N33" s="61" t="n">
        <f aca="false">C33</f>
        <v>0</v>
      </c>
      <c r="O33" s="62" t="n">
        <f aca="false">I33+(S16)</f>
        <v>3</v>
      </c>
      <c r="P33" s="62" t="n">
        <f aca="false">MROUND((J33*1.05),5)</f>
        <v>0</v>
      </c>
      <c r="Q33" s="62" t="s">
        <v>41</v>
      </c>
      <c r="R33" s="62"/>
      <c r="S33" s="64"/>
      <c r="T33" s="65" t="n">
        <f aca="false">C33</f>
        <v>0</v>
      </c>
      <c r="U33" s="62" t="n">
        <f aca="false">O33+(Y16)</f>
        <v>3</v>
      </c>
      <c r="V33" s="62" t="n">
        <f aca="false">MROUND((J33*1.075),5)</f>
        <v>0</v>
      </c>
      <c r="W33" s="62" t="s">
        <v>42</v>
      </c>
      <c r="X33" s="62"/>
      <c r="Y33" s="64"/>
      <c r="Z33" s="63" t="n">
        <f aca="false">C33</f>
        <v>0</v>
      </c>
      <c r="AA33" s="62" t="n">
        <f aca="false">U33+(AE16)</f>
        <v>3</v>
      </c>
      <c r="AB33" s="62" t="n">
        <f aca="false">MROUND((J33*1.1),5)</f>
        <v>0</v>
      </c>
      <c r="AC33" s="62" t="s">
        <v>43</v>
      </c>
      <c r="AD33" s="62"/>
      <c r="AE33" s="62"/>
      <c r="AF33" s="63" t="n">
        <f aca="false">C33</f>
        <v>0</v>
      </c>
      <c r="AG33" s="62" t="n">
        <v>2</v>
      </c>
      <c r="AH33" s="67" t="n">
        <f aca="false">MROUND((J33*0.5),5)</f>
        <v>0</v>
      </c>
      <c r="AI33" s="42" t="s">
        <v>44</v>
      </c>
    </row>
    <row r="34" customFormat="false" ht="15" hidden="false" customHeight="false" outlineLevel="0" collapsed="false">
      <c r="B34" s="155" t="s">
        <v>49</v>
      </c>
      <c r="C34" s="156"/>
      <c r="D34" s="157" t="str">
        <f aca="false" t="array" ref="D34:D34">INDEX(Table_Name28[Name List],MATCH(B34,Table_Name28[Category],0))</f>
        <v>Horizontal_Back[Exercise]</v>
      </c>
      <c r="E34" s="158" t="e">
        <f aca="false" t="array" ref="E34:E34">INDEX(Links49[Link],MATCH(C34,Links49[Exercise],0))</f>
        <v>#N/A</v>
      </c>
      <c r="F34" s="159" t="e">
        <f aca="false">HYPERLINK(E34,"Video")</f>
        <v>#N/A</v>
      </c>
      <c r="G34" s="160"/>
      <c r="H34" s="61" t="n">
        <f aca="false">C34</f>
        <v>0</v>
      </c>
      <c r="I34" s="62" t="n">
        <v>2</v>
      </c>
      <c r="J34" s="141" t="n">
        <f aca="false">MROUND(((G34)*0.75),5)</f>
        <v>0</v>
      </c>
      <c r="K34" s="62" t="s">
        <v>41</v>
      </c>
      <c r="L34" s="62"/>
      <c r="M34" s="119"/>
      <c r="N34" s="61" t="n">
        <f aca="false">C34</f>
        <v>0</v>
      </c>
      <c r="O34" s="62" t="n">
        <f aca="false">I34+(S15)</f>
        <v>2</v>
      </c>
      <c r="P34" s="62" t="n">
        <f aca="false">MROUND((J34*1.05),5)</f>
        <v>0</v>
      </c>
      <c r="Q34" s="62" t="s">
        <v>41</v>
      </c>
      <c r="R34" s="62"/>
      <c r="S34" s="119"/>
      <c r="T34" s="65" t="n">
        <f aca="false">C34</f>
        <v>0</v>
      </c>
      <c r="U34" s="62" t="n">
        <f aca="false">O34+(Y15)</f>
        <v>2</v>
      </c>
      <c r="V34" s="62" t="n">
        <f aca="false">MROUND((J34*1.075),5)</f>
        <v>0</v>
      </c>
      <c r="W34" s="62" t="s">
        <v>42</v>
      </c>
      <c r="X34" s="62"/>
      <c r="Y34" s="119"/>
      <c r="Z34" s="63" t="n">
        <f aca="false">C34</f>
        <v>0</v>
      </c>
      <c r="AA34" s="62" t="n">
        <f aca="false">U34+(AE15)</f>
        <v>2</v>
      </c>
      <c r="AB34" s="62" t="n">
        <f aca="false">MROUND((J34*1.1),5)</f>
        <v>0</v>
      </c>
      <c r="AC34" s="62" t="s">
        <v>43</v>
      </c>
      <c r="AD34" s="62"/>
      <c r="AE34" s="62"/>
      <c r="AF34" s="63" t="n">
        <f aca="false">C34</f>
        <v>0</v>
      </c>
      <c r="AG34" s="62" t="n">
        <v>2</v>
      </c>
      <c r="AH34" s="67" t="n">
        <f aca="false">MROUND((J34*0.5),5)</f>
        <v>0</v>
      </c>
      <c r="AI34" s="42" t="s">
        <v>44</v>
      </c>
    </row>
    <row r="35" customFormat="false" ht="15" hidden="false" customHeight="false" outlineLevel="0" collapsed="false">
      <c r="A35" s="120" t="s">
        <v>358</v>
      </c>
      <c r="B35" s="121" t="s">
        <v>75</v>
      </c>
      <c r="C35" s="122"/>
      <c r="D35" s="123" t="str">
        <f aca="false" t="array" ref="D35:D35">INDEX(Table_Name28[Name List],MATCH(B35,Table_Name28[Category],0))</f>
        <v>Rear_or_Side_Delts[Exercise]</v>
      </c>
      <c r="E35" s="124" t="e">
        <f aca="false" t="array" ref="E35:E35">INDEX(Links49[Link],MATCH(C35,Links49[Exercise],0))</f>
        <v>#N/A</v>
      </c>
      <c r="F35" s="125" t="e">
        <f aca="false">HYPERLINK(E35,"Video")</f>
        <v>#N/A</v>
      </c>
      <c r="G35" s="126"/>
      <c r="H35" s="127" t="n">
        <f aca="false">C35</f>
        <v>0</v>
      </c>
      <c r="I35" s="128" t="n">
        <v>4</v>
      </c>
      <c r="J35" s="62" t="n">
        <f aca="false">MROUND(((G35)*0.75),5)</f>
        <v>0</v>
      </c>
      <c r="K35" s="128" t="s">
        <v>41</v>
      </c>
      <c r="L35" s="128"/>
      <c r="M35" s="131"/>
      <c r="N35" s="127" t="n">
        <f aca="false">C35</f>
        <v>0</v>
      </c>
      <c r="O35" s="128" t="n">
        <f aca="false">I35+(S17)</f>
        <v>4</v>
      </c>
      <c r="P35" s="128" t="n">
        <f aca="false">MROUND((J35*1.05),5)</f>
        <v>0</v>
      </c>
      <c r="Q35" s="128" t="s">
        <v>41</v>
      </c>
      <c r="R35" s="128"/>
      <c r="S35" s="131"/>
      <c r="T35" s="132" t="n">
        <f aca="false">C35</f>
        <v>0</v>
      </c>
      <c r="U35" s="128" t="n">
        <f aca="false">O35+(Y17)</f>
        <v>4</v>
      </c>
      <c r="V35" s="128" t="n">
        <f aca="false">MROUND((J35*1.075),5)</f>
        <v>0</v>
      </c>
      <c r="W35" s="128" t="s">
        <v>42</v>
      </c>
      <c r="X35" s="128"/>
      <c r="Y35" s="131"/>
      <c r="Z35" s="130" t="n">
        <f aca="false">C35</f>
        <v>0</v>
      </c>
      <c r="AA35" s="128" t="n">
        <f aca="false">U35+(AE17)</f>
        <v>4</v>
      </c>
      <c r="AB35" s="128" t="n">
        <f aca="false">MROUND((J35*1.1),5)</f>
        <v>0</v>
      </c>
      <c r="AC35" s="128" t="s">
        <v>43</v>
      </c>
      <c r="AD35" s="128"/>
      <c r="AE35" s="171"/>
      <c r="AF35" s="61" t="n">
        <f aca="false">C35</f>
        <v>0</v>
      </c>
      <c r="AG35" s="62" t="n">
        <v>2</v>
      </c>
      <c r="AH35" s="67" t="n">
        <f aca="false">MROUND((J35*0.5),5)</f>
        <v>0</v>
      </c>
      <c r="AI35" s="42" t="s">
        <v>44</v>
      </c>
    </row>
    <row r="36" customFormat="false" ht="15" hidden="false" customHeight="false" outlineLevel="0" collapsed="false">
      <c r="A36" s="120" t="s">
        <v>359</v>
      </c>
      <c r="B36" s="134" t="s">
        <v>75</v>
      </c>
      <c r="C36" s="135"/>
      <c r="D36" s="136" t="str">
        <f aca="false" t="array" ref="D36:D36">INDEX(Table_Name28[Name List],MATCH(B36,Table_Name28[Category],0))</f>
        <v>Rear_or_Side_Delts[Exercise]</v>
      </c>
      <c r="E36" s="137" t="e">
        <f aca="false" t="array" ref="E36:E36">INDEX(Links49[Link],MATCH(C36,Links49[Exercise],0))</f>
        <v>#N/A</v>
      </c>
      <c r="F36" s="138" t="e">
        <f aca="false">HYPERLINK(E36,"Video")</f>
        <v>#N/A</v>
      </c>
      <c r="G36" s="139"/>
      <c r="H36" s="140" t="n">
        <f aca="false">C36</f>
        <v>0</v>
      </c>
      <c r="I36" s="141" t="n">
        <v>4</v>
      </c>
      <c r="J36" s="141" t="n">
        <f aca="false">MROUND(((G36)*0.6),5)</f>
        <v>0</v>
      </c>
      <c r="K36" s="141" t="s">
        <v>41</v>
      </c>
      <c r="L36" s="141"/>
      <c r="M36" s="144"/>
      <c r="N36" s="140" t="n">
        <f aca="false">C36</f>
        <v>0</v>
      </c>
      <c r="O36" s="141" t="n">
        <f aca="false">I35+(S17)</f>
        <v>4</v>
      </c>
      <c r="P36" s="141" t="n">
        <f aca="false">MROUND((J36*1.05),5)</f>
        <v>0</v>
      </c>
      <c r="Q36" s="141" t="s">
        <v>41</v>
      </c>
      <c r="R36" s="141"/>
      <c r="S36" s="144"/>
      <c r="T36" s="145" t="n">
        <f aca="false">C36</f>
        <v>0</v>
      </c>
      <c r="U36" s="141" t="n">
        <f aca="false">O35+(Y17)</f>
        <v>4</v>
      </c>
      <c r="V36" s="141" t="n">
        <f aca="false">MROUND((J36*1.075),5)</f>
        <v>0</v>
      </c>
      <c r="W36" s="141" t="s">
        <v>42</v>
      </c>
      <c r="X36" s="141"/>
      <c r="Y36" s="144"/>
      <c r="Z36" s="143" t="n">
        <f aca="false">C36</f>
        <v>0</v>
      </c>
      <c r="AA36" s="141" t="n">
        <f aca="false">U35+(AE17)</f>
        <v>4</v>
      </c>
      <c r="AB36" s="141" t="n">
        <f aca="false">MROUND((J36*1.1),5)</f>
        <v>0</v>
      </c>
      <c r="AC36" s="141" t="s">
        <v>43</v>
      </c>
      <c r="AD36" s="141"/>
      <c r="AE36" s="172"/>
      <c r="AF36" s="61"/>
      <c r="AG36" s="62"/>
      <c r="AH36" s="67"/>
      <c r="AI36" s="42"/>
    </row>
    <row r="37" customFormat="false" ht="15" hidden="false" customHeight="false" outlineLevel="0" collapsed="false">
      <c r="B37" s="55" t="s">
        <v>47</v>
      </c>
      <c r="C37" s="147"/>
      <c r="D37" s="57" t="str">
        <f aca="false" t="array" ref="D37:D37">INDEX(Table_Name28[Name List],MATCH(B37,Table_Name28[Category],0))</f>
        <v>Horizontal_Push[Exercise]</v>
      </c>
      <c r="E37" s="148" t="e">
        <f aca="false" t="array" ref="E37:E37">INDEX(Links49[Link],MATCH(C37,Links49[Exercise],0))</f>
        <v>#N/A</v>
      </c>
      <c r="F37" s="59" t="e">
        <f aca="false">HYPERLINK(E37,"Video")</f>
        <v>#N/A</v>
      </c>
      <c r="G37" s="60"/>
      <c r="H37" s="61" t="n">
        <f aca="false">C37</f>
        <v>0</v>
      </c>
      <c r="I37" s="62" t="n">
        <v>3</v>
      </c>
      <c r="J37" s="62" t="n">
        <f aca="false">MROUND(((G37)*0.75),5)</f>
        <v>0</v>
      </c>
      <c r="K37" s="62" t="s">
        <v>41</v>
      </c>
      <c r="L37" s="62"/>
      <c r="M37" s="149"/>
      <c r="N37" s="61" t="n">
        <f aca="false">C37</f>
        <v>0</v>
      </c>
      <c r="O37" s="62" t="n">
        <f aca="false">I37+(S14)</f>
        <v>3</v>
      </c>
      <c r="P37" s="62" t="n">
        <f aca="false">MROUND((J37*1.05),5)</f>
        <v>0</v>
      </c>
      <c r="Q37" s="62" t="s">
        <v>41</v>
      </c>
      <c r="R37" s="62"/>
      <c r="S37" s="149"/>
      <c r="T37" s="65" t="n">
        <f aca="false">C37</f>
        <v>0</v>
      </c>
      <c r="U37" s="62" t="n">
        <f aca="false">O37+(Y14)</f>
        <v>3</v>
      </c>
      <c r="V37" s="62" t="n">
        <f aca="false">MROUND((J37*1.075),5)</f>
        <v>0</v>
      </c>
      <c r="W37" s="62" t="s">
        <v>42</v>
      </c>
      <c r="X37" s="62"/>
      <c r="Y37" s="149"/>
      <c r="Z37" s="63" t="n">
        <f aca="false">C37</f>
        <v>0</v>
      </c>
      <c r="AA37" s="62" t="n">
        <f aca="false">U37+(AE14)</f>
        <v>3</v>
      </c>
      <c r="AB37" s="62" t="n">
        <f aca="false">MROUND((J37*1.1),5)</f>
        <v>0</v>
      </c>
      <c r="AC37" s="62" t="s">
        <v>43</v>
      </c>
      <c r="AD37" s="62"/>
      <c r="AE37" s="62"/>
      <c r="AF37" s="63" t="n">
        <f aca="false">C37</f>
        <v>0</v>
      </c>
      <c r="AG37" s="62" t="n">
        <v>2</v>
      </c>
      <c r="AH37" s="67" t="n">
        <f aca="false">MROUND((J37*0.5),5)</f>
        <v>0</v>
      </c>
      <c r="AI37" s="42" t="s">
        <v>44</v>
      </c>
    </row>
    <row r="38" customFormat="false" ht="15" hidden="false" customHeight="false" outlineLevel="0" collapsed="false">
      <c r="B38" s="68" t="s">
        <v>39</v>
      </c>
      <c r="C38" s="150"/>
      <c r="D38" s="70" t="str">
        <f aca="false" t="array" ref="D38:D38">INDEX(Table_Name28[Name List],MATCH(B38,Table_Name28[Category],0))</f>
        <v>Incline_Push[Exercise]</v>
      </c>
      <c r="E38" s="151" t="e">
        <f aca="false" t="array" ref="E38:E38">INDEX(Links49[Link],MATCH(C38,Links49[Exercise],0))</f>
        <v>#N/A</v>
      </c>
      <c r="F38" s="72" t="e">
        <f aca="false">HYPERLINK(E38,"Video")</f>
        <v>#N/A</v>
      </c>
      <c r="G38" s="73"/>
      <c r="H38" s="61" t="n">
        <f aca="false">C38</f>
        <v>0</v>
      </c>
      <c r="I38" s="62" t="n">
        <v>3</v>
      </c>
      <c r="J38" s="62" t="n">
        <f aca="false">MROUND(((G38)*0.75),5)</f>
        <v>0</v>
      </c>
      <c r="K38" s="62" t="s">
        <v>41</v>
      </c>
      <c r="L38" s="62"/>
      <c r="M38" s="64"/>
      <c r="N38" s="61" t="n">
        <f aca="false">C38</f>
        <v>0</v>
      </c>
      <c r="O38" s="62" t="n">
        <f aca="false">I38+(S11)</f>
        <v>3</v>
      </c>
      <c r="P38" s="62" t="n">
        <f aca="false">MROUND((J38*1.05),5)</f>
        <v>0</v>
      </c>
      <c r="Q38" s="62" t="s">
        <v>41</v>
      </c>
      <c r="R38" s="62"/>
      <c r="S38" s="64"/>
      <c r="T38" s="65" t="n">
        <f aca="false">C38</f>
        <v>0</v>
      </c>
      <c r="U38" s="62" t="n">
        <f aca="false">O38+(Y11)</f>
        <v>3</v>
      </c>
      <c r="V38" s="62" t="n">
        <f aca="false">MROUND((J38*1.075),5)</f>
        <v>0</v>
      </c>
      <c r="W38" s="62" t="s">
        <v>42</v>
      </c>
      <c r="X38" s="62"/>
      <c r="Y38" s="64"/>
      <c r="Z38" s="63" t="n">
        <f aca="false">C38</f>
        <v>0</v>
      </c>
      <c r="AA38" s="62" t="n">
        <f aca="false">U38+(AE11)</f>
        <v>3</v>
      </c>
      <c r="AB38" s="62" t="n">
        <f aca="false">MROUND((J38*1.1),5)</f>
        <v>0</v>
      </c>
      <c r="AC38" s="62" t="s">
        <v>43</v>
      </c>
      <c r="AD38" s="62"/>
      <c r="AE38" s="62"/>
      <c r="AF38" s="63" t="n">
        <f aca="false">C38</f>
        <v>0</v>
      </c>
      <c r="AG38" s="62" t="n">
        <v>2</v>
      </c>
      <c r="AH38" s="67" t="n">
        <f aca="false">MROUND((J38*0.5),5)</f>
        <v>0</v>
      </c>
      <c r="AI38" s="42" t="s">
        <v>44</v>
      </c>
    </row>
    <row r="39" customFormat="false" ht="15" hidden="false" customHeight="false" outlineLevel="0" collapsed="false">
      <c r="B39" s="74" t="s">
        <v>55</v>
      </c>
      <c r="C39" s="152"/>
      <c r="D39" s="76" t="str">
        <f aca="false" t="array" ref="D39:D39">INDEX(Table_Name28[Name List],MATCH(B39,Table_Name28[Category],0))</f>
        <v>Abs[Exercise]</v>
      </c>
      <c r="E39" s="153" t="e">
        <f aca="false" t="array" ref="E39:E39">INDEX(Links49[Link],MATCH(C39,Links49[Exercise],0))</f>
        <v>#N/A</v>
      </c>
      <c r="F39" s="78" t="e">
        <f aca="false">HYPERLINK(E39,"Video")</f>
        <v>#N/A</v>
      </c>
      <c r="G39" s="79"/>
      <c r="H39" s="80" t="n">
        <f aca="false">C39</f>
        <v>0</v>
      </c>
      <c r="I39" s="81" t="n">
        <v>2</v>
      </c>
      <c r="J39" s="81" t="n">
        <f aca="false">MROUND(((G39)*0.75),5)</f>
        <v>0</v>
      </c>
      <c r="K39" s="81" t="s">
        <v>41</v>
      </c>
      <c r="L39" s="81"/>
      <c r="M39" s="64"/>
      <c r="N39" s="83" t="n">
        <f aca="false">C39</f>
        <v>0</v>
      </c>
      <c r="O39" s="81" t="n">
        <f aca="false">I39+(S18)</f>
        <v>2</v>
      </c>
      <c r="P39" s="81" t="n">
        <f aca="false">MROUND((J39*1.05),5)</f>
        <v>0</v>
      </c>
      <c r="Q39" s="81" t="s">
        <v>41</v>
      </c>
      <c r="R39" s="81"/>
      <c r="S39" s="64"/>
      <c r="T39" s="84" t="n">
        <f aca="false">C39</f>
        <v>0</v>
      </c>
      <c r="U39" s="81" t="n">
        <f aca="false">O39+(Y18)</f>
        <v>2</v>
      </c>
      <c r="V39" s="81" t="n">
        <f aca="false">MROUND((J39*1.075),5)</f>
        <v>0</v>
      </c>
      <c r="W39" s="81" t="s">
        <v>42</v>
      </c>
      <c r="X39" s="81"/>
      <c r="Y39" s="64"/>
      <c r="Z39" s="83" t="n">
        <f aca="false">C39</f>
        <v>0</v>
      </c>
      <c r="AA39" s="81" t="n">
        <f aca="false">U39+(AE18)</f>
        <v>2</v>
      </c>
      <c r="AB39" s="81" t="n">
        <f aca="false">MROUND((J39*1.1),5)</f>
        <v>0</v>
      </c>
      <c r="AC39" s="81" t="s">
        <v>43</v>
      </c>
      <c r="AD39" s="81"/>
      <c r="AE39" s="81"/>
      <c r="AF39" s="83" t="n">
        <f aca="false">C39</f>
        <v>0</v>
      </c>
      <c r="AG39" s="81" t="n">
        <v>2</v>
      </c>
      <c r="AH39" s="85" t="n">
        <f aca="false">MROUND((J39*0.5),5)</f>
        <v>0</v>
      </c>
      <c r="AI39" s="82" t="s">
        <v>44</v>
      </c>
    </row>
    <row r="40" customFormat="false" ht="18.6" hidden="false" customHeight="false" outlineLevel="0" collapsed="false">
      <c r="B40" s="86" t="s">
        <v>77</v>
      </c>
      <c r="C40" s="41"/>
      <c r="D40" s="41"/>
      <c r="E40" s="41"/>
      <c r="F40" s="41"/>
      <c r="G40" s="42"/>
      <c r="H40" s="36" t="s">
        <v>20</v>
      </c>
      <c r="I40" s="36"/>
      <c r="J40" s="36"/>
      <c r="K40" s="36"/>
      <c r="L40" s="36"/>
      <c r="M40" s="36"/>
      <c r="N40" s="37" t="s">
        <v>21</v>
      </c>
      <c r="O40" s="37"/>
      <c r="P40" s="37"/>
      <c r="Q40" s="37"/>
      <c r="R40" s="37"/>
      <c r="S40" s="37"/>
      <c r="T40" s="38" t="s">
        <v>22</v>
      </c>
      <c r="U40" s="38"/>
      <c r="V40" s="38"/>
      <c r="W40" s="38"/>
      <c r="X40" s="38"/>
      <c r="Y40" s="38"/>
      <c r="Z40" s="39" t="s">
        <v>23</v>
      </c>
      <c r="AA40" s="39"/>
      <c r="AB40" s="39"/>
      <c r="AC40" s="39"/>
      <c r="AD40" s="39"/>
      <c r="AE40" s="39"/>
      <c r="AF40" s="40" t="s">
        <v>357</v>
      </c>
      <c r="AG40" s="40"/>
      <c r="AH40" s="40"/>
      <c r="AI40" s="40"/>
    </row>
    <row r="41" customFormat="false" ht="15" hidden="false" customHeight="false" outlineLevel="0" collapsed="false">
      <c r="B41" s="41"/>
      <c r="C41" s="41"/>
      <c r="D41" s="41"/>
      <c r="E41" s="41"/>
      <c r="F41" s="41"/>
      <c r="G41" s="41"/>
      <c r="H41" s="43" t="s">
        <v>29</v>
      </c>
      <c r="I41" s="44" t="s">
        <v>30</v>
      </c>
      <c r="J41" s="45" t="s">
        <v>31</v>
      </c>
      <c r="K41" s="46" t="s">
        <v>32</v>
      </c>
      <c r="L41" s="46" t="s">
        <v>33</v>
      </c>
      <c r="M41" s="47" t="s">
        <v>34</v>
      </c>
      <c r="N41" s="48" t="s">
        <v>29</v>
      </c>
      <c r="O41" s="48" t="s">
        <v>30</v>
      </c>
      <c r="P41" s="45" t="s">
        <v>31</v>
      </c>
      <c r="Q41" s="46" t="s">
        <v>32</v>
      </c>
      <c r="R41" s="46" t="s">
        <v>33</v>
      </c>
      <c r="S41" s="47" t="s">
        <v>34</v>
      </c>
      <c r="T41" s="48" t="s">
        <v>29</v>
      </c>
      <c r="U41" s="48" t="s">
        <v>30</v>
      </c>
      <c r="V41" s="45" t="s">
        <v>31</v>
      </c>
      <c r="W41" s="46" t="s">
        <v>32</v>
      </c>
      <c r="X41" s="46" t="s">
        <v>33</v>
      </c>
      <c r="Y41" s="47" t="s">
        <v>34</v>
      </c>
      <c r="Z41" s="48" t="s">
        <v>29</v>
      </c>
      <c r="AA41" s="48" t="s">
        <v>30</v>
      </c>
      <c r="AB41" s="45" t="s">
        <v>31</v>
      </c>
      <c r="AC41" s="87" t="s">
        <v>58</v>
      </c>
      <c r="AD41" s="46" t="s">
        <v>33</v>
      </c>
      <c r="AE41" s="47" t="s">
        <v>34</v>
      </c>
      <c r="AF41" s="48" t="s">
        <v>29</v>
      </c>
      <c r="AG41" s="48" t="s">
        <v>30</v>
      </c>
      <c r="AH41" s="45" t="s">
        <v>31</v>
      </c>
      <c r="AI41" s="49" t="s">
        <v>32</v>
      </c>
    </row>
    <row r="42" customFormat="false" ht="15" hidden="false" customHeight="false" outlineLevel="0" collapsed="false">
      <c r="B42" s="50" t="s">
        <v>59</v>
      </c>
      <c r="C42" s="51" t="s">
        <v>78</v>
      </c>
      <c r="D42" s="52"/>
      <c r="E42" s="88"/>
      <c r="F42" s="51" t="s">
        <v>37</v>
      </c>
      <c r="G42" s="51" t="s">
        <v>38</v>
      </c>
      <c r="H42" s="46" t="s">
        <v>78</v>
      </c>
      <c r="I42" s="53"/>
      <c r="J42" s="53"/>
      <c r="K42" s="53"/>
      <c r="L42" s="53"/>
      <c r="M42" s="54"/>
      <c r="N42" s="43" t="s">
        <v>78</v>
      </c>
      <c r="O42" s="53"/>
      <c r="P42" s="53"/>
      <c r="Q42" s="53"/>
      <c r="R42" s="53"/>
      <c r="S42" s="54"/>
      <c r="T42" s="43" t="s">
        <v>78</v>
      </c>
      <c r="U42" s="53"/>
      <c r="V42" s="53"/>
      <c r="W42" s="53"/>
      <c r="X42" s="53"/>
      <c r="Y42" s="53"/>
      <c r="Z42" s="43" t="s">
        <v>78</v>
      </c>
      <c r="AA42" s="53"/>
      <c r="AB42" s="53"/>
      <c r="AC42" s="53"/>
      <c r="AD42" s="53"/>
      <c r="AE42" s="53"/>
      <c r="AF42" s="43" t="s">
        <v>78</v>
      </c>
      <c r="AG42" s="53"/>
      <c r="AH42" s="53"/>
      <c r="AI42" s="54"/>
    </row>
    <row r="43" customFormat="false" ht="15" hidden="false" customHeight="false" outlineLevel="0" collapsed="false">
      <c r="B43" s="55" t="s">
        <v>79</v>
      </c>
      <c r="C43" s="147"/>
      <c r="D43" s="57" t="str">
        <f aca="false" t="array" ref="D43:D43">INDEX(Table_Name28[Name List],MATCH(B43,Table_Name28[Category],0))</f>
        <v>Glutes[Exercise]</v>
      </c>
      <c r="E43" s="148" t="e">
        <f aca="false" t="array" ref="E43:E43">INDEX(Links49[Link],MATCH(C43,Links49[Exercise],0))</f>
        <v>#N/A</v>
      </c>
      <c r="F43" s="59" t="e">
        <f aca="false">HYPERLINK(E43,"Video")</f>
        <v>#N/A</v>
      </c>
      <c r="G43" s="60"/>
      <c r="H43" s="61" t="n">
        <f aca="false">C43</f>
        <v>0</v>
      </c>
      <c r="I43" s="62" t="n">
        <v>4</v>
      </c>
      <c r="J43" s="62" t="n">
        <f aca="false">MROUND(((G43)*0.75),5)</f>
        <v>0</v>
      </c>
      <c r="K43" s="62" t="s">
        <v>41</v>
      </c>
      <c r="L43" s="62"/>
      <c r="M43" s="64"/>
      <c r="N43" s="61" t="n">
        <f aca="false">C43</f>
        <v>0</v>
      </c>
      <c r="O43" s="62" t="n">
        <f aca="false">I43+(S22)</f>
        <v>4</v>
      </c>
      <c r="P43" s="62" t="n">
        <f aca="false">MROUND((J43*1.05),5)</f>
        <v>0</v>
      </c>
      <c r="Q43" s="62" t="s">
        <v>41</v>
      </c>
      <c r="R43" s="62"/>
      <c r="S43" s="64"/>
      <c r="T43" s="65" t="n">
        <f aca="false">C43</f>
        <v>0</v>
      </c>
      <c r="U43" s="62" t="n">
        <f aca="false">O43+(Y22)</f>
        <v>4</v>
      </c>
      <c r="V43" s="62" t="n">
        <f aca="false">MROUND((J43*1.075),5)</f>
        <v>0</v>
      </c>
      <c r="W43" s="62" t="s">
        <v>42</v>
      </c>
      <c r="X43" s="62"/>
      <c r="Y43" s="64"/>
      <c r="Z43" s="63" t="n">
        <f aca="false">C43</f>
        <v>0</v>
      </c>
      <c r="AA43" s="62" t="n">
        <f aca="false">U43+(AE22)</f>
        <v>4</v>
      </c>
      <c r="AB43" s="62" t="n">
        <f aca="false">MROUND((J43*1.1),5)</f>
        <v>0</v>
      </c>
      <c r="AC43" s="62" t="s">
        <v>43</v>
      </c>
      <c r="AD43" s="62"/>
      <c r="AE43" s="62"/>
      <c r="AF43" s="63" t="n">
        <f aca="false">C43</f>
        <v>0</v>
      </c>
      <c r="AG43" s="62" t="n">
        <v>2</v>
      </c>
      <c r="AH43" s="67" t="n">
        <f aca="false">MROUND((J43*0.5),5)</f>
        <v>0</v>
      </c>
      <c r="AI43" s="42" t="s">
        <v>44</v>
      </c>
    </row>
    <row r="44" customFormat="false" ht="15" hidden="false" customHeight="false" outlineLevel="0" collapsed="false">
      <c r="B44" s="68" t="s">
        <v>81</v>
      </c>
      <c r="C44" s="150"/>
      <c r="D44" s="70" t="str">
        <f aca="false" t="array" ref="D44:D44">INDEX(Table_Name28[Name List],MATCH(B44,Table_Name28[Category],0))</f>
        <v>Hamstrings_Hip_Hinge[Exercise]</v>
      </c>
      <c r="E44" s="151" t="e">
        <f aca="false" t="array" ref="E44:E44">INDEX(Links49[Link],MATCH(C44,Links49[Exercise],0))</f>
        <v>#N/A</v>
      </c>
      <c r="F44" s="72" t="e">
        <f aca="false">HYPERLINK(E44,"Video")</f>
        <v>#N/A</v>
      </c>
      <c r="G44" s="73"/>
      <c r="H44" s="61" t="n">
        <f aca="false">C44</f>
        <v>0</v>
      </c>
      <c r="I44" s="62" t="n">
        <v>4</v>
      </c>
      <c r="J44" s="62" t="n">
        <f aca="false">MROUND(((G44)*0.75),5)</f>
        <v>0</v>
      </c>
      <c r="K44" s="62" t="s">
        <v>41</v>
      </c>
      <c r="L44" s="62"/>
      <c r="M44" s="64"/>
      <c r="N44" s="61" t="n">
        <f aca="false">C44</f>
        <v>0</v>
      </c>
      <c r="O44" s="62" t="n">
        <f aca="false">I44+(S24)</f>
        <v>4</v>
      </c>
      <c r="P44" s="62" t="n">
        <f aca="false">MROUND((J44*1.05),5)</f>
        <v>0</v>
      </c>
      <c r="Q44" s="62" t="s">
        <v>41</v>
      </c>
      <c r="R44" s="62"/>
      <c r="S44" s="64"/>
      <c r="T44" s="65" t="n">
        <f aca="false">C44</f>
        <v>0</v>
      </c>
      <c r="U44" s="62" t="n">
        <f aca="false">O44+(Y24)</f>
        <v>4</v>
      </c>
      <c r="V44" s="62" t="n">
        <f aca="false">MROUND((J44*1.075),5)</f>
        <v>0</v>
      </c>
      <c r="W44" s="62" t="s">
        <v>42</v>
      </c>
      <c r="X44" s="62"/>
      <c r="Y44" s="64"/>
      <c r="Z44" s="63" t="n">
        <f aca="false">C44</f>
        <v>0</v>
      </c>
      <c r="AA44" s="62" t="n">
        <f aca="false">U44+(AE24)</f>
        <v>4</v>
      </c>
      <c r="AB44" s="62" t="n">
        <f aca="false">MROUND((J44*1.1),5)</f>
        <v>0</v>
      </c>
      <c r="AC44" s="62" t="s">
        <v>43</v>
      </c>
      <c r="AD44" s="62"/>
      <c r="AE44" s="62"/>
      <c r="AF44" s="63" t="n">
        <f aca="false">C44</f>
        <v>0</v>
      </c>
      <c r="AG44" s="62" t="n">
        <v>2</v>
      </c>
      <c r="AH44" s="67" t="n">
        <f aca="false">MROUND((J44*0.5),5)</f>
        <v>0</v>
      </c>
      <c r="AI44" s="42" t="s">
        <v>44</v>
      </c>
    </row>
    <row r="45" customFormat="false" ht="15" hidden="false" customHeight="false" outlineLevel="0" collapsed="false">
      <c r="B45" s="155" t="s">
        <v>61</v>
      </c>
      <c r="C45" s="156"/>
      <c r="D45" s="157" t="str">
        <f aca="false" t="array" ref="D45:D45">INDEX(Table_Name28[Name List],MATCH(B45,Table_Name28[Category],0))</f>
        <v>Quads[Exercise]</v>
      </c>
      <c r="E45" s="158" t="e">
        <f aca="false" t="array" ref="E45:E45">INDEX(Links49[Link],MATCH(C45,Links49[Exercise],0))</f>
        <v>#N/A</v>
      </c>
      <c r="F45" s="159" t="e">
        <f aca="false">HYPERLINK(E45,"Video")</f>
        <v>#N/A</v>
      </c>
      <c r="G45" s="160"/>
      <c r="H45" s="61" t="n">
        <f aca="false">C45</f>
        <v>0</v>
      </c>
      <c r="I45" s="62" t="n">
        <v>4</v>
      </c>
      <c r="J45" s="62" t="n">
        <f aca="false">MROUND(((G45)*0.75),5)</f>
        <v>0</v>
      </c>
      <c r="K45" s="62" t="s">
        <v>41</v>
      </c>
      <c r="L45" s="62"/>
      <c r="M45" s="119"/>
      <c r="N45" s="61" t="n">
        <f aca="false">C45</f>
        <v>0</v>
      </c>
      <c r="O45" s="62" t="n">
        <f aca="false">I45+(S22)</f>
        <v>4</v>
      </c>
      <c r="P45" s="62" t="n">
        <f aca="false">MROUND((J45*1.05),5)</f>
        <v>0</v>
      </c>
      <c r="Q45" s="62" t="s">
        <v>41</v>
      </c>
      <c r="R45" s="62"/>
      <c r="S45" s="119"/>
      <c r="T45" s="65" t="n">
        <f aca="false">C45</f>
        <v>0</v>
      </c>
      <c r="U45" s="62" t="n">
        <f aca="false">O45+(Y22)</f>
        <v>4</v>
      </c>
      <c r="V45" s="62" t="n">
        <f aca="false">MROUND((J45*1.075),5)</f>
        <v>0</v>
      </c>
      <c r="W45" s="62" t="s">
        <v>42</v>
      </c>
      <c r="X45" s="62"/>
      <c r="Y45" s="119"/>
      <c r="Z45" s="63" t="n">
        <f aca="false">C45</f>
        <v>0</v>
      </c>
      <c r="AA45" s="62" t="n">
        <f aca="false">U45+(AE22)</f>
        <v>4</v>
      </c>
      <c r="AB45" s="62" t="n">
        <f aca="false">MROUND((J45*1.1),5)</f>
        <v>0</v>
      </c>
      <c r="AC45" s="62" t="s">
        <v>43</v>
      </c>
      <c r="AD45" s="62"/>
      <c r="AE45" s="62"/>
      <c r="AF45" s="63" t="n">
        <f aca="false">C45</f>
        <v>0</v>
      </c>
      <c r="AG45" s="62" t="n">
        <v>2</v>
      </c>
      <c r="AH45" s="67" t="n">
        <f aca="false">MROUND((J45*0.5),5)</f>
        <v>0</v>
      </c>
      <c r="AI45" s="42" t="s">
        <v>44</v>
      </c>
    </row>
    <row r="46" customFormat="false" ht="15" hidden="false" customHeight="false" outlineLevel="0" collapsed="false">
      <c r="A46" s="120" t="s">
        <v>358</v>
      </c>
      <c r="B46" s="121" t="s">
        <v>83</v>
      </c>
      <c r="C46" s="122"/>
      <c r="D46" s="123" t="str">
        <f aca="false" t="array" ref="D46:D46">INDEX(Table_Name28[Name List],MATCH(B46,Table_Name28[Category],0))</f>
        <v>Biceps[Exercise]</v>
      </c>
      <c r="E46" s="124" t="e">
        <f aca="false" t="array" ref="E46:E46">INDEX(Links49[Link],MATCH(C46,Links49[Exercise],0))</f>
        <v>#N/A</v>
      </c>
      <c r="F46" s="125" t="e">
        <f aca="false">HYPERLINK(E46,"Video")</f>
        <v>#N/A</v>
      </c>
      <c r="G46" s="126"/>
      <c r="H46" s="127" t="n">
        <f aca="false">C46</f>
        <v>0</v>
      </c>
      <c r="I46" s="128" t="n">
        <v>3</v>
      </c>
      <c r="J46" s="128" t="n">
        <f aca="false">MROUND(((G46)*0.75),5)</f>
        <v>0</v>
      </c>
      <c r="K46" s="128" t="s">
        <v>41</v>
      </c>
      <c r="L46" s="128"/>
      <c r="M46" s="131"/>
      <c r="N46" s="127" t="n">
        <f aca="false">C46</f>
        <v>0</v>
      </c>
      <c r="O46" s="128" t="n">
        <f aca="false">I46+(S16)</f>
        <v>3</v>
      </c>
      <c r="P46" s="128" t="n">
        <f aca="false">MROUND((J46*1.05),5)</f>
        <v>0</v>
      </c>
      <c r="Q46" s="128" t="s">
        <v>41</v>
      </c>
      <c r="R46" s="128"/>
      <c r="S46" s="131"/>
      <c r="T46" s="132" t="n">
        <f aca="false">C46</f>
        <v>0</v>
      </c>
      <c r="U46" s="128" t="n">
        <f aca="false">O46+(Y16)</f>
        <v>3</v>
      </c>
      <c r="V46" s="128" t="n">
        <f aca="false">MROUND((J46*1.075),5)</f>
        <v>0</v>
      </c>
      <c r="W46" s="128" t="s">
        <v>42</v>
      </c>
      <c r="X46" s="128"/>
      <c r="Y46" s="131"/>
      <c r="Z46" s="130" t="n">
        <f aca="false">C46</f>
        <v>0</v>
      </c>
      <c r="AA46" s="128" t="n">
        <f aca="false">U46+(AE16)</f>
        <v>3</v>
      </c>
      <c r="AB46" s="128" t="n">
        <f aca="false">MROUND((J46*1.1),5)</f>
        <v>0</v>
      </c>
      <c r="AC46" s="128" t="s">
        <v>43</v>
      </c>
      <c r="AD46" s="128"/>
      <c r="AE46" s="171"/>
      <c r="AF46" s="61" t="n">
        <f aca="false">C46</f>
        <v>0</v>
      </c>
      <c r="AG46" s="62" t="n">
        <v>2</v>
      </c>
      <c r="AH46" s="67" t="n">
        <f aca="false">MROUND((J46*0.5),5)</f>
        <v>0</v>
      </c>
      <c r="AI46" s="42" t="s">
        <v>44</v>
      </c>
    </row>
    <row r="47" customFormat="false" ht="15" hidden="false" customHeight="false" outlineLevel="0" collapsed="false">
      <c r="A47" s="120" t="s">
        <v>359</v>
      </c>
      <c r="B47" s="134" t="s">
        <v>83</v>
      </c>
      <c r="C47" s="135"/>
      <c r="D47" s="136" t="str">
        <f aca="false" t="array" ref="D47:D47">INDEX(Table_Name28[Name List],MATCH(B47,Table_Name28[Category],0))</f>
        <v>Biceps[Exercise]</v>
      </c>
      <c r="E47" s="137" t="e">
        <f aca="false" t="array" ref="E47:E47">INDEX(Links49[Link],MATCH(C47,Links49[Exercise],0))</f>
        <v>#N/A</v>
      </c>
      <c r="F47" s="138" t="e">
        <f aca="false">HYPERLINK(E47,"Video")</f>
        <v>#N/A</v>
      </c>
      <c r="G47" s="139"/>
      <c r="H47" s="140" t="n">
        <f aca="false">C47</f>
        <v>0</v>
      </c>
      <c r="I47" s="141" t="n">
        <v>3</v>
      </c>
      <c r="J47" s="141" t="n">
        <f aca="false">MROUND(((G47)*0.6),5)</f>
        <v>0</v>
      </c>
      <c r="K47" s="141" t="s">
        <v>41</v>
      </c>
      <c r="L47" s="141"/>
      <c r="M47" s="144"/>
      <c r="N47" s="140" t="n">
        <f aca="false">C47</f>
        <v>0</v>
      </c>
      <c r="O47" s="141" t="n">
        <f aca="false">I46+(S16)</f>
        <v>3</v>
      </c>
      <c r="P47" s="141" t="n">
        <f aca="false">MROUND((J47*1.05),5)</f>
        <v>0</v>
      </c>
      <c r="Q47" s="141" t="s">
        <v>41</v>
      </c>
      <c r="R47" s="141"/>
      <c r="S47" s="144"/>
      <c r="T47" s="145" t="n">
        <f aca="false">C47</f>
        <v>0</v>
      </c>
      <c r="U47" s="141" t="n">
        <f aca="false">O46+(Y16)</f>
        <v>3</v>
      </c>
      <c r="V47" s="141" t="n">
        <f aca="false">MROUND((J47*1.075),5)</f>
        <v>0</v>
      </c>
      <c r="W47" s="141" t="s">
        <v>42</v>
      </c>
      <c r="X47" s="141"/>
      <c r="Y47" s="144"/>
      <c r="Z47" s="143" t="n">
        <f aca="false">C47</f>
        <v>0</v>
      </c>
      <c r="AA47" s="141" t="n">
        <f aca="false">U46+(AE16)</f>
        <v>3</v>
      </c>
      <c r="AB47" s="141" t="n">
        <f aca="false">MROUND((J47*1.1),5)</f>
        <v>0</v>
      </c>
      <c r="AC47" s="141" t="s">
        <v>43</v>
      </c>
      <c r="AD47" s="141"/>
      <c r="AE47" s="172"/>
      <c r="AF47" s="61"/>
      <c r="AG47" s="62"/>
      <c r="AH47" s="67"/>
      <c r="AI47" s="42"/>
    </row>
    <row r="48" customFormat="false" ht="15" hidden="false" customHeight="false" outlineLevel="0" collapsed="false">
      <c r="B48" s="55" t="s">
        <v>85</v>
      </c>
      <c r="C48" s="147"/>
      <c r="D48" s="57" t="str">
        <f aca="false" t="array" ref="D48:D48">INDEX(Table_Name28[Name List],MATCH(B48,Table_Name28[Category],0))</f>
        <v>Traps[Exercise]</v>
      </c>
      <c r="E48" s="148" t="e">
        <f aca="false" t="array" ref="E48:E48">INDEX(Links49[Link],MATCH(C48,Links49[Exercise],0))</f>
        <v>#N/A</v>
      </c>
      <c r="F48" s="59" t="e">
        <f aca="false">HYPERLINK(E48,"Video")</f>
        <v>#N/A</v>
      </c>
      <c r="G48" s="60"/>
      <c r="H48" s="61" t="n">
        <f aca="false">C48</f>
        <v>0</v>
      </c>
      <c r="I48" s="62" t="n">
        <v>3</v>
      </c>
      <c r="J48" s="62" t="n">
        <f aca="false">MROUND(((G48)*0.75),5)</f>
        <v>0</v>
      </c>
      <c r="K48" s="62" t="s">
        <v>41</v>
      </c>
      <c r="L48" s="62"/>
      <c r="M48" s="149"/>
      <c r="N48" s="61" t="n">
        <f aca="false">C48</f>
        <v>0</v>
      </c>
      <c r="O48" s="62" t="n">
        <f aca="false">I48+(S17)</f>
        <v>3</v>
      </c>
      <c r="P48" s="62" t="n">
        <f aca="false">MROUND((J48*1.05),5)</f>
        <v>0</v>
      </c>
      <c r="Q48" s="62" t="s">
        <v>41</v>
      </c>
      <c r="R48" s="62"/>
      <c r="S48" s="149"/>
      <c r="T48" s="65" t="n">
        <f aca="false">C48</f>
        <v>0</v>
      </c>
      <c r="U48" s="62" t="n">
        <f aca="false">O48+(Y17)</f>
        <v>3</v>
      </c>
      <c r="V48" s="62" t="n">
        <f aca="false">MROUND((J48*1.075),5)</f>
        <v>0</v>
      </c>
      <c r="W48" s="62" t="s">
        <v>42</v>
      </c>
      <c r="X48" s="62"/>
      <c r="Y48" s="149"/>
      <c r="Z48" s="63" t="n">
        <f aca="false">C48</f>
        <v>0</v>
      </c>
      <c r="AA48" s="62" t="n">
        <f aca="false">U48+(AE17)</f>
        <v>3</v>
      </c>
      <c r="AB48" s="62" t="n">
        <f aca="false">MROUND((J48*1.1),5)</f>
        <v>0</v>
      </c>
      <c r="AC48" s="62" t="s">
        <v>43</v>
      </c>
      <c r="AD48" s="62"/>
      <c r="AE48" s="62"/>
      <c r="AF48" s="63" t="n">
        <f aca="false">C48</f>
        <v>0</v>
      </c>
      <c r="AG48" s="62" t="n">
        <v>2</v>
      </c>
      <c r="AH48" s="67" t="n">
        <f aca="false">MROUND((J48*0.5),5)</f>
        <v>0</v>
      </c>
      <c r="AI48" s="42" t="s">
        <v>44</v>
      </c>
    </row>
    <row r="49" customFormat="false" ht="15" hidden="false" customHeight="false" outlineLevel="0" collapsed="false">
      <c r="B49" s="74" t="s">
        <v>66</v>
      </c>
      <c r="C49" s="152"/>
      <c r="D49" s="70" t="str">
        <f aca="false" t="array" ref="D49:D49">INDEX(Table_Name28[Name List],MATCH(B49,Table_Name28[Category],0))</f>
        <v>Calves[Exercise]</v>
      </c>
      <c r="E49" s="151" t="e">
        <f aca="false" t="array" ref="E49:E49">INDEX(Links49[Link],MATCH(C49,Links49[Exercise],0))</f>
        <v>#N/A</v>
      </c>
      <c r="F49" s="78" t="e">
        <f aca="false">HYPERLINK(E49,"Video")</f>
        <v>#N/A</v>
      </c>
      <c r="G49" s="79"/>
      <c r="H49" s="80" t="n">
        <f aca="false">C49</f>
        <v>0</v>
      </c>
      <c r="I49" s="81" t="n">
        <v>4</v>
      </c>
      <c r="J49" s="81" t="n">
        <f aca="false">MROUND(((G49)*0.75),5)</f>
        <v>0</v>
      </c>
      <c r="K49" s="81" t="s">
        <v>41</v>
      </c>
      <c r="L49" s="81"/>
      <c r="M49" s="64"/>
      <c r="N49" s="83" t="n">
        <f aca="false">C49</f>
        <v>0</v>
      </c>
      <c r="O49" s="81" t="n">
        <f aca="false">I49+(S25)</f>
        <v>4</v>
      </c>
      <c r="P49" s="81" t="n">
        <f aca="false">MROUND((J49*1.05),5)</f>
        <v>0</v>
      </c>
      <c r="Q49" s="81" t="s">
        <v>41</v>
      </c>
      <c r="R49" s="81"/>
      <c r="S49" s="64"/>
      <c r="T49" s="84" t="n">
        <f aca="false">C49</f>
        <v>0</v>
      </c>
      <c r="U49" s="81" t="n">
        <f aca="false">O49+(Y25)</f>
        <v>4</v>
      </c>
      <c r="V49" s="81" t="n">
        <f aca="false">MROUND((J49*1.075),5)</f>
        <v>0</v>
      </c>
      <c r="W49" s="81" t="s">
        <v>42</v>
      </c>
      <c r="X49" s="81"/>
      <c r="Y49" s="64"/>
      <c r="Z49" s="83" t="n">
        <f aca="false">C49</f>
        <v>0</v>
      </c>
      <c r="AA49" s="81" t="n">
        <f aca="false">U49+(AE25)</f>
        <v>4</v>
      </c>
      <c r="AB49" s="81" t="n">
        <f aca="false">MROUND((J49*1.1),5)</f>
        <v>0</v>
      </c>
      <c r="AC49" s="81" t="s">
        <v>43</v>
      </c>
      <c r="AD49" s="81"/>
      <c r="AE49" s="81"/>
      <c r="AF49" s="83" t="n">
        <f aca="false">C49</f>
        <v>0</v>
      </c>
      <c r="AG49" s="81" t="n">
        <v>2</v>
      </c>
      <c r="AH49" s="85" t="n">
        <f aca="false">MROUND((J49*0.5),5)</f>
        <v>0</v>
      </c>
      <c r="AI49" s="82" t="s">
        <v>44</v>
      </c>
    </row>
    <row r="50" s="89" customFormat="true" ht="14.4" hidden="false" customHeight="false" outlineLevel="0" collapsed="false">
      <c r="C50" s="90"/>
      <c r="D50" s="90"/>
      <c r="E50" s="91"/>
      <c r="F50" s="92"/>
      <c r="G50" s="65"/>
      <c r="H50" s="90"/>
      <c r="I50" s="28"/>
      <c r="J50" s="28"/>
      <c r="K50" s="28"/>
      <c r="L50" s="28"/>
      <c r="M50" s="28"/>
      <c r="N50" s="90"/>
      <c r="O50" s="28"/>
      <c r="P50" s="28"/>
      <c r="Q50" s="28"/>
      <c r="R50" s="28"/>
      <c r="S50" s="28"/>
      <c r="T50" s="90"/>
      <c r="U50" s="28"/>
      <c r="V50" s="28"/>
      <c r="W50" s="28"/>
      <c r="X50" s="28"/>
      <c r="Y50" s="28"/>
      <c r="Z50" s="90"/>
      <c r="AA50" s="28"/>
      <c r="AB50" s="28"/>
      <c r="AC50" s="28"/>
      <c r="AD50" s="28"/>
      <c r="AE50" s="28"/>
      <c r="AF50" s="90"/>
      <c r="AG50" s="28"/>
      <c r="AH50" s="28"/>
      <c r="AI50" s="28"/>
    </row>
    <row r="51" s="89" customFormat="true" ht="14.4" hidden="false" customHeight="false" outlineLevel="0" collapsed="false">
      <c r="B51" s="93" t="s">
        <v>87</v>
      </c>
      <c r="C51" s="90"/>
      <c r="D51" s="90"/>
      <c r="E51" s="91"/>
      <c r="F51" s="92"/>
      <c r="G51" s="65"/>
      <c r="H51" s="90"/>
      <c r="I51" s="28"/>
      <c r="J51" s="28"/>
      <c r="K51" s="28"/>
      <c r="L51" s="28"/>
      <c r="M51" s="28"/>
      <c r="N51" s="90"/>
      <c r="O51" s="28"/>
      <c r="P51" s="28"/>
      <c r="Q51" s="28"/>
      <c r="R51" s="28"/>
      <c r="S51" s="28"/>
      <c r="T51" s="90"/>
      <c r="U51" s="28"/>
      <c r="V51" s="28"/>
      <c r="W51" s="28"/>
      <c r="X51" s="28"/>
      <c r="Y51" s="28"/>
      <c r="Z51" s="90"/>
      <c r="AA51" s="28"/>
      <c r="AB51" s="28"/>
      <c r="AC51" s="28"/>
      <c r="AD51" s="28"/>
      <c r="AE51" s="28"/>
      <c r="AF51" s="90"/>
      <c r="AG51" s="28"/>
      <c r="AH51" s="28"/>
      <c r="AI51" s="28"/>
    </row>
    <row r="52" s="89" customFormat="true" ht="14.4" hidden="false" customHeight="false" outlineLevel="0" collapsed="false">
      <c r="B52" s="94"/>
      <c r="C52" s="90"/>
      <c r="D52" s="90"/>
      <c r="E52" s="91"/>
      <c r="F52" s="92"/>
      <c r="G52" s="65"/>
      <c r="H52" s="90"/>
      <c r="I52" s="28"/>
      <c r="J52" s="28"/>
      <c r="K52" s="28"/>
      <c r="L52" s="28"/>
      <c r="M52" s="28"/>
      <c r="N52" s="90"/>
      <c r="O52" s="28"/>
      <c r="P52" s="28"/>
      <c r="Q52" s="28"/>
      <c r="R52" s="28"/>
      <c r="S52" s="28"/>
      <c r="T52" s="90"/>
      <c r="U52" s="28"/>
      <c r="V52" s="28"/>
      <c r="W52" s="28"/>
      <c r="X52" s="28"/>
      <c r="Y52" s="28"/>
      <c r="Z52" s="90"/>
      <c r="AA52" s="28"/>
      <c r="AB52" s="28"/>
      <c r="AC52" s="28"/>
      <c r="AD52" s="28"/>
      <c r="AE52" s="28"/>
      <c r="AF52" s="90"/>
      <c r="AG52" s="28"/>
      <c r="AH52" s="28"/>
      <c r="AI52" s="28"/>
    </row>
    <row r="53" s="89" customFormat="true" ht="14.4" hidden="false" customHeight="false" outlineLevel="0" collapsed="false">
      <c r="B53" s="94"/>
      <c r="C53" s="90"/>
      <c r="D53" s="90"/>
      <c r="E53" s="91"/>
      <c r="F53" s="92"/>
      <c r="G53" s="65"/>
      <c r="H53" s="90"/>
      <c r="I53" s="28"/>
      <c r="J53" s="28"/>
      <c r="K53" s="28"/>
      <c r="L53" s="28"/>
      <c r="M53" s="28"/>
      <c r="N53" s="90"/>
      <c r="O53" s="28"/>
      <c r="P53" s="28"/>
      <c r="Q53" s="28"/>
      <c r="R53" s="28"/>
      <c r="S53" s="28"/>
      <c r="T53" s="90"/>
      <c r="U53" s="28"/>
      <c r="V53" s="28"/>
      <c r="W53" s="28"/>
      <c r="X53" s="28"/>
      <c r="Y53" s="28"/>
      <c r="Z53" s="90"/>
      <c r="AA53" s="28"/>
      <c r="AB53" s="28"/>
      <c r="AC53" s="28"/>
      <c r="AD53" s="28"/>
      <c r="AE53" s="28"/>
      <c r="AF53" s="90"/>
      <c r="AG53" s="28"/>
      <c r="AH53" s="28"/>
      <c r="AI53" s="28"/>
    </row>
    <row r="54" s="89" customFormat="true" ht="14.4" hidden="false" customHeight="false" outlineLevel="0" collapsed="false">
      <c r="B54" s="94"/>
      <c r="C54" s="90"/>
      <c r="D54" s="90"/>
      <c r="E54" s="91"/>
      <c r="F54" s="92"/>
      <c r="G54" s="65"/>
      <c r="H54" s="90"/>
      <c r="I54" s="28"/>
      <c r="J54" s="28"/>
      <c r="K54" s="28"/>
      <c r="L54" s="28"/>
      <c r="M54" s="28"/>
      <c r="N54" s="90"/>
      <c r="O54" s="28"/>
      <c r="P54" s="28"/>
      <c r="Q54" s="28"/>
      <c r="R54" s="28"/>
      <c r="S54" s="28"/>
      <c r="T54" s="90"/>
      <c r="U54" s="28"/>
      <c r="V54" s="28"/>
      <c r="W54" s="28"/>
      <c r="X54" s="28"/>
      <c r="Y54" s="28"/>
      <c r="Z54" s="90"/>
      <c r="AA54" s="28"/>
      <c r="AB54" s="28"/>
      <c r="AC54" s="28"/>
      <c r="AD54" s="28"/>
      <c r="AE54" s="28"/>
      <c r="AF54" s="90"/>
      <c r="AG54" s="28"/>
      <c r="AH54" s="28"/>
      <c r="AI54" s="28"/>
    </row>
    <row r="55" s="89" customFormat="true" ht="14.4" hidden="false" customHeight="false" outlineLevel="0" collapsed="false">
      <c r="B55" s="94"/>
      <c r="C55" s="90"/>
      <c r="D55" s="90"/>
      <c r="E55" s="91"/>
      <c r="F55" s="92"/>
      <c r="G55" s="65"/>
      <c r="H55" s="90"/>
      <c r="I55" s="28"/>
      <c r="J55" s="28"/>
      <c r="K55" s="28"/>
      <c r="L55" s="28"/>
      <c r="M55" s="28"/>
      <c r="N55" s="90"/>
      <c r="O55" s="28"/>
      <c r="P55" s="28"/>
      <c r="Q55" s="28"/>
      <c r="R55" s="28"/>
      <c r="S55" s="28"/>
      <c r="T55" s="90"/>
      <c r="U55" s="28"/>
      <c r="V55" s="28"/>
      <c r="W55" s="28"/>
      <c r="X55" s="28"/>
      <c r="Y55" s="28"/>
      <c r="Z55" s="90"/>
      <c r="AA55" s="28"/>
      <c r="AB55" s="28"/>
      <c r="AC55" s="28"/>
      <c r="AD55" s="28"/>
      <c r="AE55" s="28"/>
      <c r="AF55" s="90"/>
      <c r="AG55" s="28"/>
      <c r="AH55" s="28"/>
      <c r="AI55" s="28"/>
    </row>
    <row r="56" s="89" customFormat="true" ht="14.4" hidden="false" customHeight="false" outlineLevel="0" collapsed="false">
      <c r="B56" s="94"/>
      <c r="C56" s="90"/>
      <c r="D56" s="90"/>
      <c r="E56" s="91"/>
      <c r="F56" s="92"/>
      <c r="G56" s="65"/>
      <c r="H56" s="90"/>
      <c r="I56" s="28"/>
      <c r="J56" s="28"/>
      <c r="K56" s="28"/>
      <c r="L56" s="28"/>
      <c r="M56" s="28"/>
      <c r="N56" s="90"/>
      <c r="O56" s="28"/>
      <c r="P56" s="28"/>
      <c r="Q56" s="28"/>
      <c r="R56" s="28"/>
      <c r="S56" s="28"/>
      <c r="T56" s="90"/>
      <c r="U56" s="28"/>
      <c r="V56" s="28"/>
      <c r="W56" s="28"/>
      <c r="X56" s="28"/>
      <c r="Y56" s="28"/>
      <c r="Z56" s="90"/>
      <c r="AA56" s="28"/>
      <c r="AB56" s="28"/>
      <c r="AC56" s="28"/>
      <c r="AD56" s="28"/>
      <c r="AE56" s="28"/>
      <c r="AF56" s="90"/>
      <c r="AG56" s="28"/>
      <c r="AH56" s="28"/>
      <c r="AI56" s="28"/>
    </row>
    <row r="57" s="89" customFormat="true" ht="14.4" hidden="false" customHeight="false" outlineLevel="0" collapsed="false">
      <c r="B57" s="94"/>
      <c r="C57" s="90"/>
      <c r="D57" s="90"/>
      <c r="E57" s="91"/>
      <c r="F57" s="92"/>
      <c r="G57" s="65"/>
      <c r="H57" s="90"/>
      <c r="I57" s="28"/>
      <c r="J57" s="28"/>
      <c r="K57" s="28"/>
      <c r="L57" s="28"/>
      <c r="M57" s="28"/>
      <c r="N57" s="90"/>
      <c r="O57" s="28"/>
      <c r="P57" s="28"/>
      <c r="Q57" s="28"/>
      <c r="R57" s="28"/>
      <c r="S57" s="28"/>
      <c r="T57" s="90"/>
      <c r="U57" s="28"/>
      <c r="V57" s="28"/>
      <c r="W57" s="28"/>
      <c r="X57" s="28"/>
      <c r="Y57" s="28"/>
      <c r="Z57" s="90"/>
      <c r="AA57" s="28"/>
      <c r="AB57" s="28"/>
      <c r="AC57" s="28"/>
      <c r="AD57" s="28"/>
      <c r="AE57" s="28"/>
      <c r="AF57" s="90"/>
      <c r="AG57" s="28"/>
      <c r="AH57" s="28"/>
      <c r="AI57" s="28"/>
    </row>
    <row r="58" s="89" customFormat="true" ht="14.4" hidden="false" customHeight="false" outlineLevel="0" collapsed="false">
      <c r="B58" s="94"/>
      <c r="C58" s="90"/>
      <c r="D58" s="90"/>
      <c r="E58" s="91"/>
      <c r="F58" s="92"/>
      <c r="G58" s="65"/>
      <c r="H58" s="90"/>
      <c r="I58" s="28"/>
      <c r="J58" s="28"/>
      <c r="K58" s="28"/>
      <c r="L58" s="28"/>
      <c r="M58" s="28"/>
      <c r="N58" s="90"/>
      <c r="O58" s="28"/>
      <c r="P58" s="28"/>
      <c r="Q58" s="28"/>
      <c r="R58" s="28"/>
      <c r="S58" s="28"/>
      <c r="T58" s="90"/>
      <c r="U58" s="28"/>
      <c r="V58" s="28"/>
      <c r="W58" s="28"/>
      <c r="X58" s="28"/>
      <c r="Y58" s="28"/>
      <c r="Z58" s="90"/>
      <c r="AA58" s="28"/>
      <c r="AB58" s="28"/>
      <c r="AC58" s="28"/>
      <c r="AD58" s="28"/>
      <c r="AE58" s="28"/>
      <c r="AF58" s="90"/>
      <c r="AG58" s="28"/>
      <c r="AH58" s="28"/>
      <c r="AI58" s="28"/>
    </row>
    <row r="59" s="89" customFormat="true" ht="14.4" hidden="false" customHeight="false" outlineLevel="0" collapsed="false">
      <c r="B59" s="94"/>
      <c r="C59" s="90"/>
      <c r="D59" s="90"/>
      <c r="E59" s="91"/>
      <c r="F59" s="92"/>
      <c r="G59" s="65"/>
      <c r="H59" s="90"/>
      <c r="I59" s="28"/>
      <c r="J59" s="28"/>
      <c r="K59" s="28"/>
      <c r="L59" s="28"/>
      <c r="M59" s="28"/>
      <c r="N59" s="90"/>
      <c r="O59" s="28"/>
      <c r="P59" s="28"/>
      <c r="Q59" s="28"/>
      <c r="R59" s="28"/>
      <c r="S59" s="28"/>
      <c r="T59" s="90"/>
      <c r="U59" s="28"/>
      <c r="V59" s="28"/>
      <c r="W59" s="28"/>
      <c r="X59" s="28"/>
      <c r="Y59" s="28"/>
      <c r="Z59" s="90"/>
      <c r="AA59" s="28"/>
      <c r="AB59" s="28"/>
      <c r="AC59" s="28"/>
      <c r="AD59" s="28"/>
      <c r="AE59" s="28"/>
      <c r="AF59" s="90"/>
      <c r="AG59" s="28"/>
      <c r="AH59" s="28"/>
      <c r="AI59" s="28"/>
    </row>
    <row r="60" s="89" customFormat="true" ht="14.4" hidden="false" customHeight="false" outlineLevel="0" collapsed="false">
      <c r="B60" s="94"/>
      <c r="C60" s="90"/>
      <c r="D60" s="90"/>
      <c r="E60" s="91"/>
      <c r="F60" s="92"/>
      <c r="G60" s="65"/>
      <c r="H60" s="90"/>
      <c r="I60" s="28"/>
      <c r="J60" s="28"/>
      <c r="K60" s="28"/>
      <c r="L60" s="28"/>
      <c r="M60" s="28"/>
      <c r="N60" s="90"/>
      <c r="O60" s="28"/>
      <c r="P60" s="28"/>
      <c r="Q60" s="28"/>
      <c r="R60" s="28"/>
      <c r="S60" s="28"/>
      <c r="T60" s="90"/>
      <c r="U60" s="28"/>
      <c r="V60" s="28"/>
      <c r="W60" s="28"/>
      <c r="X60" s="28"/>
      <c r="Y60" s="28"/>
      <c r="Z60" s="90"/>
      <c r="AA60" s="28"/>
      <c r="AB60" s="28"/>
      <c r="AC60" s="28"/>
      <c r="AD60" s="28"/>
      <c r="AE60" s="28"/>
      <c r="AF60" s="90"/>
      <c r="AG60" s="28"/>
      <c r="AH60" s="28"/>
      <c r="AI60" s="28"/>
    </row>
    <row r="61" s="89" customFormat="true" ht="14.4" hidden="false" customHeight="false" outlineLevel="0" collapsed="false">
      <c r="B61" s="94"/>
      <c r="C61" s="90"/>
      <c r="D61" s="90"/>
      <c r="E61" s="91"/>
      <c r="F61" s="92"/>
      <c r="G61" s="65"/>
      <c r="H61" s="90"/>
      <c r="I61" s="28"/>
      <c r="J61" s="28"/>
      <c r="K61" s="28"/>
      <c r="L61" s="28"/>
      <c r="M61" s="28"/>
      <c r="N61" s="90"/>
      <c r="O61" s="28"/>
      <c r="P61" s="28"/>
      <c r="Q61" s="28"/>
      <c r="R61" s="28"/>
      <c r="S61" s="28"/>
      <c r="T61" s="90"/>
      <c r="U61" s="28"/>
      <c r="V61" s="28"/>
      <c r="W61" s="28"/>
      <c r="X61" s="28"/>
      <c r="Y61" s="28"/>
      <c r="Z61" s="90"/>
      <c r="AA61" s="28"/>
      <c r="AB61" s="28"/>
      <c r="AC61" s="28"/>
      <c r="AD61" s="28"/>
      <c r="AE61" s="28"/>
      <c r="AF61" s="90"/>
      <c r="AG61" s="28"/>
      <c r="AH61" s="28"/>
      <c r="AI61" s="28"/>
    </row>
    <row r="62" s="89" customFormat="true" ht="14.4" hidden="false" customHeight="false" outlineLevel="0" collapsed="false">
      <c r="B62" s="94"/>
      <c r="C62" s="90"/>
      <c r="D62" s="90"/>
      <c r="E62" s="91"/>
      <c r="F62" s="92"/>
      <c r="G62" s="65"/>
      <c r="H62" s="90"/>
      <c r="I62" s="28"/>
      <c r="J62" s="28"/>
      <c r="K62" s="28"/>
      <c r="L62" s="28"/>
      <c r="M62" s="28"/>
      <c r="N62" s="90"/>
      <c r="O62" s="28"/>
      <c r="P62" s="28"/>
      <c r="Q62" s="28"/>
      <c r="R62" s="28"/>
      <c r="S62" s="28"/>
      <c r="T62" s="90"/>
      <c r="U62" s="28"/>
      <c r="V62" s="28"/>
      <c r="W62" s="28"/>
      <c r="X62" s="28"/>
      <c r="Y62" s="28"/>
      <c r="Z62" s="90"/>
      <c r="AA62" s="28"/>
      <c r="AB62" s="28"/>
      <c r="AC62" s="28"/>
      <c r="AD62" s="28"/>
      <c r="AE62" s="28"/>
      <c r="AF62" s="90"/>
      <c r="AG62" s="28"/>
      <c r="AH62" s="28"/>
      <c r="AI62" s="28"/>
    </row>
    <row r="63" s="89" customFormat="true" ht="14.4" hidden="false" customHeight="false" outlineLevel="0" collapsed="false">
      <c r="B63" s="94"/>
      <c r="C63" s="90"/>
      <c r="D63" s="90"/>
      <c r="E63" s="91"/>
      <c r="F63" s="92"/>
      <c r="G63" s="65"/>
      <c r="H63" s="90"/>
      <c r="I63" s="28"/>
      <c r="J63" s="28"/>
      <c r="K63" s="28"/>
      <c r="L63" s="28"/>
      <c r="M63" s="28"/>
      <c r="N63" s="90"/>
      <c r="O63" s="28"/>
      <c r="P63" s="28"/>
      <c r="Q63" s="28"/>
      <c r="R63" s="28"/>
      <c r="S63" s="28"/>
      <c r="T63" s="90"/>
      <c r="U63" s="28"/>
      <c r="V63" s="28"/>
      <c r="W63" s="28"/>
      <c r="X63" s="28"/>
      <c r="Y63" s="28"/>
      <c r="Z63" s="90"/>
      <c r="AA63" s="28"/>
      <c r="AB63" s="28"/>
      <c r="AC63" s="28"/>
      <c r="AD63" s="28"/>
      <c r="AE63" s="28"/>
      <c r="AF63" s="90"/>
      <c r="AG63" s="28"/>
      <c r="AH63" s="28"/>
      <c r="AI63" s="28"/>
    </row>
    <row r="64" s="89" customFormat="true" ht="14.4" hidden="false" customHeight="false" outlineLevel="0" collapsed="false">
      <c r="B64" s="94"/>
      <c r="C64" s="90"/>
      <c r="D64" s="90"/>
      <c r="E64" s="91"/>
      <c r="F64" s="92"/>
      <c r="G64" s="65"/>
      <c r="H64" s="90"/>
      <c r="I64" s="28"/>
      <c r="J64" s="28"/>
      <c r="K64" s="28"/>
      <c r="L64" s="28"/>
      <c r="M64" s="28"/>
      <c r="N64" s="90"/>
      <c r="O64" s="28"/>
      <c r="P64" s="28"/>
      <c r="Q64" s="28"/>
      <c r="R64" s="28"/>
      <c r="S64" s="28"/>
      <c r="T64" s="90"/>
      <c r="U64" s="28"/>
      <c r="V64" s="28"/>
      <c r="W64" s="28"/>
      <c r="X64" s="28"/>
      <c r="Y64" s="28"/>
      <c r="Z64" s="90"/>
      <c r="AA64" s="28"/>
      <c r="AB64" s="28"/>
      <c r="AC64" s="28"/>
      <c r="AD64" s="28"/>
      <c r="AE64" s="28"/>
      <c r="AF64" s="90"/>
      <c r="AG64" s="28"/>
      <c r="AH64" s="28"/>
      <c r="AI64" s="28"/>
    </row>
    <row r="65" s="89" customFormat="true" ht="14.4" hidden="false" customHeight="false" outlineLevel="0" collapsed="false">
      <c r="B65" s="94"/>
      <c r="C65" s="90"/>
      <c r="D65" s="90"/>
      <c r="E65" s="91"/>
      <c r="F65" s="92"/>
      <c r="G65" s="65"/>
      <c r="H65" s="90"/>
      <c r="I65" s="28"/>
      <c r="J65" s="28"/>
      <c r="K65" s="28"/>
      <c r="L65" s="28"/>
      <c r="M65" s="28"/>
      <c r="N65" s="90"/>
      <c r="O65" s="28"/>
      <c r="P65" s="28"/>
      <c r="Q65" s="28"/>
      <c r="R65" s="28"/>
      <c r="S65" s="28"/>
      <c r="T65" s="90"/>
      <c r="U65" s="28"/>
      <c r="V65" s="28"/>
      <c r="W65" s="28"/>
      <c r="X65" s="28"/>
      <c r="Y65" s="28"/>
      <c r="Z65" s="90"/>
      <c r="AA65" s="28"/>
      <c r="AB65" s="28"/>
      <c r="AC65" s="28"/>
      <c r="AD65" s="28"/>
      <c r="AE65" s="28"/>
      <c r="AF65" s="90"/>
      <c r="AG65" s="28"/>
      <c r="AH65" s="28"/>
      <c r="AI65" s="28"/>
    </row>
    <row r="66" s="89" customFormat="true" ht="14.4" hidden="false" customHeight="false" outlineLevel="0" collapsed="false">
      <c r="B66" s="94"/>
      <c r="C66" s="90"/>
      <c r="D66" s="90"/>
      <c r="E66" s="91"/>
      <c r="F66" s="92"/>
      <c r="G66" s="65"/>
      <c r="H66" s="90"/>
      <c r="I66" s="28"/>
      <c r="J66" s="28"/>
      <c r="K66" s="28"/>
      <c r="L66" s="28"/>
      <c r="M66" s="28"/>
      <c r="N66" s="90"/>
      <c r="O66" s="28"/>
      <c r="P66" s="28"/>
      <c r="Q66" s="28"/>
      <c r="R66" s="28"/>
      <c r="S66" s="28"/>
      <c r="T66" s="90"/>
      <c r="U66" s="28"/>
      <c r="V66" s="28"/>
      <c r="W66" s="28"/>
      <c r="X66" s="28"/>
      <c r="Y66" s="28"/>
      <c r="Z66" s="90"/>
      <c r="AA66" s="28"/>
      <c r="AB66" s="28"/>
      <c r="AC66" s="28"/>
      <c r="AD66" s="28"/>
      <c r="AE66" s="28"/>
      <c r="AF66" s="90"/>
      <c r="AG66" s="28"/>
      <c r="AH66" s="28"/>
      <c r="AI66" s="28"/>
    </row>
    <row r="67" s="89" customFormat="true" ht="14.4" hidden="false" customHeight="false" outlineLevel="0" collapsed="false">
      <c r="B67" s="94"/>
      <c r="C67" s="90"/>
      <c r="D67" s="90"/>
      <c r="E67" s="91"/>
      <c r="F67" s="92"/>
      <c r="G67" s="65"/>
      <c r="H67" s="90"/>
      <c r="I67" s="28"/>
      <c r="J67" s="28"/>
      <c r="K67" s="28"/>
      <c r="L67" s="28"/>
      <c r="M67" s="28"/>
      <c r="N67" s="90"/>
      <c r="O67" s="28"/>
      <c r="P67" s="28"/>
      <c r="Q67" s="28"/>
      <c r="R67" s="28"/>
      <c r="S67" s="28"/>
      <c r="T67" s="90"/>
      <c r="U67" s="28"/>
      <c r="V67" s="28"/>
      <c r="W67" s="28"/>
      <c r="X67" s="28"/>
      <c r="Y67" s="28"/>
      <c r="Z67" s="90"/>
      <c r="AA67" s="28"/>
      <c r="AB67" s="28"/>
      <c r="AC67" s="28"/>
      <c r="AD67" s="28"/>
      <c r="AE67" s="28"/>
      <c r="AF67" s="90"/>
      <c r="AG67" s="28"/>
      <c r="AH67" s="28"/>
      <c r="AI67" s="28"/>
    </row>
    <row r="68" customFormat="false" ht="14.4" hidden="false" customHeight="false" outlineLevel="0" collapsed="false">
      <c r="E68" s="89"/>
    </row>
    <row r="69" customFormat="false" ht="14.4" hidden="true" customHeight="false" outlineLevel="0" collapsed="false">
      <c r="C69" s="0" t="s">
        <v>88</v>
      </c>
      <c r="E69" s="89"/>
    </row>
    <row r="70" customFormat="false" ht="14.4" hidden="true" customHeight="false" outlineLevel="0" collapsed="false">
      <c r="C70" s="0" t="n">
        <v>1</v>
      </c>
      <c r="E70" s="89"/>
    </row>
    <row r="71" customFormat="false" ht="14.4" hidden="true" customHeight="false" outlineLevel="0" collapsed="false">
      <c r="C71" s="0" t="n">
        <v>0</v>
      </c>
      <c r="E71" s="89"/>
    </row>
    <row r="72" customFormat="false" ht="14.4" hidden="true" customHeight="false" outlineLevel="0" collapsed="false">
      <c r="C72" s="0" t="n">
        <v>-1</v>
      </c>
      <c r="E72" s="89"/>
    </row>
    <row r="73" customFormat="false" ht="14.4" hidden="true" customHeight="false" outlineLevel="0" collapsed="false">
      <c r="E73" s="89"/>
    </row>
    <row r="74" customFormat="false" ht="14.4" hidden="true" customHeight="false" outlineLevel="0" collapsed="false">
      <c r="E74" s="89"/>
    </row>
    <row r="75" customFormat="false" ht="14.4" hidden="true" customHeight="false" outlineLevel="0" collapsed="false">
      <c r="E75" s="89"/>
    </row>
    <row r="76" customFormat="false" ht="14.4" hidden="true" customHeight="false" outlineLevel="0" collapsed="false">
      <c r="E76" s="89"/>
      <c r="F76" s="91"/>
      <c r="G76" s="91"/>
      <c r="H76" s="91"/>
    </row>
    <row r="77" customFormat="false" ht="14.4" hidden="true" customHeight="false" outlineLevel="0" collapsed="false">
      <c r="A77" s="95" t="s">
        <v>55</v>
      </c>
      <c r="B77" s="96" t="s">
        <v>29</v>
      </c>
      <c r="C77" s="97" t="s">
        <v>89</v>
      </c>
      <c r="D77" s="91"/>
      <c r="E77" s="89"/>
      <c r="H77" s="66"/>
    </row>
    <row r="78" customFormat="false" ht="14.4" hidden="true" customHeight="false" outlineLevel="0" collapsed="false">
      <c r="A78" s="66"/>
      <c r="B78" s="98" t="s">
        <v>90</v>
      </c>
      <c r="C78" s="96" t="s">
        <v>91</v>
      </c>
      <c r="D78" s="41"/>
      <c r="E78" s="89"/>
      <c r="H78" s="66"/>
    </row>
    <row r="79" customFormat="false" ht="14.4" hidden="true" customHeight="false" outlineLevel="0" collapsed="false">
      <c r="A79" s="66"/>
      <c r="B79" s="98" t="s">
        <v>92</v>
      </c>
      <c r="C79" s="96" t="s">
        <v>93</v>
      </c>
      <c r="D79" s="41"/>
      <c r="E79" s="89"/>
      <c r="H79" s="66"/>
    </row>
    <row r="80" customFormat="false" ht="14.4" hidden="true" customHeight="false" outlineLevel="0" collapsed="false">
      <c r="A80" s="66"/>
      <c r="B80" s="98" t="s">
        <v>94</v>
      </c>
      <c r="C80" s="96" t="s">
        <v>95</v>
      </c>
      <c r="D80" s="41"/>
      <c r="E80" s="89"/>
      <c r="H80" s="66"/>
    </row>
    <row r="81" customFormat="false" ht="14.4" hidden="true" customHeight="false" outlineLevel="0" collapsed="false">
      <c r="A81" s="66"/>
      <c r="B81" s="98" t="s">
        <v>96</v>
      </c>
      <c r="C81" s="96" t="s">
        <v>97</v>
      </c>
      <c r="D81" s="41"/>
      <c r="E81" s="89"/>
      <c r="H81" s="66"/>
    </row>
    <row r="82" customFormat="false" ht="14.4" hidden="true" customHeight="false" outlineLevel="0" collapsed="false">
      <c r="A82" s="66"/>
      <c r="B82" s="98" t="s">
        <v>98</v>
      </c>
      <c r="C82" s="98" t="s">
        <v>99</v>
      </c>
      <c r="D82" s="99"/>
      <c r="E82" s="89"/>
      <c r="H82" s="66"/>
    </row>
    <row r="83" customFormat="false" ht="14.4" hidden="true" customHeight="false" outlineLevel="0" collapsed="false">
      <c r="A83" s="66"/>
      <c r="B83" s="98" t="s">
        <v>56</v>
      </c>
      <c r="C83" s="96" t="s">
        <v>100</v>
      </c>
      <c r="D83" s="41"/>
      <c r="E83" s="89"/>
      <c r="H83" s="66"/>
    </row>
    <row r="84" customFormat="false" ht="14.4" hidden="true" customHeight="false" outlineLevel="0" collapsed="false">
      <c r="A84" s="66"/>
      <c r="B84" s="98" t="s">
        <v>101</v>
      </c>
      <c r="C84" s="96" t="s">
        <v>102</v>
      </c>
      <c r="D84" s="41"/>
      <c r="E84" s="89"/>
      <c r="H84" s="41"/>
      <c r="I84" s="41"/>
    </row>
    <row r="85" customFormat="false" ht="14.4" hidden="true" customHeight="false" outlineLevel="0" collapsed="false">
      <c r="A85" s="41"/>
      <c r="B85" s="96"/>
      <c r="C85" s="97"/>
      <c r="D85" s="91"/>
      <c r="E85" s="89"/>
    </row>
    <row r="86" customFormat="false" ht="14.4" hidden="true" customHeight="false" outlineLevel="0" collapsed="false">
      <c r="A86" s="95" t="s">
        <v>66</v>
      </c>
      <c r="B86" s="100" t="s">
        <v>29</v>
      </c>
      <c r="C86" s="101" t="s">
        <v>89</v>
      </c>
      <c r="D86" s="102"/>
      <c r="E86" s="89"/>
      <c r="H86" s="95"/>
      <c r="I86" s="41"/>
    </row>
    <row r="87" customFormat="false" ht="14.4" hidden="true" customHeight="false" outlineLevel="0" collapsed="false">
      <c r="A87" s="66"/>
      <c r="B87" s="98" t="s">
        <v>67</v>
      </c>
      <c r="C87" s="96" t="s">
        <v>103</v>
      </c>
      <c r="D87" s="41"/>
      <c r="E87" s="89"/>
      <c r="H87" s="66"/>
    </row>
    <row r="88" customFormat="false" ht="14.4" hidden="true" customHeight="false" outlineLevel="0" collapsed="false">
      <c r="A88" s="66"/>
      <c r="B88" s="98" t="s">
        <v>104</v>
      </c>
      <c r="C88" s="96" t="s">
        <v>105</v>
      </c>
      <c r="D88" s="41"/>
      <c r="E88" s="89"/>
      <c r="H88" s="66"/>
    </row>
    <row r="89" customFormat="false" ht="14.4" hidden="true" customHeight="false" outlineLevel="0" collapsed="false">
      <c r="A89" s="66"/>
      <c r="B89" s="98" t="s">
        <v>106</v>
      </c>
      <c r="C89" s="96" t="s">
        <v>107</v>
      </c>
      <c r="D89" s="41"/>
      <c r="E89" s="89"/>
      <c r="H89" s="66"/>
    </row>
    <row r="90" customFormat="false" ht="14.4" hidden="true" customHeight="false" outlineLevel="0" collapsed="false">
      <c r="A90" s="66"/>
      <c r="B90" s="98" t="s">
        <v>108</v>
      </c>
      <c r="C90" s="96" t="s">
        <v>109</v>
      </c>
      <c r="D90" s="41"/>
      <c r="E90" s="89"/>
      <c r="H90" s="66"/>
    </row>
    <row r="91" customFormat="false" ht="14.4" hidden="true" customHeight="false" outlineLevel="0" collapsed="false">
      <c r="A91" s="41"/>
      <c r="B91" s="96"/>
      <c r="C91" s="97"/>
      <c r="D91" s="91"/>
      <c r="E91" s="89"/>
      <c r="H91" s="41"/>
      <c r="I91" s="41"/>
    </row>
    <row r="92" customFormat="false" ht="14.4" hidden="true" customHeight="false" outlineLevel="0" collapsed="false">
      <c r="A92" s="95" t="s">
        <v>83</v>
      </c>
      <c r="B92" s="100" t="s">
        <v>29</v>
      </c>
      <c r="C92" s="101" t="s">
        <v>89</v>
      </c>
      <c r="D92" s="102"/>
      <c r="E92" s="89"/>
      <c r="H92" s="95"/>
      <c r="I92" s="41"/>
    </row>
    <row r="93" customFormat="false" ht="14.4" hidden="true" customHeight="false" outlineLevel="0" collapsed="false">
      <c r="A93" s="66"/>
      <c r="B93" s="98" t="s">
        <v>110</v>
      </c>
      <c r="C93" s="96" t="s">
        <v>111</v>
      </c>
      <c r="D93" s="41"/>
      <c r="E93" s="89"/>
      <c r="H93" s="66"/>
    </row>
    <row r="94" customFormat="false" ht="14.4" hidden="true" customHeight="false" outlineLevel="0" collapsed="false">
      <c r="A94" s="66"/>
      <c r="B94" s="98" t="s">
        <v>112</v>
      </c>
      <c r="C94" s="96" t="s">
        <v>113</v>
      </c>
      <c r="D94" s="41"/>
      <c r="E94" s="89"/>
      <c r="H94" s="66"/>
    </row>
    <row r="95" customFormat="false" ht="14.4" hidden="true" customHeight="false" outlineLevel="0" collapsed="false">
      <c r="A95" s="66"/>
      <c r="B95" s="98" t="s">
        <v>114</v>
      </c>
      <c r="C95" s="96" t="s">
        <v>115</v>
      </c>
      <c r="D95" s="41"/>
      <c r="E95" s="89"/>
      <c r="H95" s="66"/>
    </row>
    <row r="96" customFormat="false" ht="14.4" hidden="true" customHeight="false" outlineLevel="0" collapsed="false">
      <c r="A96" s="66"/>
      <c r="B96" s="98" t="s">
        <v>116</v>
      </c>
      <c r="C96" s="96" t="s">
        <v>117</v>
      </c>
      <c r="D96" s="41"/>
      <c r="E96" s="89"/>
      <c r="H96" s="66"/>
    </row>
    <row r="97" customFormat="false" ht="14.4" hidden="true" customHeight="false" outlineLevel="0" collapsed="false">
      <c r="A97" s="66"/>
      <c r="B97" s="98" t="s">
        <v>118</v>
      </c>
      <c r="C97" s="96" t="s">
        <v>119</v>
      </c>
      <c r="D97" s="41"/>
      <c r="E97" s="89"/>
      <c r="H97" s="66"/>
    </row>
    <row r="98" customFormat="false" ht="14.4" hidden="true" customHeight="false" outlineLevel="0" collapsed="false">
      <c r="A98" s="66"/>
      <c r="B98" s="98" t="s">
        <v>120</v>
      </c>
      <c r="C98" s="96" t="s">
        <v>121</v>
      </c>
      <c r="D98" s="41"/>
      <c r="E98" s="89"/>
      <c r="H98" s="66"/>
    </row>
    <row r="99" customFormat="false" ht="14.4" hidden="true" customHeight="false" outlineLevel="0" collapsed="false">
      <c r="A99" s="66"/>
      <c r="B99" s="98" t="s">
        <v>122</v>
      </c>
      <c r="C99" s="96" t="s">
        <v>123</v>
      </c>
      <c r="D99" s="41"/>
      <c r="E99" s="89"/>
      <c r="H99" s="66"/>
    </row>
    <row r="100" customFormat="false" ht="14.4" hidden="true" customHeight="false" outlineLevel="0" collapsed="false">
      <c r="A100" s="66"/>
      <c r="B100" s="98" t="s">
        <v>84</v>
      </c>
      <c r="C100" s="96" t="s">
        <v>124</v>
      </c>
      <c r="D100" s="41"/>
      <c r="E100" s="89"/>
      <c r="H100" s="66"/>
    </row>
    <row r="101" customFormat="false" ht="14.4" hidden="true" customHeight="false" outlineLevel="0" collapsed="false">
      <c r="A101" s="66"/>
      <c r="B101" s="98" t="s">
        <v>125</v>
      </c>
      <c r="C101" s="98" t="s">
        <v>126</v>
      </c>
      <c r="D101" s="99"/>
      <c r="E101" s="89"/>
      <c r="H101" s="66"/>
    </row>
    <row r="102" customFormat="false" ht="14.4" hidden="true" customHeight="false" outlineLevel="0" collapsed="false">
      <c r="A102" s="66"/>
      <c r="B102" s="98" t="s">
        <v>127</v>
      </c>
      <c r="C102" s="96" t="s">
        <v>128</v>
      </c>
      <c r="D102" s="41"/>
      <c r="E102" s="89"/>
      <c r="H102" s="66"/>
    </row>
    <row r="103" customFormat="false" ht="14.4" hidden="true" customHeight="false" outlineLevel="0" collapsed="false">
      <c r="A103" s="66"/>
      <c r="B103" s="98" t="s">
        <v>129</v>
      </c>
      <c r="C103" s="96" t="s">
        <v>130</v>
      </c>
      <c r="D103" s="41"/>
      <c r="E103" s="89"/>
      <c r="H103" s="66"/>
    </row>
    <row r="104" customFormat="false" ht="14.4" hidden="true" customHeight="false" outlineLevel="0" collapsed="false">
      <c r="A104" s="41"/>
      <c r="B104" s="96"/>
      <c r="C104" s="103"/>
      <c r="E104" s="89"/>
      <c r="H104" s="41"/>
      <c r="I104" s="41"/>
    </row>
    <row r="105" customFormat="false" ht="14.4" hidden="true" customHeight="false" outlineLevel="0" collapsed="false">
      <c r="A105" s="95" t="s">
        <v>131</v>
      </c>
      <c r="B105" s="100" t="s">
        <v>29</v>
      </c>
      <c r="C105" s="101" t="s">
        <v>89</v>
      </c>
      <c r="D105" s="102"/>
      <c r="E105" s="89"/>
      <c r="H105" s="95"/>
      <c r="I105" s="41"/>
    </row>
    <row r="106" customFormat="false" ht="14.4" hidden="true" customHeight="false" outlineLevel="0" collapsed="false">
      <c r="A106" s="66"/>
      <c r="B106" s="98" t="s">
        <v>132</v>
      </c>
      <c r="C106" s="96" t="s">
        <v>133</v>
      </c>
      <c r="D106" s="41"/>
      <c r="E106" s="89"/>
      <c r="H106" s="66"/>
    </row>
    <row r="107" customFormat="false" ht="14.4" hidden="true" customHeight="false" outlineLevel="0" collapsed="false">
      <c r="A107" s="66"/>
      <c r="B107" s="98" t="s">
        <v>134</v>
      </c>
      <c r="C107" s="96" t="s">
        <v>135</v>
      </c>
      <c r="D107" s="41"/>
      <c r="E107" s="89"/>
      <c r="H107" s="66"/>
    </row>
    <row r="108" customFormat="false" ht="14.4" hidden="true" customHeight="false" outlineLevel="0" collapsed="false">
      <c r="A108" s="66"/>
      <c r="B108" s="98" t="s">
        <v>76</v>
      </c>
      <c r="C108" s="96" t="s">
        <v>136</v>
      </c>
      <c r="D108" s="41"/>
      <c r="E108" s="89"/>
      <c r="H108" s="66"/>
    </row>
    <row r="109" customFormat="false" ht="14.4" hidden="true" customHeight="false" outlineLevel="0" collapsed="false">
      <c r="A109" s="66"/>
      <c r="B109" s="98" t="s">
        <v>137</v>
      </c>
      <c r="C109" s="96" t="s">
        <v>138</v>
      </c>
      <c r="D109" s="41"/>
      <c r="E109" s="89"/>
      <c r="H109" s="66"/>
    </row>
    <row r="110" customFormat="false" ht="14.4" hidden="true" customHeight="false" outlineLevel="0" collapsed="false">
      <c r="A110" s="41"/>
      <c r="B110" s="96"/>
      <c r="C110" s="96"/>
      <c r="D110" s="41"/>
      <c r="E110" s="89"/>
      <c r="H110" s="41"/>
    </row>
    <row r="111" customFormat="false" ht="14.4" hidden="true" customHeight="false" outlineLevel="0" collapsed="false">
      <c r="A111" s="104" t="s">
        <v>53</v>
      </c>
      <c r="B111" s="100" t="s">
        <v>29</v>
      </c>
      <c r="C111" s="101" t="s">
        <v>89</v>
      </c>
      <c r="D111" s="102"/>
      <c r="E111" s="89"/>
      <c r="H111" s="104"/>
    </row>
    <row r="112" customFormat="false" ht="14.4" hidden="true" customHeight="false" outlineLevel="0" collapsed="false">
      <c r="A112" s="66"/>
      <c r="B112" s="98" t="s">
        <v>139</v>
      </c>
      <c r="C112" s="96" t="s">
        <v>140</v>
      </c>
      <c r="D112" s="41"/>
      <c r="E112" s="89"/>
      <c r="H112" s="66"/>
    </row>
    <row r="113" customFormat="false" ht="14.4" hidden="true" customHeight="false" outlineLevel="0" collapsed="false">
      <c r="A113" s="66"/>
      <c r="B113" s="98" t="s">
        <v>141</v>
      </c>
      <c r="C113" s="96" t="s">
        <v>142</v>
      </c>
      <c r="D113" s="41"/>
      <c r="E113" s="89"/>
      <c r="H113" s="66"/>
    </row>
    <row r="114" customFormat="false" ht="14.4" hidden="true" customHeight="false" outlineLevel="0" collapsed="false">
      <c r="A114" s="66"/>
      <c r="B114" s="98" t="s">
        <v>143</v>
      </c>
      <c r="C114" s="96" t="s">
        <v>144</v>
      </c>
      <c r="D114" s="41"/>
      <c r="E114" s="89"/>
      <c r="H114" s="66"/>
    </row>
    <row r="115" customFormat="false" ht="14.4" hidden="true" customHeight="false" outlineLevel="0" collapsed="false">
      <c r="A115" s="66"/>
      <c r="B115" s="98" t="s">
        <v>54</v>
      </c>
      <c r="C115" s="96" t="s">
        <v>145</v>
      </c>
      <c r="D115" s="41"/>
      <c r="E115" s="89"/>
      <c r="H115" s="66"/>
    </row>
    <row r="116" customFormat="false" ht="14.4" hidden="true" customHeight="false" outlineLevel="0" collapsed="false">
      <c r="A116" s="66"/>
      <c r="B116" s="98" t="s">
        <v>146</v>
      </c>
      <c r="C116" s="96" t="s">
        <v>147</v>
      </c>
      <c r="D116" s="41"/>
      <c r="E116" s="89"/>
      <c r="H116" s="66"/>
    </row>
    <row r="117" customFormat="false" ht="14.4" hidden="true" customHeight="false" outlineLevel="0" collapsed="false">
      <c r="A117" s="41"/>
      <c r="B117" s="96"/>
      <c r="C117" s="96"/>
      <c r="D117" s="41"/>
      <c r="E117" s="89"/>
      <c r="H117" s="41"/>
    </row>
    <row r="118" customFormat="false" ht="14.4" hidden="true" customHeight="false" outlineLevel="0" collapsed="false">
      <c r="A118" s="104" t="s">
        <v>85</v>
      </c>
      <c r="B118" s="100" t="s">
        <v>29</v>
      </c>
      <c r="C118" s="101" t="s">
        <v>89</v>
      </c>
      <c r="D118" s="102"/>
      <c r="E118" s="89"/>
      <c r="H118" s="104"/>
    </row>
    <row r="119" customFormat="false" ht="14.4" hidden="true" customHeight="false" outlineLevel="0" collapsed="false">
      <c r="A119" s="66"/>
      <c r="B119" s="98" t="s">
        <v>148</v>
      </c>
      <c r="C119" s="96" t="s">
        <v>149</v>
      </c>
      <c r="D119" s="41"/>
      <c r="E119" s="89"/>
      <c r="H119" s="66"/>
    </row>
    <row r="120" customFormat="false" ht="14.4" hidden="true" customHeight="false" outlineLevel="0" collapsed="false">
      <c r="A120" s="66"/>
      <c r="B120" s="98" t="s">
        <v>150</v>
      </c>
      <c r="C120" s="96" t="s">
        <v>151</v>
      </c>
      <c r="D120" s="41"/>
      <c r="E120" s="89"/>
      <c r="H120" s="66"/>
    </row>
    <row r="121" customFormat="false" ht="14.4" hidden="true" customHeight="false" outlineLevel="0" collapsed="false">
      <c r="A121" s="66"/>
      <c r="B121" s="98" t="s">
        <v>86</v>
      </c>
      <c r="C121" s="96" t="s">
        <v>152</v>
      </c>
      <c r="D121" s="41"/>
      <c r="E121" s="89"/>
      <c r="H121" s="66"/>
    </row>
    <row r="122" customFormat="false" ht="14.4" hidden="true" customHeight="false" outlineLevel="0" collapsed="false">
      <c r="A122" s="66"/>
      <c r="B122" s="98" t="s">
        <v>153</v>
      </c>
      <c r="C122" s="96" t="s">
        <v>154</v>
      </c>
      <c r="D122" s="41"/>
      <c r="E122" s="89"/>
      <c r="H122" s="66"/>
    </row>
    <row r="123" customFormat="false" ht="14.4" hidden="true" customHeight="false" outlineLevel="0" collapsed="false">
      <c r="A123" s="66"/>
      <c r="B123" s="98"/>
      <c r="C123" s="96"/>
      <c r="D123" s="41"/>
      <c r="E123" s="89"/>
      <c r="H123" s="66"/>
    </row>
    <row r="124" customFormat="false" ht="14.4" hidden="true" customHeight="false" outlineLevel="0" collapsed="false">
      <c r="A124" s="104" t="s">
        <v>155</v>
      </c>
      <c r="B124" s="100" t="s">
        <v>29</v>
      </c>
      <c r="C124" s="101" t="s">
        <v>89</v>
      </c>
      <c r="D124" s="102"/>
      <c r="E124" s="89"/>
      <c r="H124" s="104"/>
    </row>
    <row r="125" customFormat="false" ht="14.4" hidden="true" customHeight="false" outlineLevel="0" collapsed="false">
      <c r="A125" s="66"/>
      <c r="B125" s="98" t="s">
        <v>156</v>
      </c>
      <c r="C125" s="96" t="s">
        <v>157</v>
      </c>
      <c r="D125" s="41"/>
      <c r="E125" s="89"/>
      <c r="H125" s="66"/>
    </row>
    <row r="126" customFormat="false" ht="14.4" hidden="true" customHeight="false" outlineLevel="0" collapsed="false">
      <c r="A126" s="66"/>
      <c r="B126" s="98" t="s">
        <v>46</v>
      </c>
      <c r="C126" s="96" t="s">
        <v>158</v>
      </c>
      <c r="D126" s="41"/>
      <c r="E126" s="89"/>
      <c r="H126" s="66"/>
    </row>
    <row r="127" customFormat="false" ht="14.4" hidden="true" customHeight="false" outlineLevel="0" collapsed="false">
      <c r="A127" s="66"/>
      <c r="B127" s="98" t="s">
        <v>159</v>
      </c>
      <c r="C127" s="96" t="s">
        <v>160</v>
      </c>
      <c r="D127" s="41"/>
      <c r="E127" s="89"/>
      <c r="H127" s="66"/>
    </row>
    <row r="128" customFormat="false" ht="14.4" hidden="true" customHeight="false" outlineLevel="0" collapsed="false">
      <c r="A128" s="66"/>
      <c r="B128" s="98" t="s">
        <v>161</v>
      </c>
      <c r="C128" s="96" t="s">
        <v>162</v>
      </c>
      <c r="D128" s="41"/>
      <c r="E128" s="89"/>
      <c r="H128" s="66"/>
    </row>
    <row r="129" customFormat="false" ht="14.4" hidden="true" customHeight="false" outlineLevel="0" collapsed="false">
      <c r="A129" s="66"/>
      <c r="B129" s="98" t="s">
        <v>163</v>
      </c>
      <c r="C129" s="96" t="s">
        <v>164</v>
      </c>
      <c r="D129" s="41"/>
      <c r="E129" s="89"/>
      <c r="H129" s="66"/>
    </row>
    <row r="130" customFormat="false" ht="14.4" hidden="true" customHeight="false" outlineLevel="0" collapsed="false">
      <c r="A130" s="66"/>
      <c r="B130" s="98" t="s">
        <v>69</v>
      </c>
      <c r="C130" s="96" t="s">
        <v>165</v>
      </c>
      <c r="D130" s="41"/>
      <c r="E130" s="89"/>
      <c r="H130" s="66"/>
    </row>
    <row r="131" customFormat="false" ht="14.4" hidden="true" customHeight="false" outlineLevel="0" collapsed="false">
      <c r="A131" s="66"/>
      <c r="B131" s="98" t="s">
        <v>166</v>
      </c>
      <c r="C131" s="96" t="s">
        <v>167</v>
      </c>
      <c r="D131" s="41"/>
      <c r="E131" s="89"/>
      <c r="H131" s="66"/>
    </row>
    <row r="132" customFormat="false" ht="14.4" hidden="true" customHeight="false" outlineLevel="0" collapsed="false">
      <c r="A132" s="66"/>
      <c r="B132" s="98" t="s">
        <v>168</v>
      </c>
      <c r="C132" s="96" t="s">
        <v>169</v>
      </c>
      <c r="D132" s="41"/>
      <c r="E132" s="89"/>
      <c r="H132" s="66"/>
    </row>
    <row r="133" customFormat="false" ht="14.4" hidden="true" customHeight="false" outlineLevel="0" collapsed="false">
      <c r="A133" s="41"/>
      <c r="B133" s="96"/>
      <c r="C133" s="96"/>
      <c r="D133" s="41"/>
      <c r="E133" s="89"/>
      <c r="H133" s="41"/>
    </row>
    <row r="134" customFormat="false" ht="14.4" hidden="true" customHeight="false" outlineLevel="0" collapsed="false">
      <c r="A134" s="104" t="s">
        <v>170</v>
      </c>
      <c r="B134" s="100" t="s">
        <v>29</v>
      </c>
      <c r="C134" s="101" t="s">
        <v>89</v>
      </c>
      <c r="D134" s="102"/>
      <c r="E134" s="89"/>
      <c r="H134" s="104"/>
    </row>
    <row r="135" customFormat="false" ht="14.4" hidden="true" customHeight="false" outlineLevel="0" collapsed="false">
      <c r="A135" s="66"/>
      <c r="B135" s="98" t="s">
        <v>171</v>
      </c>
      <c r="C135" s="96" t="s">
        <v>172</v>
      </c>
      <c r="D135" s="41"/>
      <c r="E135" s="89"/>
      <c r="H135" s="66"/>
    </row>
    <row r="136" customFormat="false" ht="14.4" hidden="true" customHeight="false" outlineLevel="0" collapsed="false">
      <c r="A136" s="66"/>
      <c r="B136" s="98" t="s">
        <v>173</v>
      </c>
      <c r="C136" s="96" t="s">
        <v>174</v>
      </c>
      <c r="D136" s="41"/>
      <c r="E136" s="89"/>
      <c r="H136" s="66"/>
    </row>
    <row r="137" customFormat="false" ht="14.4" hidden="true" customHeight="false" outlineLevel="0" collapsed="false">
      <c r="A137" s="66"/>
      <c r="B137" s="98" t="s">
        <v>175</v>
      </c>
      <c r="C137" s="96" t="s">
        <v>176</v>
      </c>
      <c r="D137" s="41"/>
      <c r="E137" s="89"/>
      <c r="H137" s="66"/>
    </row>
    <row r="138" customFormat="false" ht="14.4" hidden="true" customHeight="false" outlineLevel="0" collapsed="false">
      <c r="A138" s="66"/>
      <c r="B138" s="98" t="s">
        <v>177</v>
      </c>
      <c r="C138" s="96" t="s">
        <v>178</v>
      </c>
      <c r="D138" s="41"/>
      <c r="E138" s="89"/>
      <c r="H138" s="66"/>
    </row>
    <row r="139" customFormat="false" ht="14.4" hidden="true" customHeight="false" outlineLevel="0" collapsed="false">
      <c r="A139" s="66"/>
      <c r="B139" s="98" t="s">
        <v>179</v>
      </c>
      <c r="C139" s="96" t="s">
        <v>180</v>
      </c>
      <c r="D139" s="41"/>
      <c r="E139" s="89"/>
      <c r="H139" s="66"/>
    </row>
    <row r="140" customFormat="false" ht="14.4" hidden="true" customHeight="false" outlineLevel="0" collapsed="false">
      <c r="A140" s="41"/>
      <c r="B140" s="96"/>
      <c r="C140" s="96"/>
      <c r="D140" s="41"/>
      <c r="E140" s="89"/>
      <c r="H140" s="41"/>
    </row>
    <row r="141" customFormat="false" ht="14.4" hidden="true" customHeight="false" outlineLevel="0" collapsed="false">
      <c r="A141" s="95" t="s">
        <v>181</v>
      </c>
      <c r="B141" s="100" t="s">
        <v>29</v>
      </c>
      <c r="C141" s="101" t="s">
        <v>89</v>
      </c>
      <c r="D141" s="102"/>
      <c r="E141" s="89"/>
      <c r="H141" s="95"/>
    </row>
    <row r="142" customFormat="false" ht="14.4" hidden="true" customHeight="false" outlineLevel="0" collapsed="false">
      <c r="A142" s="66"/>
      <c r="B142" s="98" t="s">
        <v>50</v>
      </c>
      <c r="C142" s="96" t="s">
        <v>182</v>
      </c>
      <c r="D142" s="41"/>
      <c r="E142" s="89"/>
      <c r="H142" s="66"/>
    </row>
    <row r="143" customFormat="false" ht="14.4" hidden="true" customHeight="false" outlineLevel="0" collapsed="false">
      <c r="A143" s="66"/>
      <c r="B143" s="98" t="s">
        <v>183</v>
      </c>
      <c r="C143" s="96" t="s">
        <v>184</v>
      </c>
      <c r="D143" s="41"/>
      <c r="E143" s="89"/>
      <c r="H143" s="66"/>
    </row>
    <row r="144" customFormat="false" ht="14.4" hidden="true" customHeight="false" outlineLevel="0" collapsed="false">
      <c r="A144" s="66"/>
      <c r="B144" s="98" t="s">
        <v>185</v>
      </c>
      <c r="C144" s="96" t="s">
        <v>186</v>
      </c>
      <c r="D144" s="41"/>
      <c r="E144" s="89"/>
      <c r="H144" s="66"/>
    </row>
    <row r="145" customFormat="false" ht="14.4" hidden="true" customHeight="false" outlineLevel="0" collapsed="false">
      <c r="A145" s="66"/>
      <c r="B145" s="98" t="s">
        <v>187</v>
      </c>
      <c r="C145" s="96" t="s">
        <v>188</v>
      </c>
      <c r="D145" s="41"/>
      <c r="E145" s="89"/>
      <c r="H145" s="66"/>
    </row>
    <row r="146" customFormat="false" ht="14.4" hidden="true" customHeight="false" outlineLevel="0" collapsed="false">
      <c r="A146" s="66"/>
      <c r="B146" s="98" t="s">
        <v>189</v>
      </c>
      <c r="C146" s="96" t="s">
        <v>190</v>
      </c>
      <c r="D146" s="41"/>
      <c r="E146" s="89"/>
      <c r="H146" s="66"/>
    </row>
    <row r="147" customFormat="false" ht="14.4" hidden="true" customHeight="false" outlineLevel="0" collapsed="false">
      <c r="A147" s="66"/>
      <c r="B147" s="98" t="s">
        <v>191</v>
      </c>
      <c r="C147" s="96" t="s">
        <v>192</v>
      </c>
      <c r="D147" s="41"/>
      <c r="E147" s="89"/>
      <c r="H147" s="66"/>
    </row>
    <row r="148" customFormat="false" ht="14.4" hidden="true" customHeight="false" outlineLevel="0" collapsed="false">
      <c r="A148" s="66"/>
      <c r="B148" s="98" t="s">
        <v>193</v>
      </c>
      <c r="C148" s="96" t="s">
        <v>194</v>
      </c>
      <c r="D148" s="41"/>
      <c r="E148" s="89"/>
      <c r="H148" s="66"/>
    </row>
    <row r="149" customFormat="false" ht="14.4" hidden="true" customHeight="false" outlineLevel="0" collapsed="false">
      <c r="A149" s="66"/>
      <c r="B149" s="98" t="s">
        <v>195</v>
      </c>
      <c r="C149" s="96" t="s">
        <v>196</v>
      </c>
      <c r="D149" s="41"/>
      <c r="E149" s="89"/>
      <c r="H149" s="66"/>
    </row>
    <row r="150" customFormat="false" ht="14.4" hidden="true" customHeight="false" outlineLevel="0" collapsed="false">
      <c r="A150" s="41"/>
      <c r="B150" s="96"/>
      <c r="C150" s="96"/>
      <c r="D150" s="41"/>
      <c r="E150" s="89"/>
      <c r="H150" s="41"/>
    </row>
    <row r="151" customFormat="false" ht="14.4" hidden="true" customHeight="false" outlineLevel="0" collapsed="false">
      <c r="A151" s="104" t="s">
        <v>197</v>
      </c>
      <c r="B151" s="100" t="s">
        <v>29</v>
      </c>
      <c r="C151" s="101" t="s">
        <v>89</v>
      </c>
      <c r="D151" s="102"/>
      <c r="E151" s="89"/>
      <c r="H151" s="104"/>
    </row>
    <row r="152" customFormat="false" ht="14.4" hidden="true" customHeight="false" outlineLevel="0" collapsed="false">
      <c r="A152" s="66"/>
      <c r="B152" s="98" t="s">
        <v>198</v>
      </c>
      <c r="C152" s="96" t="s">
        <v>199</v>
      </c>
      <c r="D152" s="41"/>
      <c r="E152" s="89"/>
      <c r="H152" s="66"/>
    </row>
    <row r="153" customFormat="false" ht="14.4" hidden="true" customHeight="false" outlineLevel="0" collapsed="false">
      <c r="A153" s="66"/>
      <c r="B153" s="98" t="s">
        <v>200</v>
      </c>
      <c r="C153" s="96" t="s">
        <v>201</v>
      </c>
      <c r="D153" s="41"/>
      <c r="E153" s="89"/>
      <c r="H153" s="66"/>
    </row>
    <row r="154" customFormat="false" ht="14.4" hidden="true" customHeight="false" outlineLevel="0" collapsed="false">
      <c r="A154" s="66"/>
      <c r="B154" s="98" t="s">
        <v>202</v>
      </c>
      <c r="C154" s="96" t="s">
        <v>203</v>
      </c>
      <c r="D154" s="41"/>
      <c r="E154" s="89"/>
      <c r="H154" s="66"/>
    </row>
    <row r="155" customFormat="false" ht="14.4" hidden="true" customHeight="false" outlineLevel="0" collapsed="false">
      <c r="A155" s="66"/>
      <c r="B155" s="98" t="s">
        <v>204</v>
      </c>
      <c r="C155" s="96" t="s">
        <v>205</v>
      </c>
      <c r="D155" s="41"/>
      <c r="E155" s="89"/>
      <c r="H155" s="66"/>
    </row>
    <row r="156" customFormat="false" ht="14.4" hidden="true" customHeight="false" outlineLevel="0" collapsed="false">
      <c r="A156" s="66"/>
      <c r="B156" s="98" t="s">
        <v>206</v>
      </c>
      <c r="C156" s="96" t="s">
        <v>207</v>
      </c>
      <c r="D156" s="41"/>
      <c r="E156" s="89"/>
      <c r="H156" s="66"/>
    </row>
    <row r="157" customFormat="false" ht="14.4" hidden="true" customHeight="false" outlineLevel="0" collapsed="false">
      <c r="A157" s="66"/>
      <c r="B157" s="98" t="s">
        <v>208</v>
      </c>
      <c r="C157" s="98" t="s">
        <v>209</v>
      </c>
      <c r="D157" s="99"/>
      <c r="E157" s="89"/>
      <c r="H157" s="66"/>
    </row>
    <row r="158" customFormat="false" ht="14.4" hidden="true" customHeight="false" outlineLevel="0" collapsed="false">
      <c r="A158" s="66"/>
      <c r="B158" s="98" t="s">
        <v>210</v>
      </c>
      <c r="C158" s="98" t="s">
        <v>211</v>
      </c>
      <c r="D158" s="99"/>
      <c r="E158" s="89"/>
      <c r="H158" s="66"/>
    </row>
    <row r="159" customFormat="false" ht="14.4" hidden="true" customHeight="false" outlineLevel="0" collapsed="false">
      <c r="A159" s="66"/>
      <c r="B159" s="98" t="s">
        <v>52</v>
      </c>
      <c r="C159" s="96" t="s">
        <v>212</v>
      </c>
      <c r="D159" s="41"/>
      <c r="E159" s="89"/>
      <c r="H159" s="66"/>
    </row>
    <row r="160" customFormat="false" ht="14.4" hidden="true" customHeight="false" outlineLevel="0" collapsed="false">
      <c r="A160" s="66"/>
      <c r="B160" s="98" t="s">
        <v>213</v>
      </c>
      <c r="C160" s="98" t="s">
        <v>214</v>
      </c>
      <c r="D160" s="99"/>
      <c r="E160" s="89"/>
      <c r="H160" s="66"/>
    </row>
    <row r="161" customFormat="false" ht="14.4" hidden="true" customHeight="false" outlineLevel="0" collapsed="false">
      <c r="A161" s="66"/>
      <c r="B161" s="98" t="s">
        <v>74</v>
      </c>
      <c r="C161" s="98" t="s">
        <v>215</v>
      </c>
      <c r="D161" s="99"/>
      <c r="E161" s="89"/>
      <c r="H161" s="66"/>
    </row>
    <row r="162" customFormat="false" ht="14.4" hidden="true" customHeight="false" outlineLevel="0" collapsed="false">
      <c r="A162" s="66"/>
      <c r="B162" s="98" t="s">
        <v>216</v>
      </c>
      <c r="C162" s="96" t="s">
        <v>217</v>
      </c>
      <c r="D162" s="41"/>
      <c r="E162" s="89"/>
      <c r="H162" s="66"/>
    </row>
    <row r="163" customFormat="false" ht="14.4" hidden="true" customHeight="false" outlineLevel="0" collapsed="false">
      <c r="A163" s="66"/>
      <c r="B163" s="98" t="s">
        <v>218</v>
      </c>
      <c r="C163" s="98" t="s">
        <v>219</v>
      </c>
      <c r="D163" s="99"/>
      <c r="E163" s="89"/>
      <c r="H163" s="66"/>
    </row>
    <row r="164" customFormat="false" ht="14.4" hidden="true" customHeight="false" outlineLevel="0" collapsed="false">
      <c r="A164" s="41"/>
      <c r="B164" s="96"/>
      <c r="C164" s="96"/>
      <c r="D164" s="41"/>
      <c r="E164" s="89"/>
      <c r="H164" s="41"/>
    </row>
    <row r="165" customFormat="false" ht="14.4" hidden="true" customHeight="false" outlineLevel="0" collapsed="false">
      <c r="A165" s="95" t="s">
        <v>61</v>
      </c>
      <c r="B165" s="100" t="s">
        <v>29</v>
      </c>
      <c r="C165" s="101" t="s">
        <v>89</v>
      </c>
      <c r="D165" s="102"/>
      <c r="E165" s="89"/>
      <c r="H165" s="95"/>
    </row>
    <row r="166" customFormat="false" ht="14.4" hidden="true" customHeight="false" outlineLevel="0" collapsed="false">
      <c r="A166" s="66"/>
      <c r="B166" s="98" t="s">
        <v>62</v>
      </c>
      <c r="C166" s="96" t="s">
        <v>220</v>
      </c>
      <c r="D166" s="41"/>
      <c r="E166" s="89"/>
      <c r="H166" s="66"/>
    </row>
    <row r="167" customFormat="false" ht="14.4" hidden="true" customHeight="false" outlineLevel="0" collapsed="false">
      <c r="A167" s="66"/>
      <c r="B167" s="98" t="s">
        <v>221</v>
      </c>
      <c r="C167" s="96" t="s">
        <v>222</v>
      </c>
      <c r="D167" s="41"/>
      <c r="E167" s="89"/>
      <c r="H167" s="66"/>
    </row>
    <row r="168" customFormat="false" ht="14.4" hidden="true" customHeight="false" outlineLevel="0" collapsed="false">
      <c r="A168" s="66"/>
      <c r="B168" s="98" t="s">
        <v>223</v>
      </c>
      <c r="C168" s="96" t="s">
        <v>224</v>
      </c>
      <c r="D168" s="41"/>
      <c r="E168" s="89"/>
      <c r="H168" s="66"/>
    </row>
    <row r="169" customFormat="false" ht="14.4" hidden="true" customHeight="false" outlineLevel="0" collapsed="false">
      <c r="A169" s="66"/>
      <c r="B169" s="98" t="s">
        <v>63</v>
      </c>
      <c r="C169" s="96" t="s">
        <v>225</v>
      </c>
      <c r="D169" s="41"/>
      <c r="E169" s="89"/>
      <c r="H169" s="66"/>
    </row>
    <row r="170" customFormat="false" ht="14.4" hidden="true" customHeight="false" outlineLevel="0" collapsed="false">
      <c r="A170" s="66"/>
      <c r="B170" s="98" t="s">
        <v>226</v>
      </c>
      <c r="C170" s="96" t="s">
        <v>227</v>
      </c>
      <c r="D170" s="41"/>
      <c r="E170" s="89"/>
      <c r="H170" s="66"/>
    </row>
    <row r="171" customFormat="false" ht="14.4" hidden="true" customHeight="false" outlineLevel="0" collapsed="false">
      <c r="A171" s="66"/>
      <c r="B171" s="98" t="s">
        <v>228</v>
      </c>
      <c r="C171" s="96" t="s">
        <v>229</v>
      </c>
      <c r="D171" s="41"/>
      <c r="E171" s="89"/>
      <c r="H171" s="66"/>
    </row>
    <row r="172" customFormat="false" ht="14.4" hidden="true" customHeight="false" outlineLevel="0" collapsed="false">
      <c r="A172" s="66"/>
      <c r="B172" s="98" t="s">
        <v>230</v>
      </c>
      <c r="C172" s="96" t="s">
        <v>231</v>
      </c>
      <c r="D172" s="41"/>
      <c r="E172" s="89"/>
      <c r="H172" s="66"/>
    </row>
    <row r="173" customFormat="false" ht="14.4" hidden="true" customHeight="false" outlineLevel="0" collapsed="false">
      <c r="A173" s="66"/>
      <c r="B173" s="98"/>
      <c r="C173" s="96"/>
      <c r="D173" s="41"/>
      <c r="E173" s="89"/>
      <c r="H173" s="66"/>
    </row>
    <row r="174" customFormat="false" ht="14.4" hidden="true" customHeight="false" outlineLevel="0" collapsed="false">
      <c r="A174" s="104" t="s">
        <v>79</v>
      </c>
      <c r="B174" s="100" t="s">
        <v>29</v>
      </c>
      <c r="C174" s="101" t="s">
        <v>89</v>
      </c>
      <c r="D174" s="102"/>
      <c r="E174" s="89"/>
      <c r="H174" s="104"/>
    </row>
    <row r="175" customFormat="false" ht="14.4" hidden="true" customHeight="false" outlineLevel="0" collapsed="false">
      <c r="A175" s="66"/>
      <c r="B175" s="98" t="s">
        <v>232</v>
      </c>
      <c r="C175" s="96" t="s">
        <v>233</v>
      </c>
      <c r="D175" s="41"/>
      <c r="E175" s="89"/>
      <c r="H175" s="66"/>
    </row>
    <row r="176" customFormat="false" ht="14.4" hidden="true" customHeight="false" outlineLevel="0" collapsed="false">
      <c r="A176" s="66"/>
      <c r="B176" s="98" t="s">
        <v>234</v>
      </c>
      <c r="C176" s="96" t="s">
        <v>235</v>
      </c>
      <c r="D176" s="41"/>
      <c r="E176" s="89"/>
      <c r="H176" s="66"/>
    </row>
    <row r="177" customFormat="false" ht="14.4" hidden="true" customHeight="false" outlineLevel="0" collapsed="false">
      <c r="A177" s="66"/>
      <c r="B177" s="98" t="s">
        <v>236</v>
      </c>
      <c r="C177" s="96" t="s">
        <v>237</v>
      </c>
      <c r="D177" s="41"/>
      <c r="E177" s="89"/>
      <c r="H177" s="66"/>
    </row>
    <row r="178" customFormat="false" ht="14.4" hidden="true" customHeight="false" outlineLevel="0" collapsed="false">
      <c r="A178" s="66"/>
      <c r="B178" s="98" t="s">
        <v>238</v>
      </c>
      <c r="C178" s="96" t="s">
        <v>239</v>
      </c>
      <c r="D178" s="41"/>
      <c r="E178" s="89"/>
      <c r="H178" s="66"/>
    </row>
    <row r="179" customFormat="false" ht="14.4" hidden="true" customHeight="false" outlineLevel="0" collapsed="false">
      <c r="A179" s="66"/>
      <c r="B179" s="98" t="s">
        <v>240</v>
      </c>
      <c r="C179" s="96" t="s">
        <v>241</v>
      </c>
      <c r="D179" s="41"/>
      <c r="E179" s="89"/>
      <c r="H179" s="66"/>
    </row>
    <row r="180" customFormat="false" ht="14.4" hidden="true" customHeight="false" outlineLevel="0" collapsed="false">
      <c r="A180" s="66"/>
      <c r="B180" s="98" t="s">
        <v>242</v>
      </c>
      <c r="C180" s="96" t="s">
        <v>243</v>
      </c>
      <c r="D180" s="41"/>
      <c r="E180" s="89"/>
      <c r="H180" s="66"/>
    </row>
    <row r="181" customFormat="false" ht="14.4" hidden="true" customHeight="false" outlineLevel="0" collapsed="false">
      <c r="A181" s="66"/>
      <c r="B181" s="98" t="s">
        <v>80</v>
      </c>
      <c r="C181" s="96" t="s">
        <v>244</v>
      </c>
      <c r="D181" s="41"/>
      <c r="E181" s="89"/>
      <c r="H181" s="66"/>
    </row>
    <row r="182" customFormat="false" ht="14.4" hidden="true" customHeight="false" outlineLevel="0" collapsed="false">
      <c r="A182" s="66"/>
      <c r="B182" s="98" t="s">
        <v>245</v>
      </c>
      <c r="C182" s="96" t="s">
        <v>246</v>
      </c>
      <c r="D182" s="41"/>
      <c r="E182" s="89"/>
      <c r="H182" s="66"/>
    </row>
    <row r="183" customFormat="false" ht="14.4" hidden="true" customHeight="false" outlineLevel="0" collapsed="false">
      <c r="A183" s="41"/>
      <c r="B183" s="96"/>
      <c r="C183" s="96"/>
      <c r="D183" s="41"/>
      <c r="E183" s="89"/>
      <c r="H183" s="41"/>
    </row>
    <row r="184" customFormat="false" ht="14.4" hidden="true" customHeight="false" outlineLevel="0" collapsed="false">
      <c r="A184" s="104" t="s">
        <v>247</v>
      </c>
      <c r="B184" s="100" t="s">
        <v>29</v>
      </c>
      <c r="C184" s="101" t="s">
        <v>89</v>
      </c>
      <c r="D184" s="102"/>
      <c r="E184" s="89"/>
      <c r="H184" s="104"/>
    </row>
    <row r="185" customFormat="false" ht="14.4" hidden="true" customHeight="false" outlineLevel="0" collapsed="false">
      <c r="A185" s="66"/>
      <c r="B185" s="98" t="s">
        <v>248</v>
      </c>
      <c r="C185" s="96" t="s">
        <v>249</v>
      </c>
      <c r="D185" s="41"/>
      <c r="E185" s="89"/>
      <c r="H185" s="66"/>
    </row>
    <row r="186" customFormat="false" ht="14.4" hidden="true" customHeight="false" outlineLevel="0" collapsed="false">
      <c r="A186" s="66"/>
      <c r="B186" s="98" t="s">
        <v>250</v>
      </c>
      <c r="C186" s="96" t="s">
        <v>251</v>
      </c>
      <c r="D186" s="41"/>
      <c r="E186" s="89"/>
      <c r="H186" s="66"/>
    </row>
    <row r="187" customFormat="false" ht="14.4" hidden="true" customHeight="false" outlineLevel="0" collapsed="false">
      <c r="A187" s="66"/>
      <c r="B187" s="98" t="s">
        <v>252</v>
      </c>
      <c r="C187" s="96" t="s">
        <v>253</v>
      </c>
      <c r="D187" s="41"/>
      <c r="E187" s="89"/>
      <c r="H187" s="66"/>
    </row>
    <row r="188" customFormat="false" ht="14.4" hidden="true" customHeight="false" outlineLevel="0" collapsed="false">
      <c r="A188" s="66"/>
      <c r="B188" s="98" t="s">
        <v>82</v>
      </c>
      <c r="C188" s="96" t="s">
        <v>254</v>
      </c>
      <c r="D188" s="41"/>
      <c r="E188" s="89"/>
      <c r="H188" s="66"/>
    </row>
    <row r="189" customFormat="false" ht="14.4" hidden="true" customHeight="false" outlineLevel="0" collapsed="false">
      <c r="A189" s="66"/>
      <c r="B189" s="96"/>
      <c r="C189" s="96"/>
      <c r="D189" s="41"/>
      <c r="E189" s="89"/>
      <c r="H189" s="66"/>
    </row>
    <row r="190" customFormat="false" ht="14.4" hidden="true" customHeight="false" outlineLevel="0" collapsed="false">
      <c r="A190" s="104" t="s">
        <v>255</v>
      </c>
      <c r="B190" s="100" t="s">
        <v>29</v>
      </c>
      <c r="C190" s="101" t="s">
        <v>89</v>
      </c>
      <c r="D190" s="102"/>
      <c r="E190" s="89"/>
      <c r="H190" s="104"/>
    </row>
    <row r="191" customFormat="false" ht="14.4" hidden="true" customHeight="false" outlineLevel="0" collapsed="false">
      <c r="A191" s="66"/>
      <c r="B191" s="98" t="s">
        <v>65</v>
      </c>
      <c r="C191" s="96" t="s">
        <v>256</v>
      </c>
      <c r="D191" s="41"/>
      <c r="E191" s="89"/>
      <c r="H191" s="66"/>
    </row>
    <row r="192" customFormat="false" ht="14.4" hidden="true" customHeight="false" outlineLevel="0" collapsed="false">
      <c r="A192" s="66"/>
      <c r="B192" s="98" t="s">
        <v>257</v>
      </c>
      <c r="C192" s="96" t="s">
        <v>258</v>
      </c>
      <c r="D192" s="41"/>
      <c r="E192" s="89"/>
      <c r="H192" s="66"/>
    </row>
    <row r="193" customFormat="false" ht="14.4" hidden="true" customHeight="false" outlineLevel="0" collapsed="false">
      <c r="A193" s="66"/>
      <c r="B193" s="98" t="s">
        <v>259</v>
      </c>
      <c r="C193" s="96" t="s">
        <v>260</v>
      </c>
      <c r="D193" s="41"/>
      <c r="E193" s="89"/>
      <c r="H193" s="66"/>
    </row>
    <row r="194" customFormat="false" ht="14.4" hidden="true" customHeight="false" outlineLevel="0" collapsed="false">
      <c r="A194" s="41"/>
      <c r="B194" s="96"/>
      <c r="C194" s="96"/>
      <c r="D194" s="41"/>
      <c r="E194" s="89"/>
      <c r="H194" s="41"/>
    </row>
    <row r="195" customFormat="false" ht="14.4" hidden="true" customHeight="false" outlineLevel="0" collapsed="false">
      <c r="A195" s="104" t="s">
        <v>261</v>
      </c>
      <c r="B195" s="100" t="s">
        <v>29</v>
      </c>
      <c r="C195" s="101" t="s">
        <v>89</v>
      </c>
      <c r="D195" s="102"/>
      <c r="E195" s="89"/>
      <c r="H195" s="104"/>
    </row>
    <row r="196" customFormat="false" ht="14.4" hidden="true" customHeight="false" outlineLevel="0" collapsed="false">
      <c r="A196" s="66"/>
      <c r="B196" s="98" t="s">
        <v>262</v>
      </c>
      <c r="C196" s="96" t="s">
        <v>263</v>
      </c>
      <c r="D196" s="41"/>
      <c r="E196" s="89"/>
      <c r="H196" s="66"/>
    </row>
    <row r="197" customFormat="false" ht="14.4" hidden="true" customHeight="false" outlineLevel="0" collapsed="false">
      <c r="A197" s="66"/>
      <c r="B197" s="98" t="s">
        <v>264</v>
      </c>
      <c r="C197" s="96" t="s">
        <v>265</v>
      </c>
      <c r="D197" s="41"/>
      <c r="E197" s="89"/>
      <c r="H197" s="66"/>
    </row>
    <row r="198" customFormat="false" ht="14.4" hidden="true" customHeight="false" outlineLevel="0" collapsed="false">
      <c r="A198" s="66"/>
      <c r="B198" s="98" t="s">
        <v>266</v>
      </c>
      <c r="C198" s="96" t="s">
        <v>267</v>
      </c>
      <c r="D198" s="41"/>
      <c r="E198" s="89"/>
      <c r="H198" s="66"/>
    </row>
    <row r="199" customFormat="false" ht="14.4" hidden="true" customHeight="false" outlineLevel="0" collapsed="false">
      <c r="A199" s="66"/>
      <c r="B199" s="98" t="s">
        <v>268</v>
      </c>
      <c r="C199" s="96" t="s">
        <v>269</v>
      </c>
      <c r="D199" s="41"/>
      <c r="E199" s="89"/>
      <c r="H199" s="66"/>
    </row>
    <row r="200" customFormat="false" ht="14.4" hidden="true" customHeight="false" outlineLevel="0" collapsed="false">
      <c r="A200" s="66"/>
      <c r="B200" s="98" t="s">
        <v>270</v>
      </c>
      <c r="C200" s="96" t="s">
        <v>271</v>
      </c>
      <c r="D200" s="41"/>
      <c r="E200" s="89"/>
      <c r="H200" s="66"/>
    </row>
    <row r="201" customFormat="false" ht="14.4" hidden="true" customHeight="false" outlineLevel="0" collapsed="false">
      <c r="A201" s="66"/>
      <c r="B201" s="98" t="s">
        <v>272</v>
      </c>
      <c r="C201" s="96" t="s">
        <v>273</v>
      </c>
      <c r="D201" s="41"/>
      <c r="E201" s="89"/>
      <c r="H201" s="66"/>
    </row>
    <row r="202" customFormat="false" ht="14.4" hidden="true" customHeight="false" outlineLevel="0" collapsed="false">
      <c r="A202" s="66"/>
      <c r="B202" s="98" t="s">
        <v>274</v>
      </c>
      <c r="C202" s="96" t="s">
        <v>275</v>
      </c>
      <c r="D202" s="41"/>
      <c r="E202" s="89"/>
      <c r="H202" s="66"/>
    </row>
    <row r="203" customFormat="false" ht="14.4" hidden="true" customHeight="false" outlineLevel="0" collapsed="false">
      <c r="A203" s="41"/>
      <c r="B203" s="96"/>
      <c r="C203" s="96"/>
      <c r="D203" s="41"/>
      <c r="E203" s="89"/>
      <c r="H203" s="41"/>
    </row>
    <row r="204" customFormat="false" ht="14.4" hidden="true" customHeight="false" outlineLevel="0" collapsed="false">
      <c r="A204" s="104" t="s">
        <v>47</v>
      </c>
      <c r="B204" s="100" t="s">
        <v>29</v>
      </c>
      <c r="C204" s="101" t="s">
        <v>89</v>
      </c>
      <c r="D204" s="102"/>
      <c r="E204" s="89"/>
      <c r="H204" s="104"/>
    </row>
    <row r="205" customFormat="false" ht="14.4" hidden="true" customHeight="false" outlineLevel="0" collapsed="false">
      <c r="A205" s="66"/>
      <c r="B205" s="98" t="s">
        <v>48</v>
      </c>
      <c r="C205" s="96" t="s">
        <v>276</v>
      </c>
      <c r="D205" s="41"/>
      <c r="E205" s="89"/>
      <c r="H205" s="66"/>
    </row>
    <row r="206" customFormat="false" ht="14.4" hidden="true" customHeight="false" outlineLevel="0" collapsed="false">
      <c r="A206" s="66"/>
      <c r="B206" s="98" t="s">
        <v>277</v>
      </c>
      <c r="C206" s="96" t="s">
        <v>278</v>
      </c>
      <c r="D206" s="41"/>
      <c r="E206" s="89"/>
      <c r="H206" s="66"/>
    </row>
    <row r="207" customFormat="false" ht="14.4" hidden="true" customHeight="false" outlineLevel="0" collapsed="false">
      <c r="A207" s="66"/>
      <c r="B207" s="98" t="s">
        <v>279</v>
      </c>
      <c r="C207" s="96" t="s">
        <v>280</v>
      </c>
      <c r="D207" s="41"/>
      <c r="E207" s="89"/>
      <c r="H207" s="66"/>
    </row>
    <row r="208" customFormat="false" ht="14.4" hidden="true" customHeight="false" outlineLevel="0" collapsed="false">
      <c r="A208" s="66"/>
      <c r="B208" s="98" t="s">
        <v>281</v>
      </c>
      <c r="C208" s="96" t="s">
        <v>282</v>
      </c>
      <c r="D208" s="41"/>
      <c r="E208" s="89"/>
      <c r="H208" s="66"/>
    </row>
    <row r="209" customFormat="false" ht="14.4" hidden="true" customHeight="false" outlineLevel="0" collapsed="false">
      <c r="A209" s="66"/>
      <c r="B209" s="105" t="s">
        <v>283</v>
      </c>
      <c r="C209" s="106" t="s">
        <v>284</v>
      </c>
      <c r="D209" s="66"/>
      <c r="E209" s="89"/>
      <c r="H209" s="66"/>
    </row>
    <row r="210" customFormat="false" ht="14.4" hidden="true" customHeight="false" outlineLevel="0" collapsed="false">
      <c r="A210" s="66"/>
      <c r="B210" s="98" t="s">
        <v>285</v>
      </c>
      <c r="C210" s="96" t="s">
        <v>286</v>
      </c>
      <c r="D210" s="41"/>
      <c r="E210" s="89"/>
      <c r="H210" s="66"/>
    </row>
    <row r="211" customFormat="false" ht="14.4" hidden="true" customHeight="false" outlineLevel="0" collapsed="false">
      <c r="A211" s="66"/>
      <c r="B211" s="98" t="s">
        <v>287</v>
      </c>
      <c r="C211" s="96" t="s">
        <v>288</v>
      </c>
      <c r="D211" s="41"/>
      <c r="E211" s="89"/>
      <c r="H211" s="66"/>
    </row>
    <row r="212" customFormat="false" ht="14.4" hidden="true" customHeight="false" outlineLevel="0" collapsed="false">
      <c r="A212" s="41"/>
      <c r="B212" s="96"/>
      <c r="C212" s="96"/>
      <c r="D212" s="41"/>
      <c r="E212" s="89"/>
      <c r="H212" s="41"/>
    </row>
    <row r="213" customFormat="false" ht="14.4" hidden="true" customHeight="false" outlineLevel="0" collapsed="false">
      <c r="A213" s="104" t="s">
        <v>39</v>
      </c>
      <c r="B213" s="100" t="s">
        <v>29</v>
      </c>
      <c r="C213" s="101" t="s">
        <v>89</v>
      </c>
      <c r="D213" s="102"/>
      <c r="E213" s="89"/>
      <c r="H213" s="104"/>
    </row>
    <row r="214" customFormat="false" ht="14.4" hidden="true" customHeight="false" outlineLevel="0" collapsed="false">
      <c r="A214" s="66"/>
      <c r="B214" s="98" t="s">
        <v>289</v>
      </c>
      <c r="C214" s="98" t="s">
        <v>290</v>
      </c>
      <c r="D214" s="99"/>
      <c r="E214" s="89"/>
      <c r="H214" s="66"/>
    </row>
    <row r="215" customFormat="false" ht="14.4" hidden="true" customHeight="false" outlineLevel="0" collapsed="false">
      <c r="A215" s="66"/>
      <c r="B215" s="98" t="s">
        <v>291</v>
      </c>
      <c r="C215" s="96" t="s">
        <v>292</v>
      </c>
      <c r="D215" s="41"/>
      <c r="E215" s="89"/>
      <c r="H215" s="66"/>
    </row>
    <row r="216" customFormat="false" ht="14.4" hidden="true" customHeight="false" outlineLevel="0" collapsed="false">
      <c r="A216" s="66"/>
      <c r="B216" s="98" t="s">
        <v>293</v>
      </c>
      <c r="C216" s="96" t="s">
        <v>294</v>
      </c>
      <c r="D216" s="41"/>
      <c r="E216" s="89"/>
      <c r="H216" s="66"/>
    </row>
    <row r="217" customFormat="false" ht="14.4" hidden="true" customHeight="false" outlineLevel="0" collapsed="false">
      <c r="A217" s="66"/>
      <c r="B217" s="98" t="s">
        <v>295</v>
      </c>
      <c r="C217" s="96" t="s">
        <v>296</v>
      </c>
      <c r="D217" s="41"/>
      <c r="E217" s="89"/>
      <c r="H217" s="66"/>
    </row>
    <row r="218" customFormat="false" ht="14.4" hidden="true" customHeight="false" outlineLevel="0" collapsed="false">
      <c r="A218" s="66"/>
      <c r="B218" s="98" t="s">
        <v>40</v>
      </c>
      <c r="C218" s="96" t="s">
        <v>297</v>
      </c>
      <c r="D218" s="41"/>
      <c r="E218" s="89"/>
      <c r="H218" s="66"/>
    </row>
    <row r="219" customFormat="false" ht="14.4" hidden="true" customHeight="false" outlineLevel="0" collapsed="false">
      <c r="A219" s="66"/>
      <c r="B219" s="105" t="s">
        <v>298</v>
      </c>
      <c r="C219" s="106" t="s">
        <v>299</v>
      </c>
      <c r="D219" s="66"/>
      <c r="E219" s="89"/>
      <c r="H219" s="66"/>
    </row>
    <row r="220" customFormat="false" ht="14.4" hidden="true" customHeight="false" outlineLevel="0" collapsed="false">
      <c r="A220" s="66"/>
      <c r="B220" s="98"/>
      <c r="C220" s="96"/>
      <c r="D220" s="41"/>
      <c r="E220" s="89"/>
      <c r="H220" s="66"/>
    </row>
    <row r="221" customFormat="false" ht="14.4" hidden="true" customHeight="false" outlineLevel="0" collapsed="false">
      <c r="A221" s="104" t="s">
        <v>70</v>
      </c>
      <c r="B221" s="100" t="s">
        <v>29</v>
      </c>
      <c r="C221" s="101" t="s">
        <v>89</v>
      </c>
      <c r="D221" s="102"/>
      <c r="E221" s="89"/>
      <c r="H221" s="104"/>
    </row>
    <row r="222" customFormat="false" ht="14.4" hidden="true" customHeight="false" outlineLevel="0" collapsed="false">
      <c r="A222" s="66"/>
      <c r="B222" s="98" t="s">
        <v>71</v>
      </c>
      <c r="C222" s="96" t="s">
        <v>300</v>
      </c>
      <c r="D222" s="41"/>
      <c r="E222" s="89"/>
      <c r="H222" s="66"/>
    </row>
    <row r="223" customFormat="false" ht="14.4" hidden="true" customHeight="false" outlineLevel="0" collapsed="false">
      <c r="A223" s="66"/>
      <c r="B223" s="98" t="s">
        <v>301</v>
      </c>
      <c r="C223" s="96" t="s">
        <v>302</v>
      </c>
      <c r="D223" s="41"/>
      <c r="E223" s="89"/>
      <c r="H223" s="66"/>
    </row>
    <row r="224" customFormat="false" ht="14.4" hidden="true" customHeight="false" outlineLevel="0" collapsed="false">
      <c r="A224" s="66"/>
      <c r="B224" s="98" t="s">
        <v>303</v>
      </c>
      <c r="C224" s="96" t="s">
        <v>304</v>
      </c>
      <c r="D224" s="41"/>
      <c r="E224" s="89"/>
      <c r="H224" s="66"/>
    </row>
    <row r="225" customFormat="false" ht="14.4" hidden="true" customHeight="false" outlineLevel="0" collapsed="false">
      <c r="A225" s="66"/>
      <c r="B225" s="98" t="s">
        <v>305</v>
      </c>
      <c r="C225" s="96" t="s">
        <v>306</v>
      </c>
      <c r="D225" s="41"/>
      <c r="E225" s="89"/>
      <c r="H225" s="66"/>
    </row>
    <row r="226" customFormat="false" ht="14.4" hidden="true" customHeight="false" outlineLevel="0" collapsed="false">
      <c r="A226" s="66"/>
      <c r="B226" s="105" t="s">
        <v>307</v>
      </c>
      <c r="C226" s="106" t="s">
        <v>308</v>
      </c>
      <c r="D226" s="66"/>
      <c r="E226" s="89"/>
      <c r="H226" s="66"/>
    </row>
    <row r="227" customFormat="false" ht="14.4" hidden="true" customHeight="false" outlineLevel="0" collapsed="false">
      <c r="A227" s="66"/>
      <c r="B227" s="98" t="s">
        <v>309</v>
      </c>
      <c r="C227" s="96" t="s">
        <v>310</v>
      </c>
      <c r="D227" s="41"/>
      <c r="E227" s="89"/>
      <c r="H227" s="66"/>
    </row>
    <row r="228" customFormat="false" ht="14.4" hidden="true" customHeight="false" outlineLevel="0" collapsed="false">
      <c r="B228" s="103"/>
      <c r="C228" s="103"/>
      <c r="E228" s="89"/>
    </row>
    <row r="229" customFormat="false" ht="14.4" hidden="true" customHeight="false" outlineLevel="0" collapsed="false">
      <c r="B229" s="103"/>
      <c r="C229" s="103"/>
      <c r="E229" s="89"/>
    </row>
    <row r="230" customFormat="false" ht="14.4" hidden="true" customHeight="false" outlineLevel="0" collapsed="false">
      <c r="A230" s="104" t="s">
        <v>68</v>
      </c>
      <c r="B230" s="100" t="s">
        <v>29</v>
      </c>
      <c r="C230" s="101" t="s">
        <v>89</v>
      </c>
      <c r="D230" s="102"/>
      <c r="E230" s="89"/>
    </row>
    <row r="231" customFormat="false" ht="14.4" hidden="true" customHeight="false" outlineLevel="0" collapsed="false">
      <c r="B231" s="98" t="s">
        <v>156</v>
      </c>
      <c r="C231" s="96" t="s">
        <v>157</v>
      </c>
      <c r="D231" s="41"/>
      <c r="E231" s="89"/>
      <c r="I231" s="99"/>
    </row>
    <row r="232" customFormat="false" ht="14.4" hidden="true" customHeight="false" outlineLevel="0" collapsed="false">
      <c r="B232" s="98" t="s">
        <v>171</v>
      </c>
      <c r="C232" s="96" t="s">
        <v>172</v>
      </c>
      <c r="D232" s="41"/>
      <c r="E232" s="89"/>
      <c r="I232" s="99"/>
    </row>
    <row r="233" customFormat="false" ht="14.4" hidden="true" customHeight="false" outlineLevel="0" collapsed="false">
      <c r="B233" s="98" t="s">
        <v>46</v>
      </c>
      <c r="C233" s="96" t="s">
        <v>158</v>
      </c>
      <c r="D233" s="41"/>
      <c r="E233" s="89"/>
      <c r="I233" s="99"/>
    </row>
    <row r="234" customFormat="false" ht="14.4" hidden="true" customHeight="false" outlineLevel="0" collapsed="false">
      <c r="B234" s="98" t="s">
        <v>173</v>
      </c>
      <c r="C234" s="96" t="s">
        <v>174</v>
      </c>
      <c r="D234" s="41"/>
      <c r="E234" s="89"/>
      <c r="I234" s="99"/>
    </row>
    <row r="235" customFormat="false" ht="14.4" hidden="true" customHeight="false" outlineLevel="0" collapsed="false">
      <c r="B235" s="98" t="s">
        <v>159</v>
      </c>
      <c r="C235" s="96" t="s">
        <v>160</v>
      </c>
      <c r="D235" s="41"/>
      <c r="E235" s="89"/>
      <c r="I235" s="99"/>
    </row>
    <row r="236" customFormat="false" ht="14.4" hidden="true" customHeight="false" outlineLevel="0" collapsed="false">
      <c r="B236" s="98" t="s">
        <v>175</v>
      </c>
      <c r="C236" s="96" t="s">
        <v>176</v>
      </c>
      <c r="D236" s="41"/>
      <c r="E236" s="89"/>
      <c r="I236" s="99"/>
    </row>
    <row r="237" customFormat="false" ht="14.4" hidden="true" customHeight="false" outlineLevel="0" collapsed="false">
      <c r="B237" s="98" t="s">
        <v>161</v>
      </c>
      <c r="C237" s="96" t="s">
        <v>162</v>
      </c>
      <c r="D237" s="41"/>
      <c r="E237" s="89"/>
      <c r="I237" s="99"/>
    </row>
    <row r="238" customFormat="false" ht="14.4" hidden="true" customHeight="false" outlineLevel="0" collapsed="false">
      <c r="B238" s="98" t="s">
        <v>177</v>
      </c>
      <c r="C238" s="96" t="s">
        <v>178</v>
      </c>
      <c r="D238" s="41"/>
      <c r="E238" s="89"/>
      <c r="I238" s="99"/>
    </row>
    <row r="239" customFormat="false" ht="14.4" hidden="true" customHeight="false" outlineLevel="0" collapsed="false">
      <c r="B239" s="98" t="s">
        <v>163</v>
      </c>
      <c r="C239" s="96" t="s">
        <v>164</v>
      </c>
      <c r="D239" s="41"/>
      <c r="E239" s="89"/>
      <c r="I239" s="41"/>
      <c r="K239" s="41"/>
    </row>
    <row r="240" customFormat="false" ht="14.4" hidden="true" customHeight="false" outlineLevel="0" collapsed="false">
      <c r="B240" s="98" t="s">
        <v>179</v>
      </c>
      <c r="C240" s="96" t="s">
        <v>180</v>
      </c>
      <c r="D240" s="41"/>
      <c r="E240" s="89"/>
      <c r="I240" s="41"/>
      <c r="K240" s="41"/>
    </row>
    <row r="241" customFormat="false" ht="14.4" hidden="true" customHeight="false" outlineLevel="0" collapsed="false">
      <c r="B241" s="98" t="s">
        <v>69</v>
      </c>
      <c r="C241" s="96" t="s">
        <v>165</v>
      </c>
      <c r="D241" s="41"/>
      <c r="E241" s="89"/>
      <c r="I241" s="99"/>
    </row>
    <row r="242" customFormat="false" ht="14.4" hidden="true" customHeight="false" outlineLevel="0" collapsed="false">
      <c r="B242" s="98" t="s">
        <v>166</v>
      </c>
      <c r="C242" s="96" t="s">
        <v>167</v>
      </c>
      <c r="D242" s="41"/>
      <c r="E242" s="89"/>
      <c r="I242" s="99"/>
    </row>
    <row r="243" customFormat="false" ht="14.4" hidden="true" customHeight="false" outlineLevel="0" collapsed="false">
      <c r="B243" s="98" t="s">
        <v>168</v>
      </c>
      <c r="C243" s="96" t="s">
        <v>169</v>
      </c>
      <c r="D243" s="41"/>
      <c r="E243" s="89"/>
      <c r="I243" s="99"/>
    </row>
    <row r="244" customFormat="false" ht="14.4" hidden="true" customHeight="false" outlineLevel="0" collapsed="false">
      <c r="B244" s="100" t="s">
        <v>29</v>
      </c>
      <c r="C244" s="101" t="s">
        <v>89</v>
      </c>
      <c r="D244" s="102"/>
      <c r="E244" s="89"/>
      <c r="I244" s="99"/>
    </row>
    <row r="245" customFormat="false" ht="14.4" hidden="true" customHeight="false" outlineLevel="0" collapsed="false">
      <c r="A245" s="104" t="s">
        <v>311</v>
      </c>
      <c r="B245" s="98" t="s">
        <v>289</v>
      </c>
      <c r="C245" s="98" t="s">
        <v>290</v>
      </c>
      <c r="D245" s="99"/>
      <c r="E245" s="89"/>
      <c r="I245" s="99"/>
    </row>
    <row r="246" customFormat="false" ht="14.4" hidden="true" customHeight="false" outlineLevel="0" collapsed="false">
      <c r="B246" s="98" t="s">
        <v>71</v>
      </c>
      <c r="C246" s="96" t="s">
        <v>300</v>
      </c>
      <c r="D246" s="41"/>
      <c r="E246" s="89"/>
      <c r="I246" s="99"/>
    </row>
    <row r="247" customFormat="false" ht="14.4" hidden="true" customHeight="false" outlineLevel="0" collapsed="false">
      <c r="B247" s="98" t="s">
        <v>291</v>
      </c>
      <c r="C247" s="96" t="s">
        <v>292</v>
      </c>
      <c r="D247" s="41"/>
      <c r="E247" s="89"/>
      <c r="I247" s="99"/>
    </row>
    <row r="248" customFormat="false" ht="14.4" hidden="true" customHeight="false" outlineLevel="0" collapsed="false">
      <c r="B248" s="98" t="s">
        <v>301</v>
      </c>
      <c r="C248" s="96" t="s">
        <v>302</v>
      </c>
      <c r="D248" s="41"/>
      <c r="E248" s="91"/>
      <c r="I248" s="99"/>
    </row>
    <row r="249" customFormat="false" ht="14.4" hidden="true" customHeight="false" outlineLevel="0" collapsed="false">
      <c r="B249" s="98" t="s">
        <v>293</v>
      </c>
      <c r="C249" s="96" t="s">
        <v>294</v>
      </c>
      <c r="D249" s="41"/>
      <c r="E249" s="107"/>
      <c r="I249" s="99"/>
    </row>
    <row r="250" customFormat="false" ht="14.4" hidden="true" customHeight="false" outlineLevel="0" collapsed="false">
      <c r="B250" s="98" t="s">
        <v>303</v>
      </c>
      <c r="C250" s="96" t="s">
        <v>304</v>
      </c>
      <c r="D250" s="41"/>
      <c r="E250" s="91"/>
      <c r="I250" s="92"/>
    </row>
    <row r="251" customFormat="false" ht="14.4" hidden="true" customHeight="false" outlineLevel="0" collapsed="false">
      <c r="B251" s="98" t="s">
        <v>295</v>
      </c>
      <c r="C251" s="96" t="s">
        <v>296</v>
      </c>
      <c r="D251" s="41"/>
      <c r="E251" s="107"/>
      <c r="I251" s="99"/>
      <c r="K251" s="41"/>
    </row>
    <row r="252" customFormat="false" ht="14.4" hidden="true" customHeight="false" outlineLevel="0" collapsed="false">
      <c r="B252" s="98" t="s">
        <v>305</v>
      </c>
      <c r="C252" s="96" t="s">
        <v>306</v>
      </c>
      <c r="D252" s="41"/>
      <c r="E252" s="89"/>
      <c r="I252" s="41"/>
      <c r="K252" s="41"/>
    </row>
    <row r="253" customFormat="false" ht="14.4" hidden="true" customHeight="false" outlineLevel="0" collapsed="false">
      <c r="B253" s="98" t="s">
        <v>40</v>
      </c>
      <c r="C253" s="96" t="s">
        <v>297</v>
      </c>
      <c r="D253" s="41"/>
      <c r="E253" s="107"/>
      <c r="I253" s="99"/>
    </row>
    <row r="254" customFormat="false" ht="14.4" hidden="true" customHeight="false" outlineLevel="0" collapsed="false">
      <c r="B254" s="105" t="s">
        <v>307</v>
      </c>
      <c r="C254" s="106" t="s">
        <v>308</v>
      </c>
      <c r="D254" s="66"/>
      <c r="E254" s="108"/>
      <c r="I254" s="99"/>
    </row>
    <row r="255" customFormat="false" ht="14.4" hidden="true" customHeight="false" outlineLevel="0" collapsed="false">
      <c r="B255" s="105" t="s">
        <v>298</v>
      </c>
      <c r="C255" s="106" t="s">
        <v>299</v>
      </c>
      <c r="D255" s="66"/>
      <c r="E255" s="107"/>
      <c r="I255" s="99"/>
    </row>
    <row r="256" customFormat="false" ht="14.4" hidden="true" customHeight="false" outlineLevel="0" collapsed="false">
      <c r="B256" s="98" t="s">
        <v>309</v>
      </c>
      <c r="C256" s="96" t="s">
        <v>310</v>
      </c>
      <c r="D256" s="41"/>
      <c r="E256" s="108"/>
      <c r="I256" s="99"/>
    </row>
    <row r="257" customFormat="false" ht="14.4" hidden="true" customHeight="false" outlineLevel="0" collapsed="false">
      <c r="B257" s="100" t="s">
        <v>29</v>
      </c>
      <c r="C257" s="101" t="s">
        <v>89</v>
      </c>
      <c r="D257" s="102"/>
      <c r="E257" s="107"/>
      <c r="I257" s="92"/>
    </row>
    <row r="258" customFormat="false" ht="14.4" hidden="true" customHeight="false" outlineLevel="0" collapsed="false">
      <c r="A258" s="104" t="s">
        <v>45</v>
      </c>
      <c r="B258" s="98" t="s">
        <v>262</v>
      </c>
      <c r="C258" s="96" t="s">
        <v>263</v>
      </c>
      <c r="D258" s="41"/>
      <c r="E258" s="108"/>
      <c r="I258" s="99"/>
    </row>
    <row r="259" customFormat="false" ht="14.4" hidden="true" customHeight="false" outlineLevel="0" collapsed="false">
      <c r="B259" s="98" t="s">
        <v>156</v>
      </c>
      <c r="C259" s="96" t="s">
        <v>157</v>
      </c>
      <c r="D259" s="41"/>
      <c r="E259" s="107"/>
      <c r="I259" s="99"/>
    </row>
    <row r="260" customFormat="false" ht="14.4" hidden="true" customHeight="false" outlineLevel="0" collapsed="false">
      <c r="B260" s="98" t="s">
        <v>264</v>
      </c>
      <c r="C260" s="96" t="s">
        <v>265</v>
      </c>
      <c r="D260" s="41"/>
      <c r="E260" s="108"/>
      <c r="I260" s="99"/>
    </row>
    <row r="261" customFormat="false" ht="14.4" hidden="true" customHeight="false" outlineLevel="0" collapsed="false">
      <c r="B261" s="98" t="s">
        <v>171</v>
      </c>
      <c r="C261" s="96" t="s">
        <v>172</v>
      </c>
      <c r="D261" s="41"/>
      <c r="E261" s="107"/>
      <c r="I261" s="99"/>
    </row>
    <row r="262" customFormat="false" ht="14.4" hidden="true" customHeight="false" outlineLevel="0" collapsed="false">
      <c r="B262" s="98" t="s">
        <v>266</v>
      </c>
      <c r="C262" s="96" t="s">
        <v>267</v>
      </c>
      <c r="D262" s="41"/>
      <c r="E262" s="108"/>
      <c r="I262" s="99"/>
    </row>
    <row r="263" customFormat="false" ht="14.4" hidden="true" customHeight="false" outlineLevel="0" collapsed="false">
      <c r="B263" s="98" t="s">
        <v>46</v>
      </c>
      <c r="C263" s="96" t="s">
        <v>158</v>
      </c>
      <c r="D263" s="41"/>
      <c r="E263" s="107"/>
      <c r="I263" s="99"/>
    </row>
    <row r="264" customFormat="false" ht="14.4" hidden="true" customHeight="false" outlineLevel="0" collapsed="false">
      <c r="B264" s="98" t="s">
        <v>268</v>
      </c>
      <c r="C264" s="96" t="s">
        <v>269</v>
      </c>
      <c r="D264" s="41"/>
      <c r="E264" s="108"/>
      <c r="I264" s="99"/>
    </row>
    <row r="265" customFormat="false" ht="14.4" hidden="true" customHeight="false" outlineLevel="0" collapsed="false">
      <c r="B265" s="98" t="s">
        <v>173</v>
      </c>
      <c r="C265" s="96" t="s">
        <v>174</v>
      </c>
      <c r="D265" s="41"/>
      <c r="E265" s="107"/>
    </row>
    <row r="266" customFormat="false" ht="14.4" hidden="true" customHeight="false" outlineLevel="0" collapsed="false">
      <c r="B266" s="98" t="s">
        <v>270</v>
      </c>
      <c r="C266" s="96" t="s">
        <v>271</v>
      </c>
      <c r="D266" s="41"/>
      <c r="E266" s="108"/>
    </row>
    <row r="267" customFormat="false" ht="14.4" hidden="true" customHeight="false" outlineLevel="0" collapsed="false">
      <c r="B267" s="98" t="s">
        <v>159</v>
      </c>
      <c r="C267" s="96" t="s">
        <v>160</v>
      </c>
      <c r="D267" s="41"/>
      <c r="E267" s="107"/>
      <c r="I267" s="99"/>
    </row>
    <row r="268" customFormat="false" ht="14.4" hidden="true" customHeight="false" outlineLevel="0" collapsed="false">
      <c r="B268" s="98" t="s">
        <v>272</v>
      </c>
      <c r="C268" s="96" t="s">
        <v>273</v>
      </c>
      <c r="D268" s="41"/>
      <c r="E268" s="108"/>
      <c r="I268" s="99"/>
    </row>
    <row r="269" customFormat="false" ht="14.4" hidden="true" customHeight="false" outlineLevel="0" collapsed="false">
      <c r="B269" s="98" t="s">
        <v>175</v>
      </c>
      <c r="C269" s="96" t="s">
        <v>176</v>
      </c>
      <c r="D269" s="41"/>
      <c r="E269" s="107"/>
      <c r="I269" s="99"/>
    </row>
    <row r="270" customFormat="false" ht="14.4" hidden="true" customHeight="false" outlineLevel="0" collapsed="false">
      <c r="B270" s="98" t="s">
        <v>274</v>
      </c>
      <c r="C270" s="96" t="s">
        <v>275</v>
      </c>
      <c r="D270" s="41"/>
      <c r="E270" s="108"/>
      <c r="I270" s="99"/>
    </row>
    <row r="271" customFormat="false" ht="14.4" hidden="true" customHeight="false" outlineLevel="0" collapsed="false">
      <c r="B271" s="98" t="s">
        <v>161</v>
      </c>
      <c r="C271" s="96" t="s">
        <v>162</v>
      </c>
      <c r="D271" s="41"/>
      <c r="E271" s="107"/>
      <c r="I271" s="99"/>
    </row>
    <row r="272" customFormat="false" ht="14.4" hidden="true" customHeight="false" outlineLevel="0" collapsed="false">
      <c r="B272" s="98" t="s">
        <v>177</v>
      </c>
      <c r="C272" s="96" t="s">
        <v>178</v>
      </c>
      <c r="D272" s="41"/>
      <c r="E272" s="108"/>
      <c r="I272" s="99"/>
    </row>
    <row r="273" customFormat="false" ht="14.4" hidden="true" customHeight="false" outlineLevel="0" collapsed="false">
      <c r="B273" s="98" t="s">
        <v>163</v>
      </c>
      <c r="C273" s="96" t="s">
        <v>164</v>
      </c>
      <c r="D273" s="41"/>
      <c r="E273" s="107"/>
      <c r="I273" s="99"/>
    </row>
    <row r="274" customFormat="false" ht="14.4" hidden="true" customHeight="false" outlineLevel="0" collapsed="false">
      <c r="B274" s="98" t="s">
        <v>179</v>
      </c>
      <c r="C274" s="96" t="s">
        <v>180</v>
      </c>
      <c r="D274" s="41"/>
      <c r="E274" s="108"/>
      <c r="I274" s="99"/>
    </row>
    <row r="275" customFormat="false" ht="14.4" hidden="true" customHeight="false" outlineLevel="0" collapsed="false">
      <c r="B275" s="98" t="s">
        <v>69</v>
      </c>
      <c r="C275" s="96" t="s">
        <v>165</v>
      </c>
      <c r="D275" s="41"/>
      <c r="E275" s="107"/>
      <c r="I275" s="99"/>
    </row>
    <row r="276" customFormat="false" ht="14.4" hidden="true" customHeight="false" outlineLevel="0" collapsed="false">
      <c r="B276" s="98" t="s">
        <v>166</v>
      </c>
      <c r="C276" s="96" t="s">
        <v>167</v>
      </c>
      <c r="D276" s="41"/>
      <c r="E276" s="108"/>
      <c r="I276" s="99"/>
    </row>
    <row r="277" customFormat="false" ht="14.4" hidden="true" customHeight="false" outlineLevel="0" collapsed="false">
      <c r="B277" s="98" t="s">
        <v>168</v>
      </c>
      <c r="C277" s="96" t="s">
        <v>169</v>
      </c>
      <c r="D277" s="41"/>
      <c r="E277" s="107"/>
      <c r="I277" s="99"/>
    </row>
    <row r="278" customFormat="false" ht="14.4" hidden="true" customHeight="false" outlineLevel="0" collapsed="false">
      <c r="B278" s="98"/>
      <c r="C278" s="96"/>
      <c r="D278" s="41"/>
      <c r="E278" s="107"/>
      <c r="I278" s="99"/>
    </row>
    <row r="279" customFormat="false" ht="14.4" hidden="true" customHeight="false" outlineLevel="0" collapsed="false">
      <c r="B279" s="100" t="s">
        <v>29</v>
      </c>
      <c r="C279" s="101" t="s">
        <v>89</v>
      </c>
      <c r="D279" s="102"/>
      <c r="E279" s="108"/>
      <c r="I279" s="99"/>
    </row>
    <row r="280" customFormat="false" ht="14.4" hidden="true" customHeight="false" outlineLevel="0" collapsed="false">
      <c r="A280" s="104" t="s">
        <v>312</v>
      </c>
      <c r="B280" s="98" t="s">
        <v>132</v>
      </c>
      <c r="C280" s="96" t="s">
        <v>133</v>
      </c>
      <c r="D280" s="41"/>
      <c r="E280" s="107"/>
      <c r="I280" s="41"/>
    </row>
    <row r="281" customFormat="false" ht="14.4" hidden="true" customHeight="false" outlineLevel="0" collapsed="false">
      <c r="B281" s="98" t="s">
        <v>139</v>
      </c>
      <c r="C281" s="96" t="s">
        <v>140</v>
      </c>
      <c r="D281" s="41"/>
      <c r="E281" s="108"/>
      <c r="I281" s="99"/>
    </row>
    <row r="282" customFormat="false" ht="14.4" hidden="true" customHeight="false" outlineLevel="0" collapsed="false">
      <c r="B282" s="98" t="s">
        <v>134</v>
      </c>
      <c r="C282" s="96" t="s">
        <v>135</v>
      </c>
      <c r="D282" s="41"/>
      <c r="E282" s="107"/>
      <c r="I282" s="99"/>
    </row>
    <row r="283" customFormat="false" ht="14.4" hidden="true" customHeight="false" outlineLevel="0" collapsed="false">
      <c r="B283" s="98" t="s">
        <v>141</v>
      </c>
      <c r="C283" s="96" t="s">
        <v>142</v>
      </c>
      <c r="D283" s="41"/>
      <c r="E283" s="89"/>
      <c r="I283" s="99"/>
    </row>
    <row r="284" customFormat="false" ht="14.4" hidden="true" customHeight="false" outlineLevel="0" collapsed="false">
      <c r="B284" s="98" t="s">
        <v>76</v>
      </c>
      <c r="C284" s="96" t="s">
        <v>136</v>
      </c>
      <c r="D284" s="41"/>
      <c r="E284" s="89"/>
      <c r="I284" s="99"/>
    </row>
    <row r="285" customFormat="false" ht="14.4" hidden="true" customHeight="false" outlineLevel="0" collapsed="false">
      <c r="B285" s="98" t="s">
        <v>143</v>
      </c>
      <c r="C285" s="96" t="s">
        <v>144</v>
      </c>
      <c r="D285" s="41"/>
      <c r="E285" s="107"/>
      <c r="I285" s="41"/>
      <c r="K285" s="41"/>
    </row>
    <row r="286" customFormat="false" ht="14.4" hidden="true" customHeight="false" outlineLevel="0" collapsed="false">
      <c r="B286" s="98" t="s">
        <v>137</v>
      </c>
      <c r="C286" s="96" t="s">
        <v>138</v>
      </c>
      <c r="D286" s="41"/>
      <c r="E286" s="107"/>
      <c r="I286" s="99"/>
      <c r="K286" s="41"/>
    </row>
    <row r="287" customFormat="false" ht="14.4" hidden="true" customHeight="false" outlineLevel="0" collapsed="false">
      <c r="B287" s="98" t="s">
        <v>54</v>
      </c>
      <c r="C287" s="96" t="s">
        <v>145</v>
      </c>
      <c r="D287" s="41"/>
      <c r="E287" s="107"/>
      <c r="I287" s="99"/>
    </row>
    <row r="288" customFormat="false" ht="14.4" hidden="true" customHeight="false" outlineLevel="0" collapsed="false">
      <c r="B288" s="98" t="s">
        <v>146</v>
      </c>
      <c r="C288" s="96" t="s">
        <v>147</v>
      </c>
      <c r="D288" s="41"/>
      <c r="E288" s="107"/>
      <c r="I288" s="99"/>
    </row>
    <row r="290" customFormat="false" ht="14.4" hidden="true" customHeight="false" outlineLevel="0" collapsed="false">
      <c r="B290" s="103" t="s">
        <v>313</v>
      </c>
      <c r="C290" s="103" t="s">
        <v>314</v>
      </c>
      <c r="D290" s="103" t="s">
        <v>315</v>
      </c>
      <c r="E290" s="103" t="s">
        <v>316</v>
      </c>
    </row>
    <row r="291" customFormat="false" ht="14.4" hidden="true" customHeight="false" outlineLevel="0" collapsed="false">
      <c r="B291" s="0" t="s">
        <v>55</v>
      </c>
      <c r="C291" s="41" t="s">
        <v>55</v>
      </c>
      <c r="D291" s="41" t="s">
        <v>317</v>
      </c>
      <c r="E291" s="41" t="str">
        <f aca="false">CONCATENATE(Table_Name28[[#This Row],[Table name]],"[Link]")</f>
        <v>Abs[Link]</v>
      </c>
    </row>
    <row r="292" customFormat="false" ht="14.4" hidden="true" customHeight="false" outlineLevel="0" collapsed="false">
      <c r="B292" s="0" t="s">
        <v>66</v>
      </c>
      <c r="C292" s="41" t="s">
        <v>66</v>
      </c>
      <c r="D292" s="41" t="s">
        <v>318</v>
      </c>
      <c r="E292" s="41" t="str">
        <f aca="false">CONCATENATE(Table_Name28[[#This Row],[Table name]],"[Link]")</f>
        <v>Calves[Link]</v>
      </c>
    </row>
    <row r="293" customFormat="false" ht="14.4" hidden="true" customHeight="false" outlineLevel="0" collapsed="false">
      <c r="B293" s="0" t="s">
        <v>83</v>
      </c>
      <c r="C293" s="41" t="s">
        <v>83</v>
      </c>
      <c r="D293" s="41" t="s">
        <v>319</v>
      </c>
      <c r="E293" s="41" t="str">
        <f aca="false">CONCATENATE(Table_Name28[[#This Row],[Table name]],"[Link]")</f>
        <v>Biceps[Link]</v>
      </c>
    </row>
    <row r="294" customFormat="false" ht="14.4" hidden="true" customHeight="false" outlineLevel="0" collapsed="false">
      <c r="B294" s="0" t="s">
        <v>131</v>
      </c>
      <c r="C294" s="41" t="s">
        <v>320</v>
      </c>
      <c r="D294" s="41" t="s">
        <v>321</v>
      </c>
      <c r="E294" s="41" t="str">
        <f aca="false">CONCATENATE(Table_Name28[[#This Row],[Table name]],"[Link]")</f>
        <v>Rear_Delts[Link]</v>
      </c>
    </row>
    <row r="295" customFormat="false" ht="14.4" hidden="true" customHeight="false" outlineLevel="0" collapsed="false">
      <c r="B295" s="0" t="s">
        <v>53</v>
      </c>
      <c r="C295" s="41" t="s">
        <v>322</v>
      </c>
      <c r="D295" s="41" t="s">
        <v>323</v>
      </c>
      <c r="E295" s="41" t="str">
        <f aca="false">CONCATENATE(Table_Name28[[#This Row],[Table name]],"[Link]")</f>
        <v>Side_Delts[Link]</v>
      </c>
    </row>
    <row r="296" customFormat="false" ht="14.4" hidden="true" customHeight="false" outlineLevel="0" collapsed="false">
      <c r="B296" s="0" t="s">
        <v>85</v>
      </c>
      <c r="C296" s="41" t="s">
        <v>85</v>
      </c>
      <c r="D296" s="41" t="s">
        <v>324</v>
      </c>
      <c r="E296" s="41" t="str">
        <f aca="false">CONCATENATE(Table_Name28[[#This Row],[Table name]],"[Link]")</f>
        <v>Traps[Link]</v>
      </c>
    </row>
    <row r="297" customFormat="false" ht="14.4" hidden="true" customHeight="false" outlineLevel="0" collapsed="false">
      <c r="B297" s="0" t="s">
        <v>155</v>
      </c>
      <c r="C297" s="41" t="s">
        <v>325</v>
      </c>
      <c r="D297" s="41" t="s">
        <v>326</v>
      </c>
      <c r="E297" s="41" t="str">
        <f aca="false">CONCATENATE(Table_Name28[[#This Row],[Table name]],"[Link]")</f>
        <v>Horizontal_Triceps[Link]</v>
      </c>
    </row>
    <row r="298" customFormat="false" ht="14.4" hidden="true" customHeight="false" outlineLevel="0" collapsed="false">
      <c r="B298" s="0" t="s">
        <v>170</v>
      </c>
      <c r="C298" s="41" t="s">
        <v>327</v>
      </c>
      <c r="D298" s="41" t="s">
        <v>328</v>
      </c>
      <c r="E298" s="41" t="str">
        <f aca="false">CONCATENATE(Table_Name28[[#This Row],[Table name]],"[Link]")</f>
        <v>Vertical_Triceps[Link]</v>
      </c>
    </row>
    <row r="299" customFormat="false" ht="14.4" hidden="true" customHeight="false" outlineLevel="0" collapsed="false">
      <c r="B299" s="0" t="s">
        <v>49</v>
      </c>
      <c r="C299" s="41" t="s">
        <v>329</v>
      </c>
      <c r="D299" s="41" t="s">
        <v>330</v>
      </c>
      <c r="E299" s="41" t="str">
        <f aca="false">CONCATENATE(Table_Name28[[#This Row],[Table name]],"[Link]")</f>
        <v>Horizonal_Back[Link]</v>
      </c>
    </row>
    <row r="300" customFormat="false" ht="14.4" hidden="true" customHeight="false" outlineLevel="0" collapsed="false">
      <c r="B300" s="0" t="s">
        <v>51</v>
      </c>
      <c r="C300" s="41" t="s">
        <v>331</v>
      </c>
      <c r="D300" s="41" t="s">
        <v>332</v>
      </c>
      <c r="E300" s="41" t="str">
        <f aca="false">CONCATENATE(Table_Name28[[#This Row],[Table name]],"[Link]")</f>
        <v>Vertical_Back[Link]</v>
      </c>
    </row>
    <row r="301" customFormat="false" ht="14.4" hidden="true" customHeight="false" outlineLevel="0" collapsed="false">
      <c r="B301" s="0" t="s">
        <v>61</v>
      </c>
      <c r="C301" s="41" t="s">
        <v>61</v>
      </c>
      <c r="D301" s="41" t="s">
        <v>333</v>
      </c>
      <c r="E301" s="41" t="str">
        <f aca="false">CONCATENATE(Table_Name28[[#This Row],[Table name]],"[Link]")</f>
        <v>Quads[Link]</v>
      </c>
    </row>
    <row r="302" customFormat="false" ht="14.4" hidden="true" customHeight="false" outlineLevel="0" collapsed="false">
      <c r="B302" s="0" t="s">
        <v>79</v>
      </c>
      <c r="C302" s="41" t="s">
        <v>79</v>
      </c>
      <c r="D302" s="41" t="s">
        <v>334</v>
      </c>
      <c r="E302" s="41" t="str">
        <f aca="false">CONCATENATE(Table_Name28[[#This Row],[Table name]],"[Link]")</f>
        <v>Glutes[Link]</v>
      </c>
    </row>
    <row r="303" customFormat="false" ht="14.4" hidden="true" customHeight="false" outlineLevel="0" collapsed="false">
      <c r="B303" s="0" t="s">
        <v>81</v>
      </c>
      <c r="C303" s="41" t="s">
        <v>335</v>
      </c>
      <c r="D303" s="41" t="s">
        <v>336</v>
      </c>
      <c r="E303" s="41" t="str">
        <f aca="false">CONCATENATE(Table_Name28[[#This Row],[Table name]],"[Link]")</f>
        <v>Hamstrings_Hip_Hinge[Link]</v>
      </c>
    </row>
    <row r="304" customFormat="false" ht="14.4" hidden="true" customHeight="false" outlineLevel="0" collapsed="false">
      <c r="B304" s="0" t="s">
        <v>64</v>
      </c>
      <c r="C304" s="41" t="s">
        <v>337</v>
      </c>
      <c r="D304" s="41" t="s">
        <v>338</v>
      </c>
      <c r="E304" s="41" t="str">
        <f aca="false">CONCATENATE(Table_Name28[[#This Row],[Table name]],"[Link]")</f>
        <v>Hamstrings_Isolation[Link]</v>
      </c>
    </row>
    <row r="305" customFormat="false" ht="14.4" hidden="true" customHeight="false" outlineLevel="0" collapsed="false">
      <c r="B305" s="0" t="s">
        <v>261</v>
      </c>
      <c r="C305" s="41" t="s">
        <v>339</v>
      </c>
      <c r="D305" s="41" t="s">
        <v>340</v>
      </c>
      <c r="E305" s="41" t="str">
        <f aca="false">CONCATENATE(Table_Name28[[#This Row],[Table name]],"[Link]")</f>
        <v>Chest_Isolation[Link]</v>
      </c>
    </row>
    <row r="306" customFormat="false" ht="14.4" hidden="true" customHeight="false" outlineLevel="0" collapsed="false">
      <c r="B306" s="0" t="s">
        <v>47</v>
      </c>
      <c r="C306" s="41" t="s">
        <v>341</v>
      </c>
      <c r="D306" s="41" t="s">
        <v>342</v>
      </c>
      <c r="E306" s="41" t="str">
        <f aca="false">CONCATENATE(Table_Name28[[#This Row],[Table name]],"[Link]")</f>
        <v>Horizontal_Push[Link]</v>
      </c>
    </row>
    <row r="307" customFormat="false" ht="14.4" hidden="true" customHeight="false" outlineLevel="0" collapsed="false">
      <c r="B307" s="0" t="s">
        <v>39</v>
      </c>
      <c r="C307" s="41" t="s">
        <v>343</v>
      </c>
      <c r="D307" s="41" t="s">
        <v>344</v>
      </c>
      <c r="E307" s="41" t="str">
        <f aca="false">CONCATENATE(Table_Name28[[#This Row],[Table name]],"[Link]")</f>
        <v>Incline_Push[Link]</v>
      </c>
    </row>
    <row r="308" customFormat="false" ht="14.4" hidden="true" customHeight="false" outlineLevel="0" collapsed="false">
      <c r="B308" s="0" t="s">
        <v>70</v>
      </c>
      <c r="C308" s="41" t="s">
        <v>345</v>
      </c>
      <c r="D308" s="41" t="s">
        <v>346</v>
      </c>
      <c r="E308" s="41" t="str">
        <f aca="false">CONCATENATE(Table_Name28[[#This Row],[Table name]],"[Link]")</f>
        <v>Front_Delts[Link]</v>
      </c>
    </row>
    <row r="309" customFormat="false" ht="14.4" hidden="true" customHeight="false" outlineLevel="0" collapsed="false">
      <c r="B309" s="0" t="s">
        <v>68</v>
      </c>
      <c r="C309" s="41" t="s">
        <v>68</v>
      </c>
      <c r="D309" s="41" t="s">
        <v>347</v>
      </c>
      <c r="E309" s="41" t="str">
        <f aca="false">CONCATENATE(Table_Name28[[#This Row],[Table name]],"[Link]")</f>
        <v>Triceps[Link]</v>
      </c>
    </row>
    <row r="310" customFormat="false" ht="14.4" hidden="true" customHeight="false" outlineLevel="0" collapsed="false">
      <c r="B310" s="0" t="s">
        <v>311</v>
      </c>
      <c r="C310" s="41" t="s">
        <v>348</v>
      </c>
      <c r="D310" s="41" t="s">
        <v>349</v>
      </c>
      <c r="E310" s="41" t="str">
        <f aca="false">CONCATENATE(Table_Name28[[#This Row],[Table name]],"[Link]")</f>
        <v>Incline_Push_or_Front_Delts[Link]</v>
      </c>
    </row>
    <row r="311" customFormat="false" ht="14.4" hidden="true" customHeight="false" outlineLevel="0" collapsed="false">
      <c r="B311" s="0" t="s">
        <v>45</v>
      </c>
      <c r="C311" s="41" t="s">
        <v>350</v>
      </c>
      <c r="D311" s="41" t="s">
        <v>351</v>
      </c>
      <c r="E311" s="41" t="str">
        <f aca="false">CONCATENATE(Table_Name28[[#This Row],[Table name]],"[Link]")</f>
        <v>Chest_Isolation_or_Triceps[Link]</v>
      </c>
    </row>
    <row r="312" customFormat="false" ht="14.4" hidden="true" customHeight="false" outlineLevel="0" collapsed="false">
      <c r="B312" s="0" t="s">
        <v>75</v>
      </c>
      <c r="C312" s="41" t="s">
        <v>352</v>
      </c>
      <c r="D312" s="41" t="s">
        <v>353</v>
      </c>
      <c r="E312" s="41" t="str">
        <f aca="false">CONCATENATE(Table_Name28[[#This Row],[Table name]],"[Link]")</f>
        <v>Rear_or_Side_Delts[Link]</v>
      </c>
    </row>
    <row r="314" customFormat="false" ht="14.4" hidden="true" customHeight="false" outlineLevel="0" collapsed="false">
      <c r="B314" s="109" t="s">
        <v>29</v>
      </c>
      <c r="C314" s="103" t="s">
        <v>89</v>
      </c>
      <c r="D314" s="109" t="s">
        <v>313</v>
      </c>
    </row>
    <row r="315" customFormat="false" ht="14.4" hidden="true" customHeight="false" outlineLevel="0" collapsed="false">
      <c r="B315" s="41" t="s">
        <v>90</v>
      </c>
      <c r="C315" s="0" t="s">
        <v>91</v>
      </c>
      <c r="D315" s="0" t="s">
        <v>55</v>
      </c>
    </row>
    <row r="316" customFormat="false" ht="14.4" hidden="true" customHeight="false" outlineLevel="0" collapsed="false">
      <c r="B316" s="41" t="s">
        <v>92</v>
      </c>
      <c r="C316" s="0" t="s">
        <v>93</v>
      </c>
      <c r="D316" s="0" t="s">
        <v>55</v>
      </c>
    </row>
    <row r="317" customFormat="false" ht="14.4" hidden="true" customHeight="false" outlineLevel="0" collapsed="false">
      <c r="B317" s="41" t="s">
        <v>94</v>
      </c>
      <c r="C317" s="0" t="s">
        <v>95</v>
      </c>
      <c r="D317" s="0" t="s">
        <v>55</v>
      </c>
    </row>
    <row r="318" customFormat="false" ht="14.4" hidden="true" customHeight="false" outlineLevel="0" collapsed="false">
      <c r="B318" s="41" t="s">
        <v>96</v>
      </c>
      <c r="C318" s="0" t="s">
        <v>97</v>
      </c>
      <c r="D318" s="0" t="s">
        <v>55</v>
      </c>
    </row>
    <row r="319" customFormat="false" ht="14.4" hidden="true" customHeight="false" outlineLevel="0" collapsed="false">
      <c r="B319" s="99" t="s">
        <v>98</v>
      </c>
      <c r="C319" s="0" t="s">
        <v>99</v>
      </c>
      <c r="D319" s="0" t="s">
        <v>55</v>
      </c>
    </row>
    <row r="320" customFormat="false" ht="14.4" hidden="true" customHeight="false" outlineLevel="0" collapsed="false">
      <c r="B320" s="41" t="s">
        <v>56</v>
      </c>
      <c r="C320" s="0" t="s">
        <v>100</v>
      </c>
      <c r="D320" s="0" t="s">
        <v>55</v>
      </c>
    </row>
    <row r="321" customFormat="false" ht="14.4" hidden="true" customHeight="false" outlineLevel="0" collapsed="false">
      <c r="B321" s="41" t="s">
        <v>101</v>
      </c>
      <c r="C321" s="0" t="s">
        <v>102</v>
      </c>
      <c r="D321" s="0" t="s">
        <v>55</v>
      </c>
    </row>
    <row r="322" customFormat="false" ht="14.4" hidden="true" customHeight="false" outlineLevel="0" collapsed="false">
      <c r="B322" s="41" t="s">
        <v>110</v>
      </c>
      <c r="C322" s="0" t="s">
        <v>111</v>
      </c>
      <c r="D322" s="0" t="s">
        <v>83</v>
      </c>
    </row>
    <row r="323" customFormat="false" ht="14.4" hidden="true" customHeight="false" outlineLevel="0" collapsed="false">
      <c r="B323" s="41" t="s">
        <v>112</v>
      </c>
      <c r="C323" s="0" t="s">
        <v>113</v>
      </c>
      <c r="D323" s="0" t="s">
        <v>83</v>
      </c>
    </row>
    <row r="324" customFormat="false" ht="14.4" hidden="true" customHeight="false" outlineLevel="0" collapsed="false">
      <c r="B324" s="41" t="s">
        <v>114</v>
      </c>
      <c r="C324" s="0" t="s">
        <v>115</v>
      </c>
      <c r="D324" s="0" t="s">
        <v>83</v>
      </c>
    </row>
    <row r="325" customFormat="false" ht="14.4" hidden="true" customHeight="false" outlineLevel="0" collapsed="false">
      <c r="B325" s="41" t="s">
        <v>116</v>
      </c>
      <c r="C325" s="0" t="s">
        <v>117</v>
      </c>
      <c r="D325" s="0" t="s">
        <v>83</v>
      </c>
    </row>
    <row r="326" customFormat="false" ht="14.4" hidden="true" customHeight="false" outlineLevel="0" collapsed="false">
      <c r="B326" s="41" t="s">
        <v>118</v>
      </c>
      <c r="C326" s="0" t="s">
        <v>119</v>
      </c>
      <c r="D326" s="0" t="s">
        <v>83</v>
      </c>
    </row>
    <row r="327" customFormat="false" ht="14.4" hidden="true" customHeight="false" outlineLevel="0" collapsed="false">
      <c r="B327" s="41" t="s">
        <v>120</v>
      </c>
      <c r="C327" s="0" t="s">
        <v>121</v>
      </c>
      <c r="D327" s="0" t="s">
        <v>83</v>
      </c>
    </row>
    <row r="328" customFormat="false" ht="14.4" hidden="true" customHeight="false" outlineLevel="0" collapsed="false">
      <c r="B328" s="41" t="s">
        <v>122</v>
      </c>
      <c r="C328" s="0" t="s">
        <v>123</v>
      </c>
      <c r="D328" s="0" t="s">
        <v>83</v>
      </c>
    </row>
    <row r="329" customFormat="false" ht="14.4" hidden="true" customHeight="false" outlineLevel="0" collapsed="false">
      <c r="B329" s="41" t="s">
        <v>84</v>
      </c>
      <c r="C329" s="0" t="s">
        <v>124</v>
      </c>
      <c r="D329" s="0" t="s">
        <v>83</v>
      </c>
    </row>
    <row r="330" customFormat="false" ht="14.4" hidden="true" customHeight="false" outlineLevel="0" collapsed="false">
      <c r="B330" s="99" t="s">
        <v>125</v>
      </c>
      <c r="C330" s="0" t="s">
        <v>126</v>
      </c>
      <c r="D330" s="0" t="s">
        <v>83</v>
      </c>
    </row>
    <row r="331" customFormat="false" ht="14.4" hidden="true" customHeight="false" outlineLevel="0" collapsed="false">
      <c r="B331" s="41" t="s">
        <v>127</v>
      </c>
      <c r="C331" s="0" t="s">
        <v>128</v>
      </c>
      <c r="D331" s="0" t="s">
        <v>83</v>
      </c>
    </row>
    <row r="332" customFormat="false" ht="14.4" hidden="true" customHeight="false" outlineLevel="0" collapsed="false">
      <c r="B332" s="41" t="s">
        <v>129</v>
      </c>
      <c r="C332" s="0" t="s">
        <v>130</v>
      </c>
      <c r="D332" s="0" t="s">
        <v>83</v>
      </c>
    </row>
    <row r="333" customFormat="false" ht="14.4" hidden="true" customHeight="false" outlineLevel="0" collapsed="false">
      <c r="B333" s="41" t="s">
        <v>67</v>
      </c>
      <c r="C333" s="0" t="s">
        <v>103</v>
      </c>
      <c r="D333" s="0" t="s">
        <v>66</v>
      </c>
    </row>
    <row r="334" customFormat="false" ht="14.4" hidden="true" customHeight="false" outlineLevel="0" collapsed="false">
      <c r="B334" s="41" t="s">
        <v>104</v>
      </c>
      <c r="C334" s="0" t="s">
        <v>105</v>
      </c>
      <c r="D334" s="0" t="s">
        <v>66</v>
      </c>
    </row>
    <row r="335" customFormat="false" ht="14.4" hidden="true" customHeight="false" outlineLevel="0" collapsed="false">
      <c r="B335" s="41" t="s">
        <v>106</v>
      </c>
      <c r="C335" s="0" t="s">
        <v>107</v>
      </c>
      <c r="D335" s="0" t="s">
        <v>66</v>
      </c>
    </row>
    <row r="336" customFormat="false" ht="14.4" hidden="true" customHeight="false" outlineLevel="0" collapsed="false">
      <c r="B336" s="41" t="s">
        <v>108</v>
      </c>
      <c r="C336" s="0" t="s">
        <v>109</v>
      </c>
      <c r="D336" s="0" t="s">
        <v>66</v>
      </c>
    </row>
    <row r="337" customFormat="false" ht="14.4" hidden="true" customHeight="false" outlineLevel="0" collapsed="false">
      <c r="B337" s="41" t="s">
        <v>262</v>
      </c>
      <c r="C337" s="0" t="s">
        <v>263</v>
      </c>
      <c r="D337" s="0" t="s">
        <v>261</v>
      </c>
    </row>
    <row r="338" customFormat="false" ht="14.4" hidden="true" customHeight="false" outlineLevel="0" collapsed="false">
      <c r="B338" s="41" t="s">
        <v>264</v>
      </c>
      <c r="C338" s="0" t="s">
        <v>265</v>
      </c>
      <c r="D338" s="0" t="s">
        <v>261</v>
      </c>
    </row>
    <row r="339" customFormat="false" ht="14.4" hidden="true" customHeight="false" outlineLevel="0" collapsed="false">
      <c r="B339" s="41" t="s">
        <v>266</v>
      </c>
      <c r="C339" s="0" t="s">
        <v>267</v>
      </c>
      <c r="D339" s="0" t="s">
        <v>261</v>
      </c>
    </row>
    <row r="340" customFormat="false" ht="14.4" hidden="true" customHeight="false" outlineLevel="0" collapsed="false">
      <c r="B340" s="41" t="s">
        <v>268</v>
      </c>
      <c r="C340" s="0" t="s">
        <v>269</v>
      </c>
      <c r="D340" s="0" t="s">
        <v>261</v>
      </c>
    </row>
    <row r="341" customFormat="false" ht="14.4" hidden="true" customHeight="false" outlineLevel="0" collapsed="false">
      <c r="B341" s="41" t="s">
        <v>270</v>
      </c>
      <c r="C341" s="0" t="s">
        <v>271</v>
      </c>
      <c r="D341" s="0" t="s">
        <v>261</v>
      </c>
    </row>
    <row r="342" customFormat="false" ht="14.4" hidden="true" customHeight="false" outlineLevel="0" collapsed="false">
      <c r="B342" s="41" t="s">
        <v>272</v>
      </c>
      <c r="C342" s="0" t="s">
        <v>273</v>
      </c>
      <c r="D342" s="0" t="s">
        <v>261</v>
      </c>
    </row>
    <row r="343" customFormat="false" ht="14.4" hidden="true" customHeight="false" outlineLevel="0" collapsed="false">
      <c r="B343" s="41" t="s">
        <v>274</v>
      </c>
      <c r="C343" s="0" t="s">
        <v>275</v>
      </c>
      <c r="D343" s="0" t="s">
        <v>261</v>
      </c>
    </row>
    <row r="344" customFormat="false" ht="14.4" hidden="true" customHeight="false" outlineLevel="0" collapsed="false">
      <c r="B344" s="41" t="s">
        <v>262</v>
      </c>
      <c r="C344" s="0" t="s">
        <v>263</v>
      </c>
      <c r="D344" s="0" t="s">
        <v>45</v>
      </c>
    </row>
    <row r="345" customFormat="false" ht="14.4" hidden="true" customHeight="false" outlineLevel="0" collapsed="false">
      <c r="B345" s="41" t="s">
        <v>156</v>
      </c>
      <c r="C345" s="0" t="s">
        <v>157</v>
      </c>
      <c r="D345" s="0" t="s">
        <v>45</v>
      </c>
    </row>
    <row r="346" customFormat="false" ht="14.4" hidden="true" customHeight="false" outlineLevel="0" collapsed="false">
      <c r="B346" s="41" t="s">
        <v>264</v>
      </c>
      <c r="C346" s="0" t="s">
        <v>265</v>
      </c>
      <c r="D346" s="0" t="s">
        <v>45</v>
      </c>
    </row>
    <row r="347" customFormat="false" ht="14.4" hidden="true" customHeight="false" outlineLevel="0" collapsed="false">
      <c r="B347" s="41" t="s">
        <v>171</v>
      </c>
      <c r="C347" s="0" t="s">
        <v>172</v>
      </c>
      <c r="D347" s="0" t="s">
        <v>45</v>
      </c>
    </row>
    <row r="348" customFormat="false" ht="14.4" hidden="true" customHeight="false" outlineLevel="0" collapsed="false">
      <c r="B348" s="41" t="s">
        <v>266</v>
      </c>
      <c r="C348" s="0" t="s">
        <v>267</v>
      </c>
      <c r="D348" s="0" t="s">
        <v>45</v>
      </c>
    </row>
    <row r="349" customFormat="false" ht="14.4" hidden="true" customHeight="false" outlineLevel="0" collapsed="false">
      <c r="B349" s="41" t="s">
        <v>46</v>
      </c>
      <c r="C349" s="0" t="s">
        <v>158</v>
      </c>
      <c r="D349" s="0" t="s">
        <v>45</v>
      </c>
    </row>
    <row r="350" customFormat="false" ht="14.4" hidden="true" customHeight="false" outlineLevel="0" collapsed="false">
      <c r="B350" s="41" t="s">
        <v>268</v>
      </c>
      <c r="C350" s="0" t="s">
        <v>269</v>
      </c>
      <c r="D350" s="0" t="s">
        <v>45</v>
      </c>
    </row>
    <row r="351" customFormat="false" ht="14.4" hidden="true" customHeight="false" outlineLevel="0" collapsed="false">
      <c r="B351" s="41" t="s">
        <v>173</v>
      </c>
      <c r="C351" s="0" t="s">
        <v>174</v>
      </c>
      <c r="D351" s="0" t="s">
        <v>45</v>
      </c>
    </row>
    <row r="352" customFormat="false" ht="14.4" hidden="true" customHeight="false" outlineLevel="0" collapsed="false">
      <c r="B352" s="41" t="s">
        <v>270</v>
      </c>
      <c r="C352" s="0" t="s">
        <v>271</v>
      </c>
      <c r="D352" s="0" t="s">
        <v>45</v>
      </c>
    </row>
    <row r="353" customFormat="false" ht="14.4" hidden="true" customHeight="false" outlineLevel="0" collapsed="false">
      <c r="B353" s="41" t="s">
        <v>159</v>
      </c>
      <c r="C353" s="0" t="s">
        <v>160</v>
      </c>
      <c r="D353" s="0" t="s">
        <v>45</v>
      </c>
    </row>
    <row r="354" customFormat="false" ht="14.4" hidden="true" customHeight="false" outlineLevel="0" collapsed="false">
      <c r="B354" s="41" t="s">
        <v>272</v>
      </c>
      <c r="C354" s="0" t="s">
        <v>273</v>
      </c>
      <c r="D354" s="0" t="s">
        <v>45</v>
      </c>
    </row>
    <row r="355" customFormat="false" ht="14.4" hidden="true" customHeight="false" outlineLevel="0" collapsed="false">
      <c r="B355" s="41" t="s">
        <v>175</v>
      </c>
      <c r="C355" s="0" t="s">
        <v>176</v>
      </c>
      <c r="D355" s="0" t="s">
        <v>45</v>
      </c>
    </row>
    <row r="356" customFormat="false" ht="14.4" hidden="true" customHeight="false" outlineLevel="0" collapsed="false">
      <c r="B356" s="41" t="s">
        <v>274</v>
      </c>
      <c r="C356" s="0" t="s">
        <v>275</v>
      </c>
      <c r="D356" s="0" t="s">
        <v>45</v>
      </c>
    </row>
    <row r="357" customFormat="false" ht="14.4" hidden="true" customHeight="false" outlineLevel="0" collapsed="false">
      <c r="B357" s="41" t="s">
        <v>161</v>
      </c>
      <c r="C357" s="0" t="s">
        <v>162</v>
      </c>
      <c r="D357" s="0" t="s">
        <v>45</v>
      </c>
    </row>
    <row r="358" customFormat="false" ht="14.4" hidden="true" customHeight="false" outlineLevel="0" collapsed="false">
      <c r="B358" s="41" t="s">
        <v>177</v>
      </c>
      <c r="C358" s="0" t="s">
        <v>178</v>
      </c>
      <c r="D358" s="0" t="s">
        <v>45</v>
      </c>
    </row>
    <row r="359" customFormat="false" ht="14.4" hidden="true" customHeight="false" outlineLevel="0" collapsed="false">
      <c r="B359" s="41" t="s">
        <v>163</v>
      </c>
      <c r="C359" s="0" t="s">
        <v>164</v>
      </c>
      <c r="D359" s="0" t="s">
        <v>45</v>
      </c>
    </row>
    <row r="360" customFormat="false" ht="14.4" hidden="true" customHeight="false" outlineLevel="0" collapsed="false">
      <c r="B360" s="41" t="s">
        <v>179</v>
      </c>
      <c r="C360" s="0" t="s">
        <v>180</v>
      </c>
      <c r="D360" s="0" t="s">
        <v>45</v>
      </c>
    </row>
    <row r="361" customFormat="false" ht="14.4" hidden="true" customHeight="false" outlineLevel="0" collapsed="false">
      <c r="B361" s="41" t="s">
        <v>69</v>
      </c>
      <c r="C361" s="0" t="s">
        <v>165</v>
      </c>
      <c r="D361" s="0" t="s">
        <v>45</v>
      </c>
    </row>
    <row r="362" customFormat="false" ht="14.4" hidden="true" customHeight="false" outlineLevel="0" collapsed="false">
      <c r="B362" s="41" t="s">
        <v>166</v>
      </c>
      <c r="C362" s="0" t="s">
        <v>167</v>
      </c>
      <c r="D362" s="0" t="s">
        <v>45</v>
      </c>
    </row>
    <row r="363" customFormat="false" ht="14.4" hidden="true" customHeight="false" outlineLevel="0" collapsed="false">
      <c r="B363" s="41" t="s">
        <v>168</v>
      </c>
      <c r="C363" s="0" t="s">
        <v>169</v>
      </c>
      <c r="D363" s="0" t="s">
        <v>45</v>
      </c>
    </row>
    <row r="364" customFormat="false" ht="14.4" hidden="true" customHeight="false" outlineLevel="0" collapsed="false">
      <c r="B364" s="41" t="s">
        <v>71</v>
      </c>
      <c r="C364" s="0" t="s">
        <v>300</v>
      </c>
      <c r="D364" s="0" t="s">
        <v>70</v>
      </c>
    </row>
    <row r="365" customFormat="false" ht="14.4" hidden="true" customHeight="false" outlineLevel="0" collapsed="false">
      <c r="B365" s="41" t="s">
        <v>301</v>
      </c>
      <c r="C365" s="0" t="s">
        <v>302</v>
      </c>
      <c r="D365" s="0" t="s">
        <v>70</v>
      </c>
    </row>
    <row r="366" customFormat="false" ht="14.4" hidden="true" customHeight="false" outlineLevel="0" collapsed="false">
      <c r="B366" s="41" t="s">
        <v>303</v>
      </c>
      <c r="C366" s="0" t="s">
        <v>304</v>
      </c>
      <c r="D366" s="0" t="s">
        <v>70</v>
      </c>
    </row>
    <row r="367" customFormat="false" ht="14.4" hidden="true" customHeight="false" outlineLevel="0" collapsed="false">
      <c r="B367" s="41" t="s">
        <v>305</v>
      </c>
      <c r="C367" s="0" t="s">
        <v>306</v>
      </c>
      <c r="D367" s="0" t="s">
        <v>70</v>
      </c>
    </row>
    <row r="368" customFormat="false" ht="14.4" hidden="true" customHeight="false" outlineLevel="0" collapsed="false">
      <c r="B368" s="66" t="s">
        <v>307</v>
      </c>
      <c r="C368" s="0" t="s">
        <v>308</v>
      </c>
      <c r="D368" s="0" t="s">
        <v>70</v>
      </c>
    </row>
    <row r="369" customFormat="false" ht="14.4" hidden="true" customHeight="false" outlineLevel="0" collapsed="false">
      <c r="B369" s="41" t="s">
        <v>309</v>
      </c>
      <c r="C369" s="0" t="s">
        <v>310</v>
      </c>
      <c r="D369" s="0" t="s">
        <v>70</v>
      </c>
    </row>
    <row r="370" customFormat="false" ht="14.4" hidden="true" customHeight="false" outlineLevel="0" collapsed="false">
      <c r="B370" s="41" t="s">
        <v>232</v>
      </c>
      <c r="C370" s="0" t="s">
        <v>233</v>
      </c>
      <c r="D370" s="0" t="s">
        <v>79</v>
      </c>
    </row>
    <row r="371" customFormat="false" ht="14.4" hidden="true" customHeight="false" outlineLevel="0" collapsed="false">
      <c r="B371" s="41" t="s">
        <v>234</v>
      </c>
      <c r="C371" s="0" t="s">
        <v>235</v>
      </c>
      <c r="D371" s="0" t="s">
        <v>79</v>
      </c>
    </row>
    <row r="372" customFormat="false" ht="14.4" hidden="true" customHeight="false" outlineLevel="0" collapsed="false">
      <c r="B372" s="41" t="s">
        <v>236</v>
      </c>
      <c r="C372" s="0" t="s">
        <v>237</v>
      </c>
      <c r="D372" s="0" t="s">
        <v>79</v>
      </c>
    </row>
    <row r="373" customFormat="false" ht="14.4" hidden="true" customHeight="false" outlineLevel="0" collapsed="false">
      <c r="B373" s="41" t="s">
        <v>238</v>
      </c>
      <c r="C373" s="0" t="s">
        <v>239</v>
      </c>
      <c r="D373" s="0" t="s">
        <v>79</v>
      </c>
    </row>
    <row r="374" customFormat="false" ht="14.4" hidden="true" customHeight="false" outlineLevel="0" collapsed="false">
      <c r="B374" s="41" t="s">
        <v>240</v>
      </c>
      <c r="C374" s="0" t="s">
        <v>241</v>
      </c>
      <c r="D374" s="0" t="s">
        <v>79</v>
      </c>
    </row>
    <row r="375" customFormat="false" ht="14.4" hidden="true" customHeight="false" outlineLevel="0" collapsed="false">
      <c r="B375" s="41" t="s">
        <v>242</v>
      </c>
      <c r="C375" s="0" t="s">
        <v>243</v>
      </c>
      <c r="D375" s="0" t="s">
        <v>79</v>
      </c>
    </row>
    <row r="376" customFormat="false" ht="14.4" hidden="true" customHeight="false" outlineLevel="0" collapsed="false">
      <c r="B376" s="41" t="s">
        <v>80</v>
      </c>
      <c r="C376" s="0" t="s">
        <v>244</v>
      </c>
      <c r="D376" s="0" t="s">
        <v>79</v>
      </c>
    </row>
    <row r="377" customFormat="false" ht="14.4" hidden="true" customHeight="false" outlineLevel="0" collapsed="false">
      <c r="B377" s="41" t="s">
        <v>245</v>
      </c>
      <c r="C377" s="0" t="s">
        <v>246</v>
      </c>
      <c r="D377" s="0" t="s">
        <v>79</v>
      </c>
    </row>
    <row r="378" customFormat="false" ht="14.4" hidden="true" customHeight="false" outlineLevel="0" collapsed="false">
      <c r="B378" s="41" t="s">
        <v>248</v>
      </c>
      <c r="C378" s="0" t="s">
        <v>249</v>
      </c>
      <c r="D378" s="0" t="s">
        <v>247</v>
      </c>
    </row>
    <row r="379" customFormat="false" ht="14.4" hidden="true" customHeight="false" outlineLevel="0" collapsed="false">
      <c r="B379" s="41" t="s">
        <v>250</v>
      </c>
      <c r="C379" s="0" t="s">
        <v>251</v>
      </c>
      <c r="D379" s="0" t="s">
        <v>247</v>
      </c>
    </row>
    <row r="380" customFormat="false" ht="14.4" hidden="true" customHeight="false" outlineLevel="0" collapsed="false">
      <c r="B380" s="41" t="s">
        <v>252</v>
      </c>
      <c r="C380" s="0" t="s">
        <v>253</v>
      </c>
      <c r="D380" s="0" t="s">
        <v>247</v>
      </c>
    </row>
    <row r="381" customFormat="false" ht="14.4" hidden="true" customHeight="false" outlineLevel="0" collapsed="false">
      <c r="B381" s="41" t="s">
        <v>82</v>
      </c>
      <c r="C381" s="0" t="s">
        <v>254</v>
      </c>
      <c r="D381" s="0" t="s">
        <v>247</v>
      </c>
    </row>
    <row r="382" customFormat="false" ht="14.4" hidden="true" customHeight="false" outlineLevel="0" collapsed="false">
      <c r="B382" s="41" t="s">
        <v>65</v>
      </c>
      <c r="C382" s="0" t="s">
        <v>256</v>
      </c>
      <c r="D382" s="0" t="s">
        <v>255</v>
      </c>
    </row>
    <row r="383" customFormat="false" ht="14.4" hidden="true" customHeight="false" outlineLevel="0" collapsed="false">
      <c r="B383" s="41" t="s">
        <v>257</v>
      </c>
      <c r="C383" s="0" t="s">
        <v>258</v>
      </c>
      <c r="D383" s="0" t="s">
        <v>255</v>
      </c>
    </row>
    <row r="384" customFormat="false" ht="14.4" hidden="true" customHeight="false" outlineLevel="0" collapsed="false">
      <c r="B384" s="41" t="s">
        <v>259</v>
      </c>
      <c r="C384" s="0" t="s">
        <v>260</v>
      </c>
      <c r="D384" s="0" t="s">
        <v>255</v>
      </c>
    </row>
    <row r="385" customFormat="false" ht="14.4" hidden="true" customHeight="false" outlineLevel="0" collapsed="false">
      <c r="B385" s="41" t="s">
        <v>50</v>
      </c>
      <c r="C385" s="0" t="s">
        <v>182</v>
      </c>
      <c r="D385" s="0" t="s">
        <v>181</v>
      </c>
    </row>
    <row r="386" customFormat="false" ht="14.4" hidden="true" customHeight="false" outlineLevel="0" collapsed="false">
      <c r="B386" s="41" t="s">
        <v>183</v>
      </c>
      <c r="C386" s="0" t="s">
        <v>184</v>
      </c>
      <c r="D386" s="0" t="s">
        <v>181</v>
      </c>
    </row>
    <row r="387" customFormat="false" ht="14.4" hidden="true" customHeight="false" outlineLevel="0" collapsed="false">
      <c r="B387" s="41" t="s">
        <v>185</v>
      </c>
      <c r="C387" s="0" t="s">
        <v>186</v>
      </c>
      <c r="D387" s="0" t="s">
        <v>181</v>
      </c>
    </row>
    <row r="388" customFormat="false" ht="14.4" hidden="true" customHeight="false" outlineLevel="0" collapsed="false">
      <c r="B388" s="41" t="s">
        <v>187</v>
      </c>
      <c r="C388" s="0" t="s">
        <v>188</v>
      </c>
      <c r="D388" s="0" t="s">
        <v>181</v>
      </c>
    </row>
    <row r="389" customFormat="false" ht="14.4" hidden="true" customHeight="false" outlineLevel="0" collapsed="false">
      <c r="B389" s="41" t="s">
        <v>189</v>
      </c>
      <c r="C389" s="0" t="s">
        <v>190</v>
      </c>
      <c r="D389" s="0" t="s">
        <v>181</v>
      </c>
    </row>
    <row r="390" customFormat="false" ht="14.4" hidden="true" customHeight="false" outlineLevel="0" collapsed="false">
      <c r="B390" s="41" t="s">
        <v>191</v>
      </c>
      <c r="C390" s="0" t="s">
        <v>192</v>
      </c>
      <c r="D390" s="0" t="s">
        <v>181</v>
      </c>
    </row>
    <row r="391" customFormat="false" ht="14.4" hidden="true" customHeight="false" outlineLevel="0" collapsed="false">
      <c r="B391" s="41" t="s">
        <v>193</v>
      </c>
      <c r="C391" s="0" t="s">
        <v>194</v>
      </c>
      <c r="D391" s="0" t="s">
        <v>181</v>
      </c>
    </row>
    <row r="392" customFormat="false" ht="14.4" hidden="true" customHeight="false" outlineLevel="0" collapsed="false">
      <c r="B392" s="41" t="s">
        <v>195</v>
      </c>
      <c r="C392" s="0" t="s">
        <v>196</v>
      </c>
      <c r="D392" s="0" t="s">
        <v>181</v>
      </c>
    </row>
    <row r="393" customFormat="false" ht="14.4" hidden="true" customHeight="false" outlineLevel="0" collapsed="false">
      <c r="B393" s="41" t="s">
        <v>48</v>
      </c>
      <c r="C393" s="0" t="s">
        <v>276</v>
      </c>
      <c r="D393" s="0" t="s">
        <v>47</v>
      </c>
    </row>
    <row r="394" customFormat="false" ht="14.4" hidden="true" customHeight="false" outlineLevel="0" collapsed="false">
      <c r="B394" s="41" t="s">
        <v>277</v>
      </c>
      <c r="C394" s="0" t="s">
        <v>278</v>
      </c>
      <c r="D394" s="0" t="s">
        <v>47</v>
      </c>
    </row>
    <row r="395" customFormat="false" ht="14.4" hidden="true" customHeight="false" outlineLevel="0" collapsed="false">
      <c r="B395" s="41" t="s">
        <v>279</v>
      </c>
      <c r="C395" s="0" t="s">
        <v>280</v>
      </c>
      <c r="D395" s="0" t="s">
        <v>47</v>
      </c>
    </row>
    <row r="396" customFormat="false" ht="14.4" hidden="true" customHeight="false" outlineLevel="0" collapsed="false">
      <c r="B396" s="41" t="s">
        <v>281</v>
      </c>
      <c r="C396" s="0" t="s">
        <v>282</v>
      </c>
      <c r="D396" s="0" t="s">
        <v>47</v>
      </c>
    </row>
    <row r="397" customFormat="false" ht="14.4" hidden="true" customHeight="false" outlineLevel="0" collapsed="false">
      <c r="B397" s="66" t="s">
        <v>283</v>
      </c>
      <c r="C397" s="0" t="s">
        <v>284</v>
      </c>
      <c r="D397" s="0" t="s">
        <v>47</v>
      </c>
    </row>
    <row r="398" customFormat="false" ht="14.4" hidden="true" customHeight="false" outlineLevel="0" collapsed="false">
      <c r="B398" s="41" t="s">
        <v>285</v>
      </c>
      <c r="C398" s="0" t="s">
        <v>286</v>
      </c>
      <c r="D398" s="0" t="s">
        <v>47</v>
      </c>
    </row>
    <row r="399" customFormat="false" ht="14.4" hidden="true" customHeight="false" outlineLevel="0" collapsed="false">
      <c r="B399" s="41" t="s">
        <v>287</v>
      </c>
      <c r="C399" s="0" t="s">
        <v>288</v>
      </c>
      <c r="D399" s="0" t="s">
        <v>47</v>
      </c>
    </row>
    <row r="400" customFormat="false" ht="14.4" hidden="true" customHeight="false" outlineLevel="0" collapsed="false">
      <c r="B400" s="41" t="s">
        <v>156</v>
      </c>
      <c r="C400" s="0" t="s">
        <v>157</v>
      </c>
      <c r="D400" s="0" t="s">
        <v>155</v>
      </c>
    </row>
    <row r="401" customFormat="false" ht="14.4" hidden="true" customHeight="false" outlineLevel="0" collapsed="false">
      <c r="B401" s="41" t="s">
        <v>46</v>
      </c>
      <c r="C401" s="0" t="s">
        <v>158</v>
      </c>
      <c r="D401" s="0" t="s">
        <v>155</v>
      </c>
    </row>
    <row r="402" customFormat="false" ht="14.4" hidden="true" customHeight="false" outlineLevel="0" collapsed="false">
      <c r="B402" s="41" t="s">
        <v>159</v>
      </c>
      <c r="C402" s="0" t="s">
        <v>160</v>
      </c>
      <c r="D402" s="0" t="s">
        <v>155</v>
      </c>
    </row>
    <row r="403" customFormat="false" ht="14.4" hidden="true" customHeight="false" outlineLevel="0" collapsed="false">
      <c r="B403" s="41" t="s">
        <v>161</v>
      </c>
      <c r="C403" s="0" t="s">
        <v>162</v>
      </c>
      <c r="D403" s="0" t="s">
        <v>155</v>
      </c>
    </row>
    <row r="404" customFormat="false" ht="14.4" hidden="true" customHeight="false" outlineLevel="0" collapsed="false">
      <c r="B404" s="41" t="s">
        <v>163</v>
      </c>
      <c r="C404" s="0" t="s">
        <v>164</v>
      </c>
      <c r="D404" s="0" t="s">
        <v>155</v>
      </c>
    </row>
    <row r="405" customFormat="false" ht="14.4" hidden="true" customHeight="false" outlineLevel="0" collapsed="false">
      <c r="B405" s="41" t="s">
        <v>69</v>
      </c>
      <c r="C405" s="0" t="s">
        <v>165</v>
      </c>
      <c r="D405" s="0" t="s">
        <v>155</v>
      </c>
    </row>
    <row r="406" customFormat="false" ht="14.4" hidden="true" customHeight="false" outlineLevel="0" collapsed="false">
      <c r="B406" s="41" t="s">
        <v>166</v>
      </c>
      <c r="C406" s="0" t="s">
        <v>167</v>
      </c>
      <c r="D406" s="0" t="s">
        <v>155</v>
      </c>
    </row>
    <row r="407" customFormat="false" ht="14.4" hidden="true" customHeight="false" outlineLevel="0" collapsed="false">
      <c r="B407" s="41" t="s">
        <v>168</v>
      </c>
      <c r="C407" s="0" t="s">
        <v>169</v>
      </c>
      <c r="D407" s="0" t="s">
        <v>155</v>
      </c>
    </row>
    <row r="408" customFormat="false" ht="14.4" hidden="true" customHeight="false" outlineLevel="0" collapsed="false">
      <c r="B408" s="99" t="s">
        <v>289</v>
      </c>
      <c r="C408" s="0" t="s">
        <v>290</v>
      </c>
      <c r="D408" s="0" t="s">
        <v>39</v>
      </c>
    </row>
    <row r="409" customFormat="false" ht="14.4" hidden="true" customHeight="false" outlineLevel="0" collapsed="false">
      <c r="B409" s="41" t="s">
        <v>291</v>
      </c>
      <c r="C409" s="0" t="s">
        <v>292</v>
      </c>
      <c r="D409" s="0" t="s">
        <v>39</v>
      </c>
    </row>
    <row r="410" customFormat="false" ht="14.4" hidden="true" customHeight="false" outlineLevel="0" collapsed="false">
      <c r="B410" s="41" t="s">
        <v>293</v>
      </c>
      <c r="C410" s="0" t="s">
        <v>294</v>
      </c>
      <c r="D410" s="0" t="s">
        <v>39</v>
      </c>
    </row>
    <row r="411" customFormat="false" ht="14.4" hidden="true" customHeight="false" outlineLevel="0" collapsed="false">
      <c r="B411" s="41" t="s">
        <v>295</v>
      </c>
      <c r="C411" s="0" t="s">
        <v>296</v>
      </c>
      <c r="D411" s="0" t="s">
        <v>39</v>
      </c>
    </row>
    <row r="412" customFormat="false" ht="14.4" hidden="true" customHeight="false" outlineLevel="0" collapsed="false">
      <c r="B412" s="41" t="s">
        <v>40</v>
      </c>
      <c r="C412" s="0" t="s">
        <v>297</v>
      </c>
      <c r="D412" s="0" t="s">
        <v>39</v>
      </c>
    </row>
    <row r="413" customFormat="false" ht="14.4" hidden="true" customHeight="false" outlineLevel="0" collapsed="false">
      <c r="B413" s="66" t="s">
        <v>298</v>
      </c>
      <c r="C413" s="0" t="s">
        <v>299</v>
      </c>
      <c r="D413" s="0" t="s">
        <v>39</v>
      </c>
    </row>
    <row r="414" customFormat="false" ht="14.4" hidden="true" customHeight="false" outlineLevel="0" collapsed="false">
      <c r="B414" s="99" t="s">
        <v>289</v>
      </c>
      <c r="C414" s="0" t="s">
        <v>290</v>
      </c>
      <c r="D414" s="0" t="s">
        <v>311</v>
      </c>
    </row>
    <row r="415" customFormat="false" ht="14.4" hidden="true" customHeight="false" outlineLevel="0" collapsed="false">
      <c r="B415" s="41" t="s">
        <v>71</v>
      </c>
      <c r="C415" s="0" t="s">
        <v>300</v>
      </c>
      <c r="D415" s="0" t="s">
        <v>311</v>
      </c>
    </row>
    <row r="416" customFormat="false" ht="14.4" hidden="true" customHeight="false" outlineLevel="0" collapsed="false">
      <c r="B416" s="41" t="s">
        <v>291</v>
      </c>
      <c r="C416" s="0" t="s">
        <v>292</v>
      </c>
      <c r="D416" s="0" t="s">
        <v>311</v>
      </c>
    </row>
    <row r="417" customFormat="false" ht="14.4" hidden="true" customHeight="false" outlineLevel="0" collapsed="false">
      <c r="B417" s="41" t="s">
        <v>301</v>
      </c>
      <c r="C417" s="0" t="s">
        <v>302</v>
      </c>
      <c r="D417" s="0" t="s">
        <v>311</v>
      </c>
    </row>
    <row r="418" customFormat="false" ht="14.4" hidden="true" customHeight="false" outlineLevel="0" collapsed="false">
      <c r="B418" s="41" t="s">
        <v>293</v>
      </c>
      <c r="C418" s="0" t="s">
        <v>294</v>
      </c>
      <c r="D418" s="0" t="s">
        <v>311</v>
      </c>
    </row>
    <row r="419" customFormat="false" ht="14.4" hidden="true" customHeight="false" outlineLevel="0" collapsed="false">
      <c r="B419" s="41" t="s">
        <v>303</v>
      </c>
      <c r="C419" s="0" t="s">
        <v>304</v>
      </c>
      <c r="D419" s="0" t="s">
        <v>311</v>
      </c>
    </row>
    <row r="420" customFormat="false" ht="14.4" hidden="true" customHeight="false" outlineLevel="0" collapsed="false">
      <c r="B420" s="41" t="s">
        <v>295</v>
      </c>
      <c r="C420" s="0" t="s">
        <v>296</v>
      </c>
      <c r="D420" s="0" t="s">
        <v>311</v>
      </c>
    </row>
    <row r="421" customFormat="false" ht="14.4" hidden="true" customHeight="false" outlineLevel="0" collapsed="false">
      <c r="B421" s="41" t="s">
        <v>305</v>
      </c>
      <c r="C421" s="0" t="s">
        <v>306</v>
      </c>
      <c r="D421" s="0" t="s">
        <v>311</v>
      </c>
    </row>
    <row r="422" customFormat="false" ht="14.4" hidden="true" customHeight="false" outlineLevel="0" collapsed="false">
      <c r="B422" s="41" t="s">
        <v>40</v>
      </c>
      <c r="C422" s="0" t="s">
        <v>297</v>
      </c>
      <c r="D422" s="0" t="s">
        <v>311</v>
      </c>
    </row>
    <row r="423" customFormat="false" ht="14.4" hidden="true" customHeight="false" outlineLevel="0" collapsed="false">
      <c r="B423" s="66" t="s">
        <v>307</v>
      </c>
      <c r="C423" s="0" t="s">
        <v>308</v>
      </c>
      <c r="D423" s="0" t="s">
        <v>311</v>
      </c>
    </row>
    <row r="424" customFormat="false" ht="14.4" hidden="true" customHeight="false" outlineLevel="0" collapsed="false">
      <c r="B424" s="66" t="s">
        <v>298</v>
      </c>
      <c r="C424" s="0" t="s">
        <v>299</v>
      </c>
      <c r="D424" s="0" t="s">
        <v>311</v>
      </c>
    </row>
    <row r="425" customFormat="false" ht="14.4" hidden="true" customHeight="false" outlineLevel="0" collapsed="false">
      <c r="B425" s="41" t="s">
        <v>309</v>
      </c>
      <c r="C425" s="0" t="s">
        <v>310</v>
      </c>
      <c r="D425" s="0" t="s">
        <v>311</v>
      </c>
    </row>
    <row r="426" customFormat="false" ht="14.4" hidden="true" customHeight="false" outlineLevel="0" collapsed="false">
      <c r="B426" s="41" t="s">
        <v>62</v>
      </c>
      <c r="C426" s="0" t="s">
        <v>220</v>
      </c>
      <c r="D426" s="0" t="s">
        <v>61</v>
      </c>
    </row>
    <row r="427" customFormat="false" ht="14.4" hidden="true" customHeight="false" outlineLevel="0" collapsed="false">
      <c r="B427" s="41" t="s">
        <v>221</v>
      </c>
      <c r="C427" s="0" t="s">
        <v>222</v>
      </c>
      <c r="D427" s="0" t="s">
        <v>61</v>
      </c>
    </row>
    <row r="428" customFormat="false" ht="14.4" hidden="true" customHeight="false" outlineLevel="0" collapsed="false">
      <c r="B428" s="41" t="s">
        <v>223</v>
      </c>
      <c r="C428" s="0" t="s">
        <v>224</v>
      </c>
      <c r="D428" s="0" t="s">
        <v>61</v>
      </c>
    </row>
    <row r="429" customFormat="false" ht="14.4" hidden="true" customHeight="false" outlineLevel="0" collapsed="false">
      <c r="B429" s="41" t="s">
        <v>63</v>
      </c>
      <c r="C429" s="0" t="s">
        <v>225</v>
      </c>
      <c r="D429" s="0" t="s">
        <v>61</v>
      </c>
    </row>
    <row r="430" customFormat="false" ht="14.4" hidden="true" customHeight="false" outlineLevel="0" collapsed="false">
      <c r="B430" s="41" t="s">
        <v>226</v>
      </c>
      <c r="C430" s="0" t="s">
        <v>227</v>
      </c>
      <c r="D430" s="0" t="s">
        <v>61</v>
      </c>
    </row>
    <row r="431" customFormat="false" ht="14.4" hidden="true" customHeight="false" outlineLevel="0" collapsed="false">
      <c r="B431" s="41" t="s">
        <v>228</v>
      </c>
      <c r="C431" s="0" t="s">
        <v>229</v>
      </c>
      <c r="D431" s="0" t="s">
        <v>61</v>
      </c>
    </row>
    <row r="432" customFormat="false" ht="14.4" hidden="true" customHeight="false" outlineLevel="0" collapsed="false">
      <c r="B432" s="41" t="s">
        <v>230</v>
      </c>
      <c r="C432" s="0" t="s">
        <v>231</v>
      </c>
      <c r="D432" s="0" t="s">
        <v>61</v>
      </c>
    </row>
    <row r="433" customFormat="false" ht="14.4" hidden="true" customHeight="false" outlineLevel="0" collapsed="false">
      <c r="B433" s="41" t="s">
        <v>132</v>
      </c>
      <c r="C433" s="0" t="s">
        <v>133</v>
      </c>
      <c r="D433" s="0" t="s">
        <v>131</v>
      </c>
    </row>
    <row r="434" customFormat="false" ht="14.4" hidden="true" customHeight="false" outlineLevel="0" collapsed="false">
      <c r="B434" s="41" t="s">
        <v>134</v>
      </c>
      <c r="C434" s="0" t="s">
        <v>135</v>
      </c>
      <c r="D434" s="0" t="s">
        <v>131</v>
      </c>
    </row>
    <row r="435" customFormat="false" ht="14.4" hidden="true" customHeight="false" outlineLevel="0" collapsed="false">
      <c r="B435" s="41" t="s">
        <v>76</v>
      </c>
      <c r="C435" s="0" t="s">
        <v>136</v>
      </c>
      <c r="D435" s="0" t="s">
        <v>131</v>
      </c>
    </row>
    <row r="436" customFormat="false" ht="14.4" hidden="true" customHeight="false" outlineLevel="0" collapsed="false">
      <c r="B436" s="41" t="s">
        <v>137</v>
      </c>
      <c r="C436" s="0" t="s">
        <v>138</v>
      </c>
      <c r="D436" s="0" t="s">
        <v>131</v>
      </c>
    </row>
    <row r="437" customFormat="false" ht="14.4" hidden="true" customHeight="false" outlineLevel="0" collapsed="false">
      <c r="B437" s="41" t="s">
        <v>132</v>
      </c>
      <c r="C437" s="0" t="s">
        <v>133</v>
      </c>
      <c r="D437" s="0" t="s">
        <v>312</v>
      </c>
    </row>
    <row r="438" customFormat="false" ht="14.4" hidden="true" customHeight="false" outlineLevel="0" collapsed="false">
      <c r="B438" s="41" t="s">
        <v>139</v>
      </c>
      <c r="C438" s="0" t="s">
        <v>140</v>
      </c>
      <c r="D438" s="0" t="s">
        <v>312</v>
      </c>
    </row>
    <row r="439" customFormat="false" ht="14.4" hidden="true" customHeight="false" outlineLevel="0" collapsed="false">
      <c r="B439" s="41" t="s">
        <v>134</v>
      </c>
      <c r="C439" s="0" t="s">
        <v>135</v>
      </c>
      <c r="D439" s="0" t="s">
        <v>312</v>
      </c>
    </row>
    <row r="440" customFormat="false" ht="14.4" hidden="true" customHeight="false" outlineLevel="0" collapsed="false">
      <c r="B440" s="41" t="s">
        <v>141</v>
      </c>
      <c r="C440" s="0" t="s">
        <v>142</v>
      </c>
      <c r="D440" s="0" t="s">
        <v>312</v>
      </c>
    </row>
    <row r="441" customFormat="false" ht="14.4" hidden="true" customHeight="false" outlineLevel="0" collapsed="false">
      <c r="B441" s="41" t="s">
        <v>76</v>
      </c>
      <c r="C441" s="0" t="s">
        <v>136</v>
      </c>
      <c r="D441" s="0" t="s">
        <v>312</v>
      </c>
    </row>
    <row r="442" customFormat="false" ht="14.4" hidden="true" customHeight="false" outlineLevel="0" collapsed="false">
      <c r="B442" s="41" t="s">
        <v>143</v>
      </c>
      <c r="C442" s="0" t="s">
        <v>144</v>
      </c>
      <c r="D442" s="0" t="s">
        <v>312</v>
      </c>
    </row>
    <row r="443" customFormat="false" ht="14.4" hidden="true" customHeight="false" outlineLevel="0" collapsed="false">
      <c r="B443" s="41" t="s">
        <v>137</v>
      </c>
      <c r="C443" s="0" t="s">
        <v>138</v>
      </c>
      <c r="D443" s="0" t="s">
        <v>312</v>
      </c>
    </row>
    <row r="444" customFormat="false" ht="14.4" hidden="true" customHeight="false" outlineLevel="0" collapsed="false">
      <c r="B444" s="41" t="s">
        <v>54</v>
      </c>
      <c r="C444" s="0" t="s">
        <v>145</v>
      </c>
      <c r="D444" s="0" t="s">
        <v>312</v>
      </c>
    </row>
    <row r="445" customFormat="false" ht="14.4" hidden="true" customHeight="false" outlineLevel="0" collapsed="false">
      <c r="B445" s="41" t="s">
        <v>146</v>
      </c>
      <c r="C445" s="0" t="s">
        <v>147</v>
      </c>
      <c r="D445" s="0" t="s">
        <v>312</v>
      </c>
    </row>
    <row r="446" customFormat="false" ht="14.4" hidden="true" customHeight="false" outlineLevel="0" collapsed="false">
      <c r="B446" s="41" t="s">
        <v>139</v>
      </c>
      <c r="C446" s="0" t="s">
        <v>140</v>
      </c>
      <c r="D446" s="104" t="s">
        <v>53</v>
      </c>
    </row>
    <row r="447" customFormat="false" ht="14.4" hidden="true" customHeight="false" outlineLevel="0" collapsed="false">
      <c r="B447" s="41" t="s">
        <v>141</v>
      </c>
      <c r="C447" s="0" t="s">
        <v>142</v>
      </c>
      <c r="D447" s="104" t="s">
        <v>53</v>
      </c>
    </row>
    <row r="448" customFormat="false" ht="14.4" hidden="true" customHeight="false" outlineLevel="0" collapsed="false">
      <c r="B448" s="41" t="s">
        <v>143</v>
      </c>
      <c r="C448" s="0" t="s">
        <v>144</v>
      </c>
      <c r="D448" s="104" t="s">
        <v>53</v>
      </c>
    </row>
    <row r="449" customFormat="false" ht="14.4" hidden="true" customHeight="false" outlineLevel="0" collapsed="false">
      <c r="B449" s="41" t="s">
        <v>54</v>
      </c>
      <c r="C449" s="0" t="s">
        <v>145</v>
      </c>
      <c r="D449" s="104" t="s">
        <v>53</v>
      </c>
    </row>
    <row r="450" customFormat="false" ht="14.4" hidden="true" customHeight="false" outlineLevel="0" collapsed="false">
      <c r="B450" s="41" t="s">
        <v>146</v>
      </c>
      <c r="C450" s="0" t="s">
        <v>147</v>
      </c>
      <c r="D450" s="104" t="s">
        <v>53</v>
      </c>
    </row>
    <row r="451" customFormat="false" ht="14.4" hidden="true" customHeight="false" outlineLevel="0" collapsed="false">
      <c r="B451" s="41" t="s">
        <v>148</v>
      </c>
      <c r="C451" s="0" t="s">
        <v>149</v>
      </c>
      <c r="D451" s="0" t="s">
        <v>85</v>
      </c>
    </row>
    <row r="452" customFormat="false" ht="14.4" hidden="true" customHeight="false" outlineLevel="0" collapsed="false">
      <c r="B452" s="41" t="s">
        <v>150</v>
      </c>
      <c r="C452" s="0" t="s">
        <v>151</v>
      </c>
      <c r="D452" s="0" t="s">
        <v>85</v>
      </c>
    </row>
    <row r="453" customFormat="false" ht="14.4" hidden="true" customHeight="false" outlineLevel="0" collapsed="false">
      <c r="B453" s="41" t="s">
        <v>86</v>
      </c>
      <c r="C453" s="0" t="s">
        <v>152</v>
      </c>
      <c r="D453" s="0" t="s">
        <v>85</v>
      </c>
    </row>
    <row r="454" customFormat="false" ht="14.4" hidden="true" customHeight="false" outlineLevel="0" collapsed="false">
      <c r="B454" s="41" t="s">
        <v>153</v>
      </c>
      <c r="C454" s="0" t="s">
        <v>154</v>
      </c>
      <c r="D454" s="0" t="s">
        <v>85</v>
      </c>
    </row>
    <row r="455" customFormat="false" ht="14.4" hidden="true" customHeight="false" outlineLevel="0" collapsed="false">
      <c r="B455" s="41" t="s">
        <v>156</v>
      </c>
      <c r="C455" s="0" t="s">
        <v>157</v>
      </c>
      <c r="D455" s="0" t="s">
        <v>68</v>
      </c>
    </row>
    <row r="456" customFormat="false" ht="14.4" hidden="true" customHeight="false" outlineLevel="0" collapsed="false">
      <c r="B456" s="41" t="s">
        <v>171</v>
      </c>
      <c r="C456" s="0" t="s">
        <v>172</v>
      </c>
      <c r="D456" s="0" t="s">
        <v>68</v>
      </c>
    </row>
    <row r="457" customFormat="false" ht="14.4" hidden="true" customHeight="false" outlineLevel="0" collapsed="false">
      <c r="B457" s="41" t="s">
        <v>46</v>
      </c>
      <c r="C457" s="0" t="s">
        <v>158</v>
      </c>
      <c r="D457" s="0" t="s">
        <v>68</v>
      </c>
    </row>
    <row r="458" customFormat="false" ht="14.4" hidden="true" customHeight="false" outlineLevel="0" collapsed="false">
      <c r="B458" s="41" t="s">
        <v>173</v>
      </c>
      <c r="C458" s="0" t="s">
        <v>174</v>
      </c>
      <c r="D458" s="0" t="s">
        <v>68</v>
      </c>
    </row>
    <row r="459" customFormat="false" ht="14.4" hidden="true" customHeight="false" outlineLevel="0" collapsed="false">
      <c r="B459" s="41" t="s">
        <v>159</v>
      </c>
      <c r="C459" s="0" t="s">
        <v>160</v>
      </c>
      <c r="D459" s="0" t="s">
        <v>68</v>
      </c>
    </row>
    <row r="460" customFormat="false" ht="14.4" hidden="true" customHeight="false" outlineLevel="0" collapsed="false">
      <c r="B460" s="41" t="s">
        <v>175</v>
      </c>
      <c r="C460" s="0" t="s">
        <v>176</v>
      </c>
      <c r="D460" s="0" t="s">
        <v>68</v>
      </c>
    </row>
    <row r="461" customFormat="false" ht="14.4" hidden="true" customHeight="false" outlineLevel="0" collapsed="false">
      <c r="B461" s="41" t="s">
        <v>161</v>
      </c>
      <c r="C461" s="0" t="s">
        <v>162</v>
      </c>
      <c r="D461" s="0" t="s">
        <v>68</v>
      </c>
    </row>
    <row r="462" customFormat="false" ht="14.4" hidden="true" customHeight="false" outlineLevel="0" collapsed="false">
      <c r="B462" s="41" t="s">
        <v>177</v>
      </c>
      <c r="C462" s="0" t="s">
        <v>178</v>
      </c>
      <c r="D462" s="0" t="s">
        <v>68</v>
      </c>
    </row>
    <row r="463" customFormat="false" ht="14.4" hidden="true" customHeight="false" outlineLevel="0" collapsed="false">
      <c r="B463" s="41" t="s">
        <v>163</v>
      </c>
      <c r="C463" s="0" t="s">
        <v>164</v>
      </c>
      <c r="D463" s="0" t="s">
        <v>68</v>
      </c>
    </row>
    <row r="464" customFormat="false" ht="14.4" hidden="true" customHeight="false" outlineLevel="0" collapsed="false">
      <c r="B464" s="41" t="s">
        <v>179</v>
      </c>
      <c r="C464" s="0" t="s">
        <v>180</v>
      </c>
      <c r="D464" s="0" t="s">
        <v>68</v>
      </c>
    </row>
    <row r="465" customFormat="false" ht="14.4" hidden="true" customHeight="false" outlineLevel="0" collapsed="false">
      <c r="B465" s="41" t="s">
        <v>69</v>
      </c>
      <c r="C465" s="0" t="s">
        <v>165</v>
      </c>
      <c r="D465" s="0" t="s">
        <v>68</v>
      </c>
    </row>
    <row r="466" customFormat="false" ht="14.4" hidden="true" customHeight="false" outlineLevel="0" collapsed="false">
      <c r="B466" s="41" t="s">
        <v>166</v>
      </c>
      <c r="C466" s="0" t="s">
        <v>167</v>
      </c>
      <c r="D466" s="0" t="s">
        <v>68</v>
      </c>
    </row>
    <row r="467" customFormat="false" ht="14.4" hidden="true" customHeight="false" outlineLevel="0" collapsed="false">
      <c r="B467" s="41" t="s">
        <v>168</v>
      </c>
      <c r="C467" s="0" t="s">
        <v>169</v>
      </c>
      <c r="D467" s="0" t="s">
        <v>68</v>
      </c>
    </row>
    <row r="468" customFormat="false" ht="14.4" hidden="true" customHeight="false" outlineLevel="0" collapsed="false">
      <c r="B468" s="41" t="s">
        <v>198</v>
      </c>
      <c r="C468" s="0" t="s">
        <v>199</v>
      </c>
      <c r="D468" s="0" t="s">
        <v>197</v>
      </c>
    </row>
    <row r="469" customFormat="false" ht="14.4" hidden="true" customHeight="false" outlineLevel="0" collapsed="false">
      <c r="B469" s="41" t="s">
        <v>200</v>
      </c>
      <c r="C469" s="0" t="s">
        <v>201</v>
      </c>
      <c r="D469" s="0" t="s">
        <v>197</v>
      </c>
    </row>
    <row r="470" customFormat="false" ht="14.4" hidden="true" customHeight="false" outlineLevel="0" collapsed="false">
      <c r="B470" s="41" t="s">
        <v>202</v>
      </c>
      <c r="C470" s="0" t="s">
        <v>203</v>
      </c>
      <c r="D470" s="0" t="s">
        <v>197</v>
      </c>
    </row>
    <row r="471" customFormat="false" ht="14.4" hidden="true" customHeight="false" outlineLevel="0" collapsed="false">
      <c r="B471" s="41" t="s">
        <v>204</v>
      </c>
      <c r="C471" s="0" t="s">
        <v>205</v>
      </c>
      <c r="D471" s="0" t="s">
        <v>197</v>
      </c>
    </row>
    <row r="472" customFormat="false" ht="14.4" hidden="true" customHeight="false" outlineLevel="0" collapsed="false">
      <c r="B472" s="41" t="s">
        <v>206</v>
      </c>
      <c r="C472" s="0" t="s">
        <v>207</v>
      </c>
      <c r="D472" s="0" t="s">
        <v>197</v>
      </c>
    </row>
    <row r="473" customFormat="false" ht="14.4" hidden="true" customHeight="false" outlineLevel="0" collapsed="false">
      <c r="B473" s="99" t="s">
        <v>208</v>
      </c>
      <c r="C473" s="0" t="s">
        <v>209</v>
      </c>
      <c r="D473" s="0" t="s">
        <v>197</v>
      </c>
    </row>
    <row r="474" customFormat="false" ht="14.4" hidden="true" customHeight="false" outlineLevel="0" collapsed="false">
      <c r="B474" s="99" t="s">
        <v>210</v>
      </c>
      <c r="C474" s="0" t="s">
        <v>211</v>
      </c>
      <c r="D474" s="0" t="s">
        <v>197</v>
      </c>
    </row>
    <row r="475" customFormat="false" ht="14.4" hidden="true" customHeight="false" outlineLevel="0" collapsed="false">
      <c r="B475" s="41" t="s">
        <v>52</v>
      </c>
      <c r="C475" s="0" t="s">
        <v>212</v>
      </c>
      <c r="D475" s="0" t="s">
        <v>197</v>
      </c>
    </row>
    <row r="476" customFormat="false" ht="14.4" hidden="true" customHeight="false" outlineLevel="0" collapsed="false">
      <c r="B476" s="99" t="s">
        <v>213</v>
      </c>
      <c r="C476" s="0" t="s">
        <v>214</v>
      </c>
      <c r="D476" s="0" t="s">
        <v>197</v>
      </c>
    </row>
    <row r="477" customFormat="false" ht="14.4" hidden="true" customHeight="false" outlineLevel="0" collapsed="false">
      <c r="B477" s="99" t="s">
        <v>74</v>
      </c>
      <c r="C477" s="0" t="s">
        <v>215</v>
      </c>
      <c r="D477" s="0" t="s">
        <v>197</v>
      </c>
    </row>
    <row r="478" customFormat="false" ht="14.4" hidden="true" customHeight="false" outlineLevel="0" collapsed="false">
      <c r="B478" s="41" t="s">
        <v>216</v>
      </c>
      <c r="C478" s="0" t="s">
        <v>217</v>
      </c>
      <c r="D478" s="0" t="s">
        <v>197</v>
      </c>
    </row>
    <row r="479" customFormat="false" ht="14.4" hidden="true" customHeight="false" outlineLevel="0" collapsed="false">
      <c r="B479" s="99" t="s">
        <v>218</v>
      </c>
      <c r="C479" s="0" t="s">
        <v>219</v>
      </c>
      <c r="D479" s="0" t="s">
        <v>197</v>
      </c>
    </row>
    <row r="480" customFormat="false" ht="14.4" hidden="true" customHeight="false" outlineLevel="0" collapsed="false">
      <c r="B480" s="41" t="s">
        <v>171</v>
      </c>
      <c r="C480" s="0" t="s">
        <v>172</v>
      </c>
      <c r="D480" s="0" t="s">
        <v>170</v>
      </c>
    </row>
    <row r="481" customFormat="false" ht="14.4" hidden="true" customHeight="false" outlineLevel="0" collapsed="false">
      <c r="B481" s="41" t="s">
        <v>173</v>
      </c>
      <c r="C481" s="0" t="s">
        <v>174</v>
      </c>
      <c r="D481" s="0" t="s">
        <v>170</v>
      </c>
    </row>
    <row r="482" customFormat="false" ht="14.4" hidden="true" customHeight="false" outlineLevel="0" collapsed="false">
      <c r="B482" s="41" t="s">
        <v>175</v>
      </c>
      <c r="C482" s="0" t="s">
        <v>176</v>
      </c>
      <c r="D482" s="0" t="s">
        <v>170</v>
      </c>
    </row>
    <row r="483" customFormat="false" ht="14.4" hidden="true" customHeight="false" outlineLevel="0" collapsed="false">
      <c r="B483" s="41" t="s">
        <v>177</v>
      </c>
      <c r="C483" s="0" t="s">
        <v>178</v>
      </c>
      <c r="D483" s="0" t="s">
        <v>170</v>
      </c>
    </row>
    <row r="484" customFormat="false" ht="14.4" hidden="true" customHeight="false" outlineLevel="0" collapsed="false">
      <c r="B484" s="41" t="s">
        <v>179</v>
      </c>
      <c r="C484" s="0" t="s">
        <v>180</v>
      </c>
      <c r="D484" s="0" t="s">
        <v>170</v>
      </c>
    </row>
  </sheetData>
  <mergeCells count="20">
    <mergeCell ref="H8:M8"/>
    <mergeCell ref="N8:S8"/>
    <mergeCell ref="T8:Y8"/>
    <mergeCell ref="Z8:AE8"/>
    <mergeCell ref="AF8:AI8"/>
    <mergeCell ref="H19:M19"/>
    <mergeCell ref="N19:S19"/>
    <mergeCell ref="T19:Y19"/>
    <mergeCell ref="Z19:AE19"/>
    <mergeCell ref="AF19:AI19"/>
    <mergeCell ref="H29:M29"/>
    <mergeCell ref="N29:S29"/>
    <mergeCell ref="T29:Y29"/>
    <mergeCell ref="Z29:AE29"/>
    <mergeCell ref="AF29:AI29"/>
    <mergeCell ref="H40:M40"/>
    <mergeCell ref="N40:S40"/>
    <mergeCell ref="T40:Y40"/>
    <mergeCell ref="Z40:AE40"/>
    <mergeCell ref="AF40:AI40"/>
  </mergeCells>
  <dataValidations count="2">
    <dataValidation allowBlank="true" operator="between" showDropDown="false" showErrorMessage="true" showInputMessage="true" sqref="S11:T18 Y11:Y18 AE11:AE18 S22:T28 Y22:Y28 AE22:AE28 M32:M39 S32:T39 Y32:Y39 M43:M49 S43:T49 Y43:Y49" type="list">
      <formula1>$C$70:$C$72</formula1>
      <formula2>0</formula2>
    </dataValidation>
    <dataValidation allowBlank="true" operator="between" showDropDown="false" showErrorMessage="true" showInputMessage="true" sqref="C11:C18 C22:C28 C32:C39 C43:C49" type="list">
      <formula1>INDIRECT(D32)</formula1>
      <formula2>0</formula2>
    </dataValidation>
  </dataValidations>
  <hyperlinks>
    <hyperlink ref="B78" r:id="rId1" display="Machine Crunch"/>
    <hyperlink ref="B79" r:id="rId2" display="Slant Board Sit-Up"/>
    <hyperlink ref="B80" r:id="rId3" display="Reaching Sit-Up"/>
    <hyperlink ref="B81" r:id="rId4" display="V-Up"/>
    <hyperlink ref="B82" r:id="rId5" display="Modified Candlestick"/>
    <hyperlink ref="C82" r:id="rId6" display="https://youtu.be/sPIBL43Ds48"/>
    <hyperlink ref="B83" r:id="rId7" display="Hanging Knee Raise"/>
    <hyperlink ref="B84" r:id="rId8" display="Hanging Strait Leg Raise"/>
    <hyperlink ref="B87" r:id="rId9" display="Calves on Calf Machine"/>
    <hyperlink ref="B88" r:id="rId10" display="Stair Calves"/>
    <hyperlink ref="B89" r:id="rId11" display="Calves on Leg Press"/>
    <hyperlink ref="B90" r:id="rId12" display="Smith Machine Calves"/>
    <hyperlink ref="B93" r:id="rId13" display="Barbell Curl"/>
    <hyperlink ref="B94" r:id="rId14" display="EZ Curl "/>
    <hyperlink ref="B95" r:id="rId15" display="Close Grip Barbell Curl"/>
    <hyperlink ref="B96" r:id="rId16" display="2-Arm Dumbbell Curl"/>
    <hyperlink ref="B97" r:id="rId17" display="Cable Curl"/>
    <hyperlink ref="B98" r:id="rId18" display="Incline Dumbbell Curl"/>
    <hyperlink ref="B99" r:id="rId19" display="Dummbell Twist Curl"/>
    <hyperlink ref="B100" r:id="rId20" display="Hammer Curl"/>
    <hyperlink ref="B101" r:id="rId21" display="Dumbbell Spider Curl"/>
    <hyperlink ref="C101" r:id="rId22" display="https://youtu.be/y_GK6fn7raU"/>
    <hyperlink ref="B102" r:id="rId23" display="Alternating Dumbbell Curl"/>
    <hyperlink ref="B103" r:id="rId24" display="Cable Rope Twist Curl"/>
    <hyperlink ref="B106" r:id="rId25" display="Barbell Facepull"/>
    <hyperlink ref="B107" r:id="rId26" display="Dumbbell Facepull"/>
    <hyperlink ref="B108" r:id="rId27" display="Cable Facepull"/>
    <hyperlink ref="B109" r:id="rId28" display="Dumbbell Rear Lateral Raise"/>
    <hyperlink ref="B112" r:id="rId29" display="Barbell Upright Row"/>
    <hyperlink ref="B113" r:id="rId30" display="Dumbbell Upright Row"/>
    <hyperlink ref="B114" r:id="rId31" display="Cable Upright Row"/>
    <hyperlink ref="B115" r:id="rId32" display="Dumbbell Side Lateral Raise"/>
    <hyperlink ref="B116" r:id="rId33" display="Thumbs Down Lateral Raise"/>
    <hyperlink ref="B119" r:id="rId34" display="Barbell Shrug"/>
    <hyperlink ref="B120" r:id="rId35" display="Barbell Bent Over Shrug"/>
    <hyperlink ref="B121" r:id="rId36" display="Dumbbell Shrug"/>
    <hyperlink ref="B122" r:id="rId37" display="Dumbbell Bent Over Shrug"/>
    <hyperlink ref="B125" r:id="rId38" display="Skullcrusher"/>
    <hyperlink ref="B126" r:id="rId39" display="JM Press"/>
    <hyperlink ref="B127" r:id="rId40" display="Dips"/>
    <hyperlink ref="B128" r:id="rId41" display="Assisted Dips"/>
    <hyperlink ref="B129" r:id="rId42" display="Dumbbell Skullcrusher"/>
    <hyperlink ref="B130" r:id="rId43" display="Cable Tricep Pushdown"/>
    <hyperlink ref="B131" r:id="rId44" display="Cable Rope Pushdown"/>
    <hyperlink ref="B132" r:id="rId45" display="Bar Skull"/>
    <hyperlink ref="B135" r:id="rId46" display="EZ Bar Overhead Tricep Extension"/>
    <hyperlink ref="B136" r:id="rId47" display="Barbell Overhead Tricep Extension"/>
    <hyperlink ref="B137" r:id="rId48" display="Seated EZ Bar Overhead Tricep Extension"/>
    <hyperlink ref="B138" r:id="rId49" display="Seated Barbell Overhead Tricep Extension"/>
    <hyperlink ref="B139" r:id="rId50" display="Cable Overhead Tricep Extension"/>
    <hyperlink ref="B142" r:id="rId51" display="Barbell Bent Over Row"/>
    <hyperlink ref="B143" r:id="rId52" display="Underhand EZ Bar Row"/>
    <hyperlink ref="B144" r:id="rId53" display="Row to Chest"/>
    <hyperlink ref="B145" r:id="rId54" display="1-Arm Dumbbell Row"/>
    <hyperlink ref="B146" r:id="rId55" display="Chest Supported Row"/>
    <hyperlink ref="B147" r:id="rId56" display="Row Machine"/>
    <hyperlink ref="B148" r:id="rId57" display="2-Arm Dumbbell Row"/>
    <hyperlink ref="B149" r:id="rId58" display="Cable Row"/>
    <hyperlink ref="B152" r:id="rId59" display="Overhand Pullup"/>
    <hyperlink ref="B153" r:id="rId60" display="Parallel Pullup"/>
    <hyperlink ref="B154" r:id="rId61" display="Underhand Pullup"/>
    <hyperlink ref="B155" r:id="rId62" display="Wide Grip Pullup"/>
    <hyperlink ref="B156" r:id="rId63" display="Assisted Overhand Pullup"/>
    <hyperlink ref="B157" r:id="rId64" display="Assisted Parallel Pullup"/>
    <hyperlink ref="C157" r:id="rId65" display="https://youtu.be/UNo4yBbidG4"/>
    <hyperlink ref="B158" r:id="rId66" display="Assisted Underhand Pullup"/>
    <hyperlink ref="C158" r:id="rId67" display="https://youtu.be/2PC8eYTte5w"/>
    <hyperlink ref="B159" r:id="rId68" display="Normal Grip Pulldown"/>
    <hyperlink ref="B160" r:id="rId69" display="Parallel Pulldown"/>
    <hyperlink ref="C160" r:id="rId70" display="https://youtu.be/uMjeHo2_EwM"/>
    <hyperlink ref="B161" r:id="rId71" display="Underhand Pulldown"/>
    <hyperlink ref="C161" r:id="rId72" display="https://youtu.be/bxfHw1LvH24"/>
    <hyperlink ref="B162" r:id="rId73" display="Wide-Grip Pulldown"/>
    <hyperlink ref="B163" r:id="rId74" display="Narrow Grip Pulldown"/>
    <hyperlink ref="C163" r:id="rId75" display="https://youtu.be/QzjjwxZOVdE"/>
    <hyperlink ref="B166" r:id="rId76" display="High Bar Squat"/>
    <hyperlink ref="B167" r:id="rId77" display="Close Stance Feet Forward Squats"/>
    <hyperlink ref="B168" r:id="rId78" display="Machine Feet Forward Squat"/>
    <hyperlink ref="B169" r:id="rId79" display="Leg Press"/>
    <hyperlink ref="B170" r:id="rId80" display="Hack Squat"/>
    <hyperlink ref="B171" r:id="rId81" display="Front Squat "/>
    <hyperlink ref="B172" r:id="rId82" display="Front Squat (Alernate Grip)"/>
    <hyperlink ref="B175" r:id="rId83" display="Barbell Walking Lunge"/>
    <hyperlink ref="B176" r:id="rId84" display="Dumbbell Walking Lunge"/>
    <hyperlink ref="B177" r:id="rId85" display="Sumo Squat"/>
    <hyperlink ref="B178" r:id="rId86" display="Deficit Deadlift "/>
    <hyperlink ref="B179" r:id="rId87" display="25's Deadlift"/>
    <hyperlink ref="B180" r:id="rId88" display="Sumo Deadlift"/>
    <hyperlink ref="B181" r:id="rId89" display="Deadlift"/>
    <hyperlink ref="B182" r:id="rId90" display="Hex Bar Deadlift"/>
    <hyperlink ref="B185" r:id="rId91" display="Stiff-Legged Deadlift"/>
    <hyperlink ref="B186" r:id="rId92" display="Low Bar Good Morning"/>
    <hyperlink ref="B187" r:id="rId93" display="High Bar Good Morning"/>
    <hyperlink ref="B188" r:id="rId94" display="45 Degree Back Raise"/>
    <hyperlink ref="B191" r:id="rId95" display="Lying Leg Curl"/>
    <hyperlink ref="B192" r:id="rId96" display="Seated Leg Curl"/>
    <hyperlink ref="B193" r:id="rId97" display="Single-Leg Leg Curl"/>
    <hyperlink ref="B196" r:id="rId98" display="Flat Dumbbell Flye"/>
    <hyperlink ref="B197" r:id="rId99" display="Incline Dumbbell Flye"/>
    <hyperlink ref="B198" r:id="rId100" display="Cable Flye"/>
    <hyperlink ref="B199" r:id="rId101" display="High Cable Flye"/>
    <hyperlink ref="B200" r:id="rId102" display="Machine Chest Flye"/>
    <hyperlink ref="B201" r:id="rId103" display="Cable Incline Flye"/>
    <hyperlink ref="B202" r:id="rId104" display="Pec Dec Flye"/>
    <hyperlink ref="B205" r:id="rId105" display="Medium Grip Bench Press"/>
    <hyperlink ref="B206" r:id="rId106" display="Wide Grip Bench Press"/>
    <hyperlink ref="B207" r:id="rId107" display="Flat Dumbbell Bench Press"/>
    <hyperlink ref="B208" r:id="rId108" display="Close Grip Bench Press"/>
    <hyperlink ref="B209" r:id="rId109" display="Flat Machine Bench Press"/>
    <hyperlink ref="B210" r:id="rId110" display="Pushup"/>
    <hyperlink ref="B211" r:id="rId111" display="Close Grip Pushup"/>
    <hyperlink ref="B214" r:id="rId112" display="Incline Medium Grip Bench Press"/>
    <hyperlink ref="C214" r:id="rId113" display="https://youtu.be/zWRCV_td3I8"/>
    <hyperlink ref="B215" r:id="rId114" display="Incline Wide Grip Bench Press"/>
    <hyperlink ref="B216" r:id="rId115" display="Low Incline Dumbbell Press"/>
    <hyperlink ref="B217" r:id="rId116" display="Incline Dumbbell Press"/>
    <hyperlink ref="B218" r:id="rId117" display="Incline Close Grip Bench Press"/>
    <hyperlink ref="B219" r:id="rId118" display="Incline Machine Bench Press"/>
    <hyperlink ref="B222" r:id="rId119" display="Standing Barbell Shoulder Press"/>
    <hyperlink ref="B223" r:id="rId120" display="Seated Barbell Shoulder Press"/>
    <hyperlink ref="B224" r:id="rId121" display="Seated Dumbbell Shoulder Press"/>
    <hyperlink ref="B225" r:id="rId122" display="High Incline Dumbbell Press"/>
    <hyperlink ref="B226" r:id="rId123" display="Shoulder Press Machine"/>
    <hyperlink ref="B227" r:id="rId124" display="Standing Dumbbell Shoulder Press"/>
    <hyperlink ref="B231" r:id="rId125" display="Skullcrusher"/>
    <hyperlink ref="B232" r:id="rId126" display="EZ Bar Overhead Tricep Extension"/>
    <hyperlink ref="B233" r:id="rId127" display="JM Press"/>
    <hyperlink ref="B234" r:id="rId128" display="Barbell Overhead Tricep Extension"/>
    <hyperlink ref="B235" r:id="rId129" display="Dips"/>
    <hyperlink ref="B236" r:id="rId130" display="Seated EZ Bar Overhead Tricep Extension"/>
    <hyperlink ref="B237" r:id="rId131" display="Assisted Dips"/>
    <hyperlink ref="B238" r:id="rId132" display="Seated Barbell Overhead Tricep Extension"/>
    <hyperlink ref="B239" r:id="rId133" display="Dumbbell Skullcrusher"/>
    <hyperlink ref="B240" r:id="rId134" display="Cable Overhead Tricep Extension"/>
    <hyperlink ref="B241" r:id="rId135" display="Cable Tricep Pushdown"/>
    <hyperlink ref="B242" r:id="rId136" display="Cable Rope Pushdown"/>
    <hyperlink ref="B243" r:id="rId137" display="Bar Skull"/>
    <hyperlink ref="B245" r:id="rId138" display="Incline Medium Grip Bench Press"/>
    <hyperlink ref="C245" r:id="rId139" display="https://youtu.be/zWRCV_td3I8"/>
    <hyperlink ref="B246" r:id="rId140" display="Standing Barbell Shoulder Press"/>
    <hyperlink ref="B247" r:id="rId141" display="Incline Wide Grip Bench Press"/>
    <hyperlink ref="B248" r:id="rId142" display="Seated Barbell Shoulder Press"/>
    <hyperlink ref="B249" r:id="rId143" display="Low Incline Dumbbell Press"/>
    <hyperlink ref="B250" r:id="rId144" display="Seated Dumbbell Shoulder Press"/>
    <hyperlink ref="B251" r:id="rId145" display="Incline Dumbbell Press"/>
    <hyperlink ref="B252" r:id="rId146" display="High Incline Dumbbell Press"/>
    <hyperlink ref="B253" r:id="rId147" display="Incline Close Grip Bench Press"/>
    <hyperlink ref="B254" r:id="rId148" display="Shoulder Press Machine"/>
    <hyperlink ref="B255" r:id="rId149" display="Incline Machine Bench Press"/>
    <hyperlink ref="B256" r:id="rId150" display="Standing Dumbbell Shoulder Press"/>
    <hyperlink ref="B258" r:id="rId151" display="Flat Dumbbell Flye"/>
    <hyperlink ref="B259" r:id="rId152" display="Skullcrusher"/>
    <hyperlink ref="B260" r:id="rId153" display="Incline Dumbbell Flye"/>
    <hyperlink ref="B261" r:id="rId154" display="EZ Bar Overhead Tricep Extension"/>
    <hyperlink ref="B262" r:id="rId155" display="Cable Flye"/>
    <hyperlink ref="B263" r:id="rId156" display="JM Press"/>
    <hyperlink ref="B264" r:id="rId157" display="High Cable Flye"/>
    <hyperlink ref="B265" r:id="rId158" display="Barbell Overhead Tricep Extension"/>
    <hyperlink ref="B266" r:id="rId159" display="Machine Chest Flye"/>
    <hyperlink ref="B267" r:id="rId160" display="Dips"/>
    <hyperlink ref="B268" r:id="rId161" display="Cable Incline Flye"/>
    <hyperlink ref="B269" r:id="rId162" display="Seated EZ Bar Overhead Tricep Extension"/>
    <hyperlink ref="B270" r:id="rId163" display="Pec Dec Flye"/>
    <hyperlink ref="B271" r:id="rId164" display="Assisted Dips"/>
    <hyperlink ref="B272" r:id="rId165" display="Seated Barbell Overhead Tricep Extension"/>
    <hyperlink ref="B273" r:id="rId166" display="Dumbbell Skullcrusher"/>
    <hyperlink ref="B274" r:id="rId167" display="Cable Overhead Tricep Extension"/>
    <hyperlink ref="B275" r:id="rId168" display="Cable Tricep Pushdown"/>
    <hyperlink ref="B276" r:id="rId169" display="Cable Rope Pushdown"/>
    <hyperlink ref="B277" r:id="rId170" display="Bar Skull"/>
    <hyperlink ref="B280" r:id="rId171" display="Barbell Facepull"/>
    <hyperlink ref="B281" r:id="rId172" display="Barbell Upright Row"/>
    <hyperlink ref="B282" r:id="rId173" display="Dumbbell Facepull"/>
    <hyperlink ref="B283" r:id="rId174" display="Dumbbell Upright Row"/>
    <hyperlink ref="B284" r:id="rId175" display="Cable Facepull"/>
    <hyperlink ref="B285" r:id="rId176" display="Cable Upright Row"/>
    <hyperlink ref="B286" r:id="rId177" display="Dumbbell Rear Lateral Raise"/>
    <hyperlink ref="B287" r:id="rId178" display="Dumbbell Side Lateral Raise"/>
    <hyperlink ref="B288" r:id="rId179" display="Thumbs Down Lateral Rais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80"/>
  <tableParts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B4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4.4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35.89"/>
    <col collapsed="false" customWidth="true" hidden="false" outlineLevel="0" max="3" min="3" style="0" width="38.89"/>
    <col collapsed="false" customWidth="true" hidden="true" outlineLevel="0" max="4" min="4" style="0" width="36"/>
    <col collapsed="false" customWidth="true" hidden="true" outlineLevel="0" max="5" min="5" style="0" width="32.11"/>
    <col collapsed="false" customWidth="true" hidden="false" outlineLevel="0" max="6" min="6" style="0" width="25.33"/>
    <col collapsed="false" customWidth="true" hidden="false" outlineLevel="0" max="7" min="7" style="0" width="18.44"/>
    <col collapsed="false" customWidth="true" hidden="false" outlineLevel="0" max="8" min="8" style="0" width="36.11"/>
    <col collapsed="false" customWidth="true" hidden="false" outlineLevel="0" max="9" min="9" style="0" width="10"/>
    <col collapsed="false" customWidth="true" hidden="false" outlineLevel="0" max="10" min="10" style="0" width="7.56"/>
    <col collapsed="false" customWidth="true" hidden="false" outlineLevel="0" max="11" min="11" style="0" width="9"/>
    <col collapsed="false" customWidth="true" hidden="false" outlineLevel="0" max="12" min="12" style="0" width="11.33"/>
    <col collapsed="false" customWidth="true" hidden="false" outlineLevel="0" max="13" min="13" style="0" width="7.56"/>
    <col collapsed="false" customWidth="true" hidden="false" outlineLevel="0" max="14" min="14" style="0" width="51.11"/>
    <col collapsed="false" customWidth="true" hidden="false" outlineLevel="0" max="15" min="15" style="0" width="4.66"/>
    <col collapsed="false" customWidth="true" hidden="false" outlineLevel="0" max="16" min="16" style="0" width="7.56"/>
    <col collapsed="false" customWidth="true" hidden="false" outlineLevel="0" max="17" min="17" style="0" width="9"/>
    <col collapsed="false" customWidth="true" hidden="false" outlineLevel="0" max="18" min="18" style="0" width="11.33"/>
    <col collapsed="false" customWidth="true" hidden="false" outlineLevel="0" max="19" min="19" style="0" width="7.56"/>
    <col collapsed="false" customWidth="true" hidden="false" outlineLevel="0" max="20" min="20" style="0" width="37.56"/>
    <col collapsed="false" customWidth="true" hidden="false" outlineLevel="0" max="21" min="21" style="0" width="4.66"/>
    <col collapsed="false" customWidth="true" hidden="false" outlineLevel="0" max="22" min="22" style="0" width="7.56"/>
    <col collapsed="false" customWidth="true" hidden="false" outlineLevel="0" max="24" min="23" style="0" width="17.67"/>
    <col collapsed="false" customWidth="true" hidden="false" outlineLevel="0" max="25" min="25" style="0" width="15.11"/>
    <col collapsed="false" customWidth="true" hidden="false" outlineLevel="0" max="26" min="26" style="0" width="17.67"/>
    <col collapsed="false" customWidth="true" hidden="false" outlineLevel="0" max="1025" min="27" style="0" width="8.67"/>
  </cols>
  <sheetData>
    <row r="1" customFormat="false" ht="18.6" hidden="false" customHeight="false" outlineLevel="0" collapsed="false">
      <c r="C1" s="1" t="s">
        <v>0</v>
      </c>
      <c r="D1" s="2"/>
      <c r="E1" s="3"/>
      <c r="F1" s="4" t="s">
        <v>1</v>
      </c>
      <c r="G1" s="5" t="s">
        <v>2</v>
      </c>
      <c r="H1" s="6" t="s">
        <v>3</v>
      </c>
      <c r="I1" s="7" t="s">
        <v>4</v>
      </c>
      <c r="J1" s="8"/>
      <c r="K1" s="8"/>
      <c r="L1" s="8"/>
      <c r="M1" s="8"/>
      <c r="N1" s="8"/>
      <c r="O1" s="8"/>
      <c r="P1" s="8"/>
      <c r="Q1" s="8"/>
      <c r="R1" s="8"/>
      <c r="S1" s="8"/>
      <c r="T1" s="10" t="s">
        <v>5</v>
      </c>
      <c r="U1" s="11"/>
      <c r="V1" s="12"/>
      <c r="W1" s="12"/>
      <c r="X1" s="12"/>
      <c r="Y1" s="173"/>
      <c r="Z1" s="174"/>
      <c r="AA1" s="174"/>
      <c r="AB1" s="174"/>
    </row>
    <row r="2" customFormat="false" ht="18.6" hidden="false" customHeight="false" outlineLevel="0" collapsed="false">
      <c r="F2" s="18" t="s">
        <v>6</v>
      </c>
      <c r="G2" s="19" t="s">
        <v>7</v>
      </c>
      <c r="H2" s="20" t="s">
        <v>8</v>
      </c>
      <c r="I2" s="110" t="s">
        <v>354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4" t="s">
        <v>10</v>
      </c>
      <c r="U2" s="25"/>
      <c r="V2" s="26"/>
      <c r="W2" s="26"/>
      <c r="X2" s="26"/>
      <c r="Y2" s="111"/>
      <c r="Z2" s="28"/>
      <c r="AA2" s="28"/>
      <c r="AB2" s="28"/>
    </row>
    <row r="3" customFormat="false" ht="18.6" hidden="false" customHeight="false" outlineLevel="0" collapsed="false">
      <c r="C3" s="0" t="s">
        <v>11</v>
      </c>
      <c r="F3" s="29" t="s">
        <v>12</v>
      </c>
      <c r="G3" s="30" t="s">
        <v>13</v>
      </c>
      <c r="H3" s="31" t="s">
        <v>14</v>
      </c>
      <c r="I3" s="110" t="s">
        <v>355</v>
      </c>
      <c r="J3" s="22"/>
      <c r="K3" s="22"/>
      <c r="L3" s="22"/>
      <c r="M3" s="22"/>
      <c r="N3" s="22"/>
      <c r="O3" s="22"/>
      <c r="P3" s="22"/>
      <c r="Q3" s="22"/>
      <c r="R3" s="22"/>
      <c r="S3" s="22"/>
      <c r="Z3" s="175"/>
      <c r="AA3" s="175"/>
    </row>
    <row r="4" customFormat="false" ht="15" hidden="false" customHeight="false" outlineLevel="0" collapsed="false">
      <c r="G4" s="0" t="s">
        <v>11</v>
      </c>
      <c r="I4" s="112" t="s">
        <v>356</v>
      </c>
      <c r="J4" s="33"/>
      <c r="K4" s="33"/>
      <c r="L4" s="33"/>
      <c r="M4" s="33"/>
      <c r="N4" s="33"/>
      <c r="O4" s="33"/>
      <c r="P4" s="33"/>
      <c r="Q4" s="33"/>
      <c r="R4" s="33"/>
      <c r="S4" s="33"/>
      <c r="Y4" s="175"/>
    </row>
    <row r="7" customFormat="false" ht="15" hidden="false" customHeight="false" outlineLevel="0" collapsed="false"/>
    <row r="8" customFormat="false" ht="18.6" hidden="false" customHeight="false" outlineLevel="0" collapsed="false">
      <c r="G8" s="35" t="s">
        <v>19</v>
      </c>
      <c r="H8" s="36" t="s">
        <v>20</v>
      </c>
      <c r="I8" s="36"/>
      <c r="J8" s="36"/>
      <c r="K8" s="36"/>
      <c r="L8" s="36"/>
      <c r="M8" s="36"/>
      <c r="N8" s="37" t="s">
        <v>21</v>
      </c>
      <c r="O8" s="37"/>
      <c r="P8" s="37"/>
      <c r="Q8" s="37"/>
      <c r="R8" s="37"/>
      <c r="S8" s="37"/>
      <c r="T8" s="40" t="s">
        <v>360</v>
      </c>
      <c r="U8" s="40"/>
      <c r="V8" s="40"/>
      <c r="W8" s="40"/>
    </row>
    <row r="9" customFormat="false" ht="15" hidden="false" customHeight="false" outlineLevel="0" collapsed="false">
      <c r="B9" s="41"/>
      <c r="C9" s="41" t="s">
        <v>27</v>
      </c>
      <c r="D9" s="41"/>
      <c r="E9" s="41"/>
      <c r="F9" s="41"/>
      <c r="G9" s="42" t="s">
        <v>28</v>
      </c>
      <c r="H9" s="43" t="s">
        <v>29</v>
      </c>
      <c r="I9" s="44" t="s">
        <v>30</v>
      </c>
      <c r="J9" s="45" t="s">
        <v>31</v>
      </c>
      <c r="K9" s="46" t="s">
        <v>32</v>
      </c>
      <c r="L9" s="46" t="s">
        <v>33</v>
      </c>
      <c r="M9" s="47" t="s">
        <v>34</v>
      </c>
      <c r="N9" s="48" t="s">
        <v>29</v>
      </c>
      <c r="O9" s="48" t="s">
        <v>30</v>
      </c>
      <c r="P9" s="45" t="s">
        <v>31</v>
      </c>
      <c r="Q9" s="46" t="s">
        <v>32</v>
      </c>
      <c r="R9" s="46" t="s">
        <v>33</v>
      </c>
      <c r="S9" s="47" t="s">
        <v>34</v>
      </c>
      <c r="T9" s="48" t="s">
        <v>29</v>
      </c>
      <c r="U9" s="48" t="s">
        <v>30</v>
      </c>
      <c r="V9" s="45" t="s">
        <v>31</v>
      </c>
      <c r="W9" s="49" t="s">
        <v>32</v>
      </c>
    </row>
    <row r="10" customFormat="false" ht="15" hidden="false" customHeight="false" outlineLevel="0" collapsed="false">
      <c r="B10" s="50" t="s">
        <v>35</v>
      </c>
      <c r="C10" s="51" t="s">
        <v>36</v>
      </c>
      <c r="D10" s="52"/>
      <c r="E10" s="52"/>
      <c r="F10" s="51" t="s">
        <v>37</v>
      </c>
      <c r="G10" s="51" t="s">
        <v>38</v>
      </c>
      <c r="H10" s="46" t="s">
        <v>36</v>
      </c>
      <c r="I10" s="53"/>
      <c r="J10" s="53"/>
      <c r="K10" s="53"/>
      <c r="L10" s="53"/>
      <c r="M10" s="54"/>
      <c r="N10" s="43" t="s">
        <v>36</v>
      </c>
      <c r="O10" s="53"/>
      <c r="P10" s="53"/>
      <c r="Q10" s="53"/>
      <c r="R10" s="53"/>
      <c r="S10" s="54"/>
      <c r="T10" s="43" t="s">
        <v>36</v>
      </c>
      <c r="U10" s="53"/>
      <c r="V10" s="53"/>
      <c r="W10" s="54"/>
    </row>
    <row r="11" customFormat="false" ht="15" hidden="false" customHeight="false" outlineLevel="0" collapsed="false">
      <c r="B11" s="55" t="s">
        <v>39</v>
      </c>
      <c r="C11" s="147"/>
      <c r="D11" s="57" t="str">
        <f aca="false" t="array" ref="D11:D11">INDEX(Table_Name52[Name List],MATCH(B11,Table_Name52[Category],0))</f>
        <v>Incline_Push[Exercise]</v>
      </c>
      <c r="E11" s="58" t="e">
        <f aca="false" t="array" ref="E11:E11">INDEX(Links73[Link],MATCH(C11,Links73[Exercise],0))</f>
        <v>#N/A</v>
      </c>
      <c r="F11" s="59" t="e">
        <f aca="false">HYPERLINK(E11,"Video")</f>
        <v>#N/A</v>
      </c>
      <c r="G11" s="60"/>
      <c r="H11" s="61" t="n">
        <f aca="false">C11</f>
        <v>0</v>
      </c>
      <c r="I11" s="62" t="n">
        <v>3</v>
      </c>
      <c r="J11" s="62" t="n">
        <f aca="false">MROUND(((G11)),5)</f>
        <v>0</v>
      </c>
      <c r="K11" s="62" t="s">
        <v>41</v>
      </c>
      <c r="L11" s="62"/>
      <c r="M11" s="42"/>
      <c r="N11" s="63" t="n">
        <f aca="false">C11</f>
        <v>0</v>
      </c>
      <c r="O11" s="62" t="n">
        <f aca="false">I11+(M32)</f>
        <v>3</v>
      </c>
      <c r="P11" s="62" t="n">
        <f aca="false">MROUND((J11*1.05),5)</f>
        <v>0</v>
      </c>
      <c r="Q11" s="62" t="s">
        <v>41</v>
      </c>
      <c r="R11" s="62"/>
      <c r="S11" s="64"/>
      <c r="T11" s="63" t="n">
        <f aca="false">C11</f>
        <v>0</v>
      </c>
      <c r="U11" s="62" t="n">
        <v>2</v>
      </c>
      <c r="V11" s="67" t="n">
        <f aca="false">J11</f>
        <v>0</v>
      </c>
      <c r="W11" s="42" t="s">
        <v>44</v>
      </c>
    </row>
    <row r="12" customFormat="false" ht="15" hidden="false" customHeight="false" outlineLevel="0" collapsed="false">
      <c r="B12" s="68" t="s">
        <v>47</v>
      </c>
      <c r="C12" s="150"/>
      <c r="D12" s="70" t="str">
        <f aca="false" t="array" ref="D12:D12">INDEX(Table_Name52[Name List],MATCH(B12,Table_Name52[Category],0))</f>
        <v>Horizontal_Push[Exercise]</v>
      </c>
      <c r="E12" s="71" t="e">
        <f aca="false" t="array" ref="E12:E12">INDEX(Links73[Link],MATCH(C12,Links73[Exercise],0))</f>
        <v>#N/A</v>
      </c>
      <c r="F12" s="72" t="e">
        <f aca="false">HYPERLINK(E12,"Video")</f>
        <v>#N/A</v>
      </c>
      <c r="G12" s="73"/>
      <c r="H12" s="61" t="n">
        <f aca="false">C12</f>
        <v>0</v>
      </c>
      <c r="I12" s="62" t="n">
        <v>1</v>
      </c>
      <c r="J12" s="62" t="n">
        <f aca="false">MROUND(((G12)),5)</f>
        <v>0</v>
      </c>
      <c r="K12" s="62" t="s">
        <v>41</v>
      </c>
      <c r="L12" s="62"/>
      <c r="M12" s="42"/>
      <c r="N12" s="63" t="n">
        <f aca="false">C12</f>
        <v>0</v>
      </c>
      <c r="O12" s="62" t="n">
        <f aca="false">I12+(M31)</f>
        <v>1</v>
      </c>
      <c r="P12" s="62" t="n">
        <f aca="false">MROUND((J12*1.05),5)</f>
        <v>0</v>
      </c>
      <c r="Q12" s="62" t="s">
        <v>41</v>
      </c>
      <c r="R12" s="62"/>
      <c r="S12" s="64"/>
      <c r="T12" s="63" t="n">
        <f aca="false">C12</f>
        <v>0</v>
      </c>
      <c r="U12" s="62" t="n">
        <v>2</v>
      </c>
      <c r="V12" s="67" t="n">
        <f aca="false">J12</f>
        <v>0</v>
      </c>
      <c r="W12" s="42" t="s">
        <v>44</v>
      </c>
    </row>
    <row r="13" customFormat="false" ht="15" hidden="false" customHeight="false" outlineLevel="0" collapsed="false">
      <c r="B13" s="68" t="s">
        <v>49</v>
      </c>
      <c r="C13" s="150"/>
      <c r="D13" s="70" t="str">
        <f aca="false" t="array" ref="D13:D13">INDEX(Table_Name52[Name List],MATCH(B13,Table_Name52[Category],0))</f>
        <v>Horizontal_Back[Exercise]</v>
      </c>
      <c r="E13" s="71" t="e">
        <f aca="false" t="array" ref="E13:E13">INDEX(Links73[Link],MATCH(C13,Links73[Exercise],0))</f>
        <v>#N/A</v>
      </c>
      <c r="F13" s="72" t="e">
        <f aca="false">HYPERLINK(E13,"Video")</f>
        <v>#N/A</v>
      </c>
      <c r="G13" s="73"/>
      <c r="H13" s="61" t="n">
        <f aca="false">C13</f>
        <v>0</v>
      </c>
      <c r="I13" s="62" t="n">
        <v>2</v>
      </c>
      <c r="J13" s="62" t="n">
        <f aca="false">MROUND(((G13)),5)</f>
        <v>0</v>
      </c>
      <c r="K13" s="62" t="s">
        <v>41</v>
      </c>
      <c r="L13" s="62"/>
      <c r="M13" s="42"/>
      <c r="N13" s="63" t="n">
        <f aca="false">C13</f>
        <v>0</v>
      </c>
      <c r="O13" s="62" t="n">
        <f aca="false">I13+(M29)</f>
        <v>2</v>
      </c>
      <c r="P13" s="62" t="n">
        <f aca="false">MROUND((J13*1.05),5)</f>
        <v>0</v>
      </c>
      <c r="Q13" s="62" t="s">
        <v>41</v>
      </c>
      <c r="R13" s="62"/>
      <c r="S13" s="64"/>
      <c r="T13" s="63" t="n">
        <f aca="false">C13</f>
        <v>0</v>
      </c>
      <c r="U13" s="62" t="n">
        <v>2</v>
      </c>
      <c r="V13" s="67" t="n">
        <f aca="false">J13</f>
        <v>0</v>
      </c>
      <c r="W13" s="42" t="s">
        <v>44</v>
      </c>
    </row>
    <row r="14" customFormat="false" ht="15" hidden="false" customHeight="false" outlineLevel="0" collapsed="false">
      <c r="B14" s="68" t="s">
        <v>51</v>
      </c>
      <c r="C14" s="150"/>
      <c r="D14" s="70" t="str">
        <f aca="false" t="array" ref="D14:D14">INDEX(Table_Name52[Name List],MATCH(B14,Table_Name52[Category],0))</f>
        <v>Vertical_Back[Exercise]</v>
      </c>
      <c r="E14" s="71" t="e">
        <f aca="false" t="array" ref="E14:E14">INDEX(Links73[Link],MATCH(C14,Links73[Exercise],0))</f>
        <v>#N/A</v>
      </c>
      <c r="F14" s="72" t="e">
        <f aca="false">HYPERLINK(E14,"Video")</f>
        <v>#N/A</v>
      </c>
      <c r="G14" s="73"/>
      <c r="H14" s="61" t="n">
        <f aca="false">C14</f>
        <v>0</v>
      </c>
      <c r="I14" s="62" t="n">
        <v>2</v>
      </c>
      <c r="J14" s="62" t="n">
        <f aca="false">MROUND(((G14)),5)</f>
        <v>0</v>
      </c>
      <c r="K14" s="62" t="s">
        <v>41</v>
      </c>
      <c r="L14" s="62"/>
      <c r="M14" s="42"/>
      <c r="N14" s="63" t="n">
        <f aca="false">C14</f>
        <v>0</v>
      </c>
      <c r="O14" s="62" t="n">
        <f aca="false">I14+(M28)</f>
        <v>2</v>
      </c>
      <c r="P14" s="62" t="n">
        <f aca="false">MROUND((J14*1.05),5)</f>
        <v>0</v>
      </c>
      <c r="Q14" s="62" t="s">
        <v>41</v>
      </c>
      <c r="R14" s="62"/>
      <c r="S14" s="64"/>
      <c r="T14" s="63" t="n">
        <f aca="false">C14</f>
        <v>0</v>
      </c>
      <c r="U14" s="62" t="n">
        <v>2</v>
      </c>
      <c r="V14" s="67" t="n">
        <f aca="false">J14</f>
        <v>0</v>
      </c>
      <c r="W14" s="42" t="s">
        <v>44</v>
      </c>
    </row>
    <row r="15" customFormat="false" ht="15" hidden="false" customHeight="false" outlineLevel="0" collapsed="false">
      <c r="B15" s="68" t="s">
        <v>53</v>
      </c>
      <c r="C15" s="150"/>
      <c r="D15" s="70" t="str">
        <f aca="false" t="array" ref="D15:D15">INDEX(Table_Name52[Name List],MATCH(B15,Table_Name52[Category],0))</f>
        <v>Side_Delts[Exercise]</v>
      </c>
      <c r="E15" s="71" t="e">
        <f aca="false" t="array" ref="E15:E15">INDEX(Links73[Link],MATCH(C15,Links73[Exercise],0))</f>
        <v>#N/A</v>
      </c>
      <c r="F15" s="72" t="e">
        <f aca="false">HYPERLINK(E15,"Video")</f>
        <v>#N/A</v>
      </c>
      <c r="G15" s="73"/>
      <c r="H15" s="61" t="n">
        <f aca="false">C15</f>
        <v>0</v>
      </c>
      <c r="I15" s="62" t="n">
        <v>2</v>
      </c>
      <c r="J15" s="62" t="n">
        <f aca="false">MROUND(((G15)),5)</f>
        <v>0</v>
      </c>
      <c r="K15" s="62" t="s">
        <v>41</v>
      </c>
      <c r="L15" s="62" t="s">
        <v>11</v>
      </c>
      <c r="M15" s="42"/>
      <c r="N15" s="63" t="n">
        <f aca="false">C15</f>
        <v>0</v>
      </c>
      <c r="O15" s="62" t="n">
        <f aca="false">I15+(M30)</f>
        <v>2</v>
      </c>
      <c r="P15" s="62" t="n">
        <f aca="false">MROUND((J15*1.05),5)</f>
        <v>0</v>
      </c>
      <c r="Q15" s="62" t="s">
        <v>41</v>
      </c>
      <c r="R15" s="62"/>
      <c r="S15" s="64"/>
      <c r="T15" s="63" t="n">
        <f aca="false">C15</f>
        <v>0</v>
      </c>
      <c r="U15" s="62" t="n">
        <v>2</v>
      </c>
      <c r="V15" s="67" t="n">
        <f aca="false">J15</f>
        <v>0</v>
      </c>
      <c r="W15" s="42" t="s">
        <v>44</v>
      </c>
    </row>
    <row r="16" customFormat="false" ht="15" hidden="false" customHeight="false" outlineLevel="0" collapsed="false">
      <c r="B16" s="74" t="s">
        <v>55</v>
      </c>
      <c r="C16" s="152"/>
      <c r="D16" s="76" t="str">
        <f aca="false" t="array" ref="D16:D16">INDEX(Table_Name52[Name List],MATCH(B16,Table_Name52[Category],0))</f>
        <v>Abs[Exercise]</v>
      </c>
      <c r="E16" s="77" t="e">
        <f aca="false" t="array" ref="E16:E16">INDEX(Links73[Link],MATCH(C16,Links73[Exercise],0))</f>
        <v>#N/A</v>
      </c>
      <c r="F16" s="78" t="e">
        <f aca="false">HYPERLINK(E16,"Video")</f>
        <v>#N/A</v>
      </c>
      <c r="G16" s="79"/>
      <c r="H16" s="80" t="n">
        <f aca="false">C16</f>
        <v>0</v>
      </c>
      <c r="I16" s="81" t="n">
        <v>1</v>
      </c>
      <c r="J16" s="81" t="n">
        <f aca="false">MROUND(((G16)),5)</f>
        <v>0</v>
      </c>
      <c r="K16" s="81" t="s">
        <v>41</v>
      </c>
      <c r="L16" s="81"/>
      <c r="M16" s="82"/>
      <c r="N16" s="83" t="n">
        <f aca="false">C16</f>
        <v>0</v>
      </c>
      <c r="O16" s="81" t="n">
        <f aca="false">I16+(M33)</f>
        <v>1</v>
      </c>
      <c r="P16" s="81" t="n">
        <f aca="false">MROUND((J16*1.05),5)</f>
        <v>0</v>
      </c>
      <c r="Q16" s="81" t="s">
        <v>41</v>
      </c>
      <c r="R16" s="81"/>
      <c r="S16" s="64"/>
      <c r="T16" s="83" t="n">
        <f aca="false">C16</f>
        <v>0</v>
      </c>
      <c r="U16" s="81" t="n">
        <v>2</v>
      </c>
      <c r="V16" s="85" t="n">
        <f aca="false">J16</f>
        <v>0</v>
      </c>
      <c r="W16" s="82" t="s">
        <v>44</v>
      </c>
    </row>
    <row r="17" customFormat="false" ht="18.6" hidden="false" customHeight="false" outlineLevel="0" collapsed="false">
      <c r="B17" s="86" t="s">
        <v>57</v>
      </c>
      <c r="C17" s="41"/>
      <c r="D17" s="41"/>
      <c r="E17" s="41"/>
      <c r="F17" s="41"/>
      <c r="G17" s="42"/>
      <c r="H17" s="36" t="s">
        <v>20</v>
      </c>
      <c r="I17" s="36"/>
      <c r="J17" s="36"/>
      <c r="K17" s="36"/>
      <c r="L17" s="36"/>
      <c r="M17" s="36"/>
      <c r="N17" s="37" t="s">
        <v>21</v>
      </c>
      <c r="O17" s="37"/>
      <c r="P17" s="37"/>
      <c r="Q17" s="37"/>
      <c r="R17" s="37"/>
      <c r="S17" s="37"/>
      <c r="T17" s="40" t="s">
        <v>360</v>
      </c>
      <c r="U17" s="40"/>
      <c r="V17" s="40"/>
      <c r="W17" s="40"/>
    </row>
    <row r="18" customFormat="false" ht="15" hidden="false" customHeight="false" outlineLevel="0" collapsed="false">
      <c r="B18" s="41"/>
      <c r="C18" s="41"/>
      <c r="D18" s="41"/>
      <c r="E18" s="41"/>
      <c r="F18" s="41"/>
      <c r="G18" s="41"/>
      <c r="H18" s="43" t="s">
        <v>29</v>
      </c>
      <c r="I18" s="44" t="s">
        <v>30</v>
      </c>
      <c r="J18" s="45" t="s">
        <v>31</v>
      </c>
      <c r="K18" s="46" t="s">
        <v>32</v>
      </c>
      <c r="L18" s="46" t="s">
        <v>33</v>
      </c>
      <c r="M18" s="47" t="s">
        <v>34</v>
      </c>
      <c r="N18" s="48" t="s">
        <v>29</v>
      </c>
      <c r="O18" s="48" t="s">
        <v>30</v>
      </c>
      <c r="P18" s="45" t="s">
        <v>31</v>
      </c>
      <c r="Q18" s="46" t="s">
        <v>32</v>
      </c>
      <c r="R18" s="46" t="s">
        <v>33</v>
      </c>
      <c r="S18" s="47" t="s">
        <v>34</v>
      </c>
      <c r="T18" s="48" t="s">
        <v>29</v>
      </c>
      <c r="U18" s="48" t="s">
        <v>30</v>
      </c>
      <c r="V18" s="45" t="s">
        <v>31</v>
      </c>
      <c r="W18" s="49" t="s">
        <v>32</v>
      </c>
    </row>
    <row r="19" customFormat="false" ht="15" hidden="false" customHeight="false" outlineLevel="0" collapsed="false">
      <c r="B19" s="50" t="s">
        <v>59</v>
      </c>
      <c r="C19" s="51" t="s">
        <v>60</v>
      </c>
      <c r="D19" s="52"/>
      <c r="E19" s="88"/>
      <c r="F19" s="51" t="s">
        <v>37</v>
      </c>
      <c r="G19" s="51" t="s">
        <v>38</v>
      </c>
      <c r="H19" s="46" t="s">
        <v>60</v>
      </c>
      <c r="I19" s="53"/>
      <c r="J19" s="53"/>
      <c r="K19" s="53"/>
      <c r="L19" s="53"/>
      <c r="M19" s="54"/>
      <c r="N19" s="43" t="s">
        <v>60</v>
      </c>
      <c r="O19" s="53"/>
      <c r="P19" s="53"/>
      <c r="Q19" s="53"/>
      <c r="R19" s="53"/>
      <c r="S19" s="54"/>
      <c r="T19" s="43" t="s">
        <v>60</v>
      </c>
      <c r="U19" s="53"/>
      <c r="V19" s="53"/>
      <c r="W19" s="54"/>
    </row>
    <row r="20" customFormat="false" ht="15" hidden="false" customHeight="false" outlineLevel="0" collapsed="false">
      <c r="B20" s="55" t="s">
        <v>61</v>
      </c>
      <c r="C20" s="147"/>
      <c r="D20" s="57" t="str">
        <f aca="false" t="array" ref="D20:D20">INDEX(Table_Name52[Name List],MATCH(B20,Table_Name52[Category],0))</f>
        <v>Quads[Exercise]</v>
      </c>
      <c r="E20" s="58" t="e">
        <f aca="false" t="array" ref="E20:E20">INDEX(Links73[Link],MATCH(C20,Links73[Exercise],0))</f>
        <v>#N/A</v>
      </c>
      <c r="F20" s="59" t="e">
        <f aca="false">HYPERLINK(E20,"Video")</f>
        <v>#N/A</v>
      </c>
      <c r="G20" s="60"/>
      <c r="H20" s="61" t="n">
        <f aca="false">C20</f>
        <v>0</v>
      </c>
      <c r="I20" s="62" t="n">
        <v>3</v>
      </c>
      <c r="J20" s="62" t="n">
        <f aca="false">MROUND(((G20)),5)</f>
        <v>0</v>
      </c>
      <c r="K20" s="62" t="s">
        <v>41</v>
      </c>
      <c r="L20" s="62"/>
      <c r="M20" s="42"/>
      <c r="N20" s="61" t="n">
        <f aca="false">C20</f>
        <v>0</v>
      </c>
      <c r="O20" s="62" t="n">
        <f aca="false">I20+(M39)</f>
        <v>3</v>
      </c>
      <c r="P20" s="62" t="n">
        <f aca="false">MROUND((J20*1.05),5)</f>
        <v>0</v>
      </c>
      <c r="Q20" s="62" t="s">
        <v>41</v>
      </c>
      <c r="R20" s="62"/>
      <c r="S20" s="64"/>
      <c r="T20" s="63" t="n">
        <f aca="false">C20</f>
        <v>0</v>
      </c>
      <c r="U20" s="62" t="n">
        <v>2</v>
      </c>
      <c r="V20" s="67" t="n">
        <f aca="false">J20</f>
        <v>0</v>
      </c>
      <c r="W20" s="42" t="s">
        <v>44</v>
      </c>
    </row>
    <row r="21" customFormat="false" ht="15" hidden="false" customHeight="false" outlineLevel="0" collapsed="false">
      <c r="B21" s="68" t="s">
        <v>64</v>
      </c>
      <c r="C21" s="150"/>
      <c r="D21" s="70" t="str">
        <f aca="false" t="array" ref="D21:D21">INDEX(Table_Name52[Name List],MATCH(B21,Table_Name52[Category],0))</f>
        <v>Hamstrings_Isolation[Exercise]</v>
      </c>
      <c r="E21" s="71" t="e">
        <f aca="false" t="array" ref="E21:E21">INDEX(Links73[Link],MATCH(C21,Links73[Exercise],0))</f>
        <v>#N/A</v>
      </c>
      <c r="F21" s="72" t="e">
        <f aca="false">HYPERLINK(E21,"Video")</f>
        <v>#N/A</v>
      </c>
      <c r="G21" s="73"/>
      <c r="H21" s="61" t="n">
        <f aca="false">C21</f>
        <v>0</v>
      </c>
      <c r="I21" s="62" t="n">
        <v>3</v>
      </c>
      <c r="J21" s="62" t="n">
        <f aca="false">MROUND(((G21)),5)</f>
        <v>0</v>
      </c>
      <c r="K21" s="62" t="s">
        <v>41</v>
      </c>
      <c r="L21" s="62"/>
      <c r="M21" s="42"/>
      <c r="N21" s="61" t="n">
        <f aca="false">C21</f>
        <v>0</v>
      </c>
      <c r="O21" s="62" t="n">
        <f aca="false">I21+(M38)</f>
        <v>3</v>
      </c>
      <c r="P21" s="62" t="n">
        <f aca="false">MROUND((J21*1.05),5)</f>
        <v>0</v>
      </c>
      <c r="Q21" s="62" t="s">
        <v>41</v>
      </c>
      <c r="R21" s="62"/>
      <c r="S21" s="64"/>
      <c r="T21" s="63" t="n">
        <f aca="false">C21</f>
        <v>0</v>
      </c>
      <c r="U21" s="62" t="n">
        <v>2</v>
      </c>
      <c r="V21" s="67" t="n">
        <f aca="false">J21</f>
        <v>0</v>
      </c>
      <c r="W21" s="42" t="s">
        <v>44</v>
      </c>
    </row>
    <row r="22" customFormat="false" ht="15" hidden="false" customHeight="false" outlineLevel="0" collapsed="false">
      <c r="B22" s="68" t="s">
        <v>66</v>
      </c>
      <c r="C22" s="150"/>
      <c r="D22" s="70" t="str">
        <f aca="false" t="array" ref="D22:D22">INDEX(Table_Name52[Name List],MATCH(B22,Table_Name52[Category],0))</f>
        <v>Calves[Exercise]</v>
      </c>
      <c r="E22" s="71" t="e">
        <f aca="false" t="array" ref="E22:E22">INDEX(Links73[Link],MATCH(C22,Links73[Exercise],0))</f>
        <v>#N/A</v>
      </c>
      <c r="F22" s="72" t="e">
        <f aca="false">HYPERLINK(E22,"Video")</f>
        <v>#N/A</v>
      </c>
      <c r="G22" s="73"/>
      <c r="H22" s="61" t="n">
        <f aca="false">C22</f>
        <v>0</v>
      </c>
      <c r="I22" s="62" t="n">
        <v>3</v>
      </c>
      <c r="J22" s="62" t="n">
        <f aca="false">MROUND(((G22)),5)</f>
        <v>0</v>
      </c>
      <c r="K22" s="62" t="s">
        <v>41</v>
      </c>
      <c r="L22" s="62"/>
      <c r="M22" s="42"/>
      <c r="N22" s="61" t="n">
        <f aca="false">C22</f>
        <v>0</v>
      </c>
      <c r="O22" s="62" t="n">
        <f aca="false">I22+(M42)</f>
        <v>3</v>
      </c>
      <c r="P22" s="62" t="n">
        <f aca="false">MROUND((J22*1.05),5)</f>
        <v>0</v>
      </c>
      <c r="Q22" s="62" t="s">
        <v>41</v>
      </c>
      <c r="R22" s="62"/>
      <c r="S22" s="64"/>
      <c r="T22" s="63" t="n">
        <f aca="false">C22</f>
        <v>0</v>
      </c>
      <c r="U22" s="62" t="n">
        <v>2</v>
      </c>
      <c r="V22" s="67" t="n">
        <f aca="false">J22</f>
        <v>0</v>
      </c>
      <c r="W22" s="42" t="s">
        <v>44</v>
      </c>
    </row>
    <row r="23" customFormat="false" ht="15" hidden="false" customHeight="false" outlineLevel="0" collapsed="false">
      <c r="B23" s="68" t="s">
        <v>68</v>
      </c>
      <c r="C23" s="150"/>
      <c r="D23" s="70" t="str">
        <f aca="false" t="array" ref="D23:D23">INDEX(Table_Name52[Name List],MATCH(B23,Table_Name52[Category],0))</f>
        <v>Triceps[Exercise]</v>
      </c>
      <c r="E23" s="71" t="e">
        <f aca="false" t="array" ref="E23:E23">INDEX(Links73[Link],MATCH(C23,Links73[Exercise],0))</f>
        <v>#N/A</v>
      </c>
      <c r="F23" s="72" t="e">
        <f aca="false">HYPERLINK(E23,"Video")</f>
        <v>#N/A</v>
      </c>
      <c r="G23" s="73"/>
      <c r="H23" s="61" t="n">
        <f aca="false">C23</f>
        <v>0</v>
      </c>
      <c r="I23" s="62" t="n">
        <v>2</v>
      </c>
      <c r="J23" s="62" t="n">
        <f aca="false">MROUND(((G23)),5)</f>
        <v>0</v>
      </c>
      <c r="K23" s="62" t="s">
        <v>41</v>
      </c>
      <c r="L23" s="62"/>
      <c r="M23" s="42"/>
      <c r="N23" s="61" t="n">
        <f aca="false">C23</f>
        <v>0</v>
      </c>
      <c r="O23" s="62" t="n">
        <f aca="false">I23+(M32)</f>
        <v>2</v>
      </c>
      <c r="P23" s="62" t="n">
        <f aca="false">MROUND((J23*1.05),5)</f>
        <v>0</v>
      </c>
      <c r="Q23" s="62" t="s">
        <v>41</v>
      </c>
      <c r="R23" s="62"/>
      <c r="S23" s="64"/>
      <c r="T23" s="63" t="n">
        <f aca="false">C23</f>
        <v>0</v>
      </c>
      <c r="U23" s="62" t="n">
        <v>2</v>
      </c>
      <c r="V23" s="67" t="n">
        <f aca="false">J23</f>
        <v>0</v>
      </c>
      <c r="W23" s="42" t="s">
        <v>44</v>
      </c>
    </row>
    <row r="24" customFormat="false" ht="15" hidden="false" customHeight="false" outlineLevel="0" collapsed="false">
      <c r="B24" s="74" t="s">
        <v>70</v>
      </c>
      <c r="C24" s="152"/>
      <c r="D24" s="76" t="str">
        <f aca="false" t="array" ref="D24:D24">INDEX(Table_Name52[Name List],MATCH(B24,Table_Name52[Category],0))</f>
        <v>Front_Delts[Exercise]</v>
      </c>
      <c r="E24" s="77" t="e">
        <f aca="false" t="array" ref="E24:E24">INDEX(Links73[Link],MATCH(C24,Links73[Exercise],0))</f>
        <v>#N/A</v>
      </c>
      <c r="F24" s="78" t="e">
        <f aca="false">HYPERLINK(E24,"Video")</f>
        <v>#N/A</v>
      </c>
      <c r="G24" s="79"/>
      <c r="H24" s="80" t="n">
        <f aca="false">C24</f>
        <v>0</v>
      </c>
      <c r="I24" s="81" t="n">
        <v>2</v>
      </c>
      <c r="J24" s="81" t="n">
        <f aca="false">MROUND(((G24)),5)</f>
        <v>0</v>
      </c>
      <c r="K24" s="81" t="s">
        <v>41</v>
      </c>
      <c r="L24" s="81"/>
      <c r="M24" s="82"/>
      <c r="N24" s="80" t="n">
        <f aca="false">C24</f>
        <v>0</v>
      </c>
      <c r="O24" s="81" t="n">
        <f aca="false">I24+(M32)</f>
        <v>2</v>
      </c>
      <c r="P24" s="81" t="n">
        <f aca="false">MROUND((J24*1.05),5)</f>
        <v>0</v>
      </c>
      <c r="Q24" s="81" t="s">
        <v>41</v>
      </c>
      <c r="R24" s="81"/>
      <c r="S24" s="64"/>
      <c r="T24" s="83" t="n">
        <f aca="false">C24</f>
        <v>0</v>
      </c>
      <c r="U24" s="81" t="n">
        <v>2</v>
      </c>
      <c r="V24" s="85" t="n">
        <f aca="false">J24</f>
        <v>0</v>
      </c>
      <c r="W24" s="42" t="s">
        <v>44</v>
      </c>
    </row>
    <row r="25" customFormat="false" ht="18.6" hidden="false" customHeight="false" outlineLevel="0" collapsed="false">
      <c r="B25" s="86" t="s">
        <v>72</v>
      </c>
      <c r="C25" s="41"/>
      <c r="D25" s="41"/>
      <c r="E25" s="41"/>
      <c r="F25" s="41"/>
      <c r="G25" s="42"/>
      <c r="H25" s="36" t="s">
        <v>20</v>
      </c>
      <c r="I25" s="36"/>
      <c r="J25" s="36"/>
      <c r="K25" s="36"/>
      <c r="L25" s="36"/>
      <c r="M25" s="36"/>
      <c r="N25" s="37" t="s">
        <v>21</v>
      </c>
      <c r="O25" s="37"/>
      <c r="P25" s="37"/>
      <c r="Q25" s="37"/>
      <c r="R25" s="37"/>
      <c r="S25" s="37"/>
      <c r="T25" s="40" t="s">
        <v>360</v>
      </c>
      <c r="U25" s="40"/>
      <c r="V25" s="40"/>
      <c r="W25" s="40"/>
    </row>
    <row r="26" customFormat="false" ht="15" hidden="false" customHeight="false" outlineLevel="0" collapsed="false">
      <c r="B26" s="41"/>
      <c r="C26" s="41"/>
      <c r="D26" s="41"/>
      <c r="E26" s="41"/>
      <c r="F26" s="41"/>
      <c r="G26" s="41"/>
      <c r="H26" s="43" t="s">
        <v>29</v>
      </c>
      <c r="I26" s="44" t="s">
        <v>30</v>
      </c>
      <c r="J26" s="45" t="s">
        <v>31</v>
      </c>
      <c r="K26" s="46" t="s">
        <v>32</v>
      </c>
      <c r="L26" s="46" t="s">
        <v>33</v>
      </c>
      <c r="M26" s="47" t="s">
        <v>34</v>
      </c>
      <c r="N26" s="48" t="s">
        <v>29</v>
      </c>
      <c r="O26" s="48" t="s">
        <v>30</v>
      </c>
      <c r="P26" s="45" t="s">
        <v>31</v>
      </c>
      <c r="Q26" s="46" t="s">
        <v>32</v>
      </c>
      <c r="R26" s="46" t="s">
        <v>33</v>
      </c>
      <c r="S26" s="47" t="s">
        <v>34</v>
      </c>
      <c r="T26" s="48" t="s">
        <v>29</v>
      </c>
      <c r="U26" s="48" t="s">
        <v>30</v>
      </c>
      <c r="V26" s="45" t="s">
        <v>31</v>
      </c>
      <c r="W26" s="49" t="s">
        <v>32</v>
      </c>
    </row>
    <row r="27" customFormat="false" ht="15" hidden="false" customHeight="false" outlineLevel="0" collapsed="false">
      <c r="B27" s="50" t="s">
        <v>35</v>
      </c>
      <c r="C27" s="51" t="s">
        <v>73</v>
      </c>
      <c r="D27" s="52"/>
      <c r="E27" s="88"/>
      <c r="F27" s="51" t="s">
        <v>37</v>
      </c>
      <c r="G27" s="51" t="s">
        <v>38</v>
      </c>
      <c r="H27" s="46" t="s">
        <v>73</v>
      </c>
      <c r="I27" s="53"/>
      <c r="J27" s="53"/>
      <c r="K27" s="53"/>
      <c r="L27" s="53"/>
      <c r="M27" s="54"/>
      <c r="N27" s="43" t="s">
        <v>73</v>
      </c>
      <c r="O27" s="53"/>
      <c r="P27" s="53"/>
      <c r="Q27" s="53"/>
      <c r="R27" s="53"/>
      <c r="S27" s="54"/>
      <c r="T27" s="43" t="s">
        <v>73</v>
      </c>
      <c r="U27" s="53"/>
      <c r="V27" s="53"/>
      <c r="W27" s="54"/>
    </row>
    <row r="28" customFormat="false" ht="15" hidden="false" customHeight="false" outlineLevel="0" collapsed="false">
      <c r="B28" s="55" t="s">
        <v>51</v>
      </c>
      <c r="C28" s="147"/>
      <c r="D28" s="57" t="str">
        <f aca="false" t="array" ref="D28:D28">INDEX(Table_Name52[Name List],MATCH(B28,Table_Name52[Category],0))</f>
        <v>Vertical_Back[Exercise]</v>
      </c>
      <c r="E28" s="58" t="e">
        <f aca="false" t="array" ref="E28:E28">INDEX(Links73[Link],MATCH(C28,Links73[Exercise],0))</f>
        <v>#N/A</v>
      </c>
      <c r="F28" s="59" t="e">
        <f aca="false">HYPERLINK(E28,"Video")</f>
        <v>#N/A</v>
      </c>
      <c r="G28" s="60"/>
      <c r="H28" s="61" t="n">
        <f aca="false">C28</f>
        <v>0</v>
      </c>
      <c r="I28" s="62" t="n">
        <v>3</v>
      </c>
      <c r="J28" s="62" t="n">
        <f aca="false">MROUND(((G28)),5)</f>
        <v>0</v>
      </c>
      <c r="K28" s="62" t="s">
        <v>41</v>
      </c>
      <c r="L28" s="62"/>
      <c r="M28" s="64"/>
      <c r="N28" s="61" t="n">
        <f aca="false">C28</f>
        <v>0</v>
      </c>
      <c r="O28" s="62" t="n">
        <f aca="false">I28+(S14)</f>
        <v>3</v>
      </c>
      <c r="P28" s="62" t="n">
        <f aca="false">MROUND((J28*1.05),5)</f>
        <v>0</v>
      </c>
      <c r="Q28" s="62" t="s">
        <v>41</v>
      </c>
      <c r="R28" s="62"/>
      <c r="S28" s="64"/>
      <c r="T28" s="63" t="n">
        <f aca="false">C28</f>
        <v>0</v>
      </c>
      <c r="U28" s="62" t="n">
        <v>2</v>
      </c>
      <c r="V28" s="67" t="n">
        <f aca="false">MROUND((J28*0.5),5)</f>
        <v>0</v>
      </c>
      <c r="W28" s="42" t="s">
        <v>44</v>
      </c>
    </row>
    <row r="29" customFormat="false" ht="15" hidden="false" customHeight="false" outlineLevel="0" collapsed="false">
      <c r="B29" s="68" t="s">
        <v>49</v>
      </c>
      <c r="C29" s="150"/>
      <c r="D29" s="70" t="str">
        <f aca="false" t="array" ref="D29:D29">INDEX(Table_Name52[Name List],MATCH(B29,Table_Name52[Category],0))</f>
        <v>Horizontal_Back[Exercise]</v>
      </c>
      <c r="E29" s="71" t="e">
        <f aca="false" t="array" ref="E29:E29">INDEX(Links73[Link],MATCH(C29,Links73[Exercise],0))</f>
        <v>#N/A</v>
      </c>
      <c r="F29" s="72" t="e">
        <f aca="false">HYPERLINK(E29,"Video")</f>
        <v>#N/A</v>
      </c>
      <c r="G29" s="73"/>
      <c r="H29" s="61" t="n">
        <f aca="false">C29</f>
        <v>0</v>
      </c>
      <c r="I29" s="62" t="n">
        <v>1</v>
      </c>
      <c r="J29" s="62" t="n">
        <f aca="false">MROUND(((G29)),5)</f>
        <v>0</v>
      </c>
      <c r="K29" s="62" t="s">
        <v>41</v>
      </c>
      <c r="L29" s="62"/>
      <c r="M29" s="64"/>
      <c r="N29" s="61" t="n">
        <f aca="false">C29</f>
        <v>0</v>
      </c>
      <c r="O29" s="62" t="n">
        <f aca="false">I29+(S13)</f>
        <v>1</v>
      </c>
      <c r="P29" s="62" t="n">
        <f aca="false">MROUND((J29*1.05),5)</f>
        <v>0</v>
      </c>
      <c r="Q29" s="62" t="s">
        <v>41</v>
      </c>
      <c r="R29" s="62"/>
      <c r="S29" s="64"/>
      <c r="T29" s="63" t="n">
        <f aca="false">C29</f>
        <v>0</v>
      </c>
      <c r="U29" s="62" t="n">
        <v>2</v>
      </c>
      <c r="V29" s="67" t="n">
        <f aca="false">MROUND((J29*0.5),5)</f>
        <v>0</v>
      </c>
      <c r="W29" s="42" t="s">
        <v>44</v>
      </c>
    </row>
    <row r="30" customFormat="false" ht="15" hidden="false" customHeight="false" outlineLevel="0" collapsed="false">
      <c r="B30" s="68" t="s">
        <v>75</v>
      </c>
      <c r="C30" s="150"/>
      <c r="D30" s="70" t="str">
        <f aca="false" t="array" ref="D30:D30">INDEX(Table_Name52[Name List],MATCH(B30,Table_Name52[Category],0))</f>
        <v>Rear_or_Side_Delts[Exercise]</v>
      </c>
      <c r="E30" s="71" t="e">
        <f aca="false" t="array" ref="E30:E30">INDEX(Links73[Link],MATCH(C30,Links73[Exercise],0))</f>
        <v>#N/A</v>
      </c>
      <c r="F30" s="72" t="e">
        <f aca="false">HYPERLINK(E30,"Video")</f>
        <v>#N/A</v>
      </c>
      <c r="G30" s="73"/>
      <c r="H30" s="61" t="n">
        <f aca="false">C30</f>
        <v>0</v>
      </c>
      <c r="I30" s="62" t="n">
        <v>3</v>
      </c>
      <c r="J30" s="62" t="n">
        <f aca="false">MROUND(((G30)),5)</f>
        <v>0</v>
      </c>
      <c r="K30" s="62" t="s">
        <v>41</v>
      </c>
      <c r="L30" s="62"/>
      <c r="M30" s="64"/>
      <c r="N30" s="61" t="n">
        <f aca="false">C30</f>
        <v>0</v>
      </c>
      <c r="O30" s="62" t="n">
        <f aca="false">I30+(S15)</f>
        <v>3</v>
      </c>
      <c r="P30" s="62" t="n">
        <f aca="false">MROUND((J30*1.05),5)</f>
        <v>0</v>
      </c>
      <c r="Q30" s="62" t="s">
        <v>41</v>
      </c>
      <c r="R30" s="62"/>
      <c r="S30" s="64"/>
      <c r="T30" s="63" t="n">
        <f aca="false">C30</f>
        <v>0</v>
      </c>
      <c r="U30" s="62" t="n">
        <v>2</v>
      </c>
      <c r="V30" s="67" t="n">
        <f aca="false">MROUND((J30*0.5),5)</f>
        <v>0</v>
      </c>
      <c r="W30" s="42" t="s">
        <v>44</v>
      </c>
    </row>
    <row r="31" customFormat="false" ht="15" hidden="false" customHeight="false" outlineLevel="0" collapsed="false">
      <c r="B31" s="68" t="s">
        <v>47</v>
      </c>
      <c r="C31" s="150"/>
      <c r="D31" s="70" t="str">
        <f aca="false" t="array" ref="D31:D31">INDEX(Table_Name52[Name List],MATCH(B31,Table_Name52[Category],0))</f>
        <v>Horizontal_Push[Exercise]</v>
      </c>
      <c r="E31" s="71" t="e">
        <f aca="false" t="array" ref="E31:E31">INDEX(Links73[Link],MATCH(C31,Links73[Exercise],0))</f>
        <v>#N/A</v>
      </c>
      <c r="F31" s="72" t="e">
        <f aca="false">HYPERLINK(E31,"Video")</f>
        <v>#N/A</v>
      </c>
      <c r="G31" s="73"/>
      <c r="H31" s="61" t="n">
        <f aca="false">C31</f>
        <v>0</v>
      </c>
      <c r="I31" s="62" t="n">
        <v>2</v>
      </c>
      <c r="J31" s="62" t="n">
        <f aca="false">MROUND(((G31)),5)</f>
        <v>0</v>
      </c>
      <c r="K31" s="62" t="s">
        <v>41</v>
      </c>
      <c r="L31" s="62"/>
      <c r="M31" s="64"/>
      <c r="N31" s="61" t="n">
        <f aca="false">C31</f>
        <v>0</v>
      </c>
      <c r="O31" s="62" t="n">
        <f aca="false">I31+(S12)</f>
        <v>2</v>
      </c>
      <c r="P31" s="62" t="n">
        <f aca="false">MROUND((J31*1.05),5)</f>
        <v>0</v>
      </c>
      <c r="Q31" s="62" t="s">
        <v>41</v>
      </c>
      <c r="R31" s="62"/>
      <c r="S31" s="64"/>
      <c r="T31" s="63" t="n">
        <f aca="false">C31</f>
        <v>0</v>
      </c>
      <c r="U31" s="62" t="n">
        <v>2</v>
      </c>
      <c r="V31" s="67" t="n">
        <f aca="false">MROUND((J31*0.5),5)</f>
        <v>0</v>
      </c>
      <c r="W31" s="42" t="s">
        <v>44</v>
      </c>
    </row>
    <row r="32" customFormat="false" ht="15" hidden="false" customHeight="false" outlineLevel="0" collapsed="false">
      <c r="B32" s="68" t="s">
        <v>39</v>
      </c>
      <c r="C32" s="150"/>
      <c r="D32" s="70" t="str">
        <f aca="false" t="array" ref="D32:D32">INDEX(Table_Name52[Name List],MATCH(B32,Table_Name52[Category],0))</f>
        <v>Incline_Push[Exercise]</v>
      </c>
      <c r="E32" s="71" t="e">
        <f aca="false" t="array" ref="E32:E32">INDEX(Links73[Link],MATCH(C32,Links73[Exercise],0))</f>
        <v>#N/A</v>
      </c>
      <c r="F32" s="72" t="e">
        <f aca="false">HYPERLINK(E32,"Video")</f>
        <v>#N/A</v>
      </c>
      <c r="G32" s="73"/>
      <c r="H32" s="61" t="n">
        <f aca="false">C32</f>
        <v>0</v>
      </c>
      <c r="I32" s="62" t="n">
        <v>2</v>
      </c>
      <c r="J32" s="62" t="n">
        <f aca="false">MROUND(((G32)),5)</f>
        <v>0</v>
      </c>
      <c r="K32" s="62" t="s">
        <v>41</v>
      </c>
      <c r="L32" s="62"/>
      <c r="M32" s="64"/>
      <c r="N32" s="61" t="n">
        <f aca="false">C32</f>
        <v>0</v>
      </c>
      <c r="O32" s="62" t="n">
        <f aca="false">I32+(S11)</f>
        <v>2</v>
      </c>
      <c r="P32" s="62" t="n">
        <f aca="false">MROUND((J32*1.05),5)</f>
        <v>0</v>
      </c>
      <c r="Q32" s="62" t="s">
        <v>41</v>
      </c>
      <c r="R32" s="62"/>
      <c r="S32" s="64"/>
      <c r="T32" s="63" t="n">
        <f aca="false">C32</f>
        <v>0</v>
      </c>
      <c r="U32" s="62" t="n">
        <v>2</v>
      </c>
      <c r="V32" s="67" t="n">
        <f aca="false">MROUND((J32*0.5),5)</f>
        <v>0</v>
      </c>
      <c r="W32" s="42" t="s">
        <v>44</v>
      </c>
    </row>
    <row r="33" customFormat="false" ht="15" hidden="false" customHeight="false" outlineLevel="0" collapsed="false">
      <c r="B33" s="74" t="s">
        <v>55</v>
      </c>
      <c r="C33" s="152"/>
      <c r="D33" s="76" t="str">
        <f aca="false" t="array" ref="D33:D33">INDEX(Table_Name52[Name List],MATCH(B33,Table_Name52[Category],0))</f>
        <v>Abs[Exercise]</v>
      </c>
      <c r="E33" s="77" t="e">
        <f aca="false" t="array" ref="E33:E33">INDEX(Links73[Link],MATCH(C33,Links73[Exercise],0))</f>
        <v>#N/A</v>
      </c>
      <c r="F33" s="78" t="e">
        <f aca="false">HYPERLINK(E33,"Video")</f>
        <v>#N/A</v>
      </c>
      <c r="G33" s="79"/>
      <c r="H33" s="80" t="n">
        <f aca="false">C33</f>
        <v>0</v>
      </c>
      <c r="I33" s="81" t="n">
        <v>1</v>
      </c>
      <c r="J33" s="81" t="n">
        <f aca="false">MROUND(((G33)),5)</f>
        <v>0</v>
      </c>
      <c r="K33" s="81" t="s">
        <v>41</v>
      </c>
      <c r="L33" s="81"/>
      <c r="M33" s="64"/>
      <c r="N33" s="83" t="n">
        <f aca="false">C33</f>
        <v>0</v>
      </c>
      <c r="O33" s="81" t="n">
        <f aca="false">I33+(S16)</f>
        <v>1</v>
      </c>
      <c r="P33" s="81" t="n">
        <f aca="false">MROUND((J33*1.05),5)</f>
        <v>0</v>
      </c>
      <c r="Q33" s="81" t="s">
        <v>41</v>
      </c>
      <c r="R33" s="81"/>
      <c r="S33" s="64"/>
      <c r="T33" s="83" t="n">
        <f aca="false">C33</f>
        <v>0</v>
      </c>
      <c r="U33" s="81" t="n">
        <v>2</v>
      </c>
      <c r="V33" s="85" t="n">
        <f aca="false">MROUND((J33*0.5),5)</f>
        <v>0</v>
      </c>
      <c r="W33" s="82" t="s">
        <v>44</v>
      </c>
    </row>
    <row r="34" customFormat="false" ht="18.6" hidden="false" customHeight="false" outlineLevel="0" collapsed="false">
      <c r="B34" s="86" t="s">
        <v>77</v>
      </c>
      <c r="C34" s="41"/>
      <c r="D34" s="41"/>
      <c r="E34" s="41"/>
      <c r="F34" s="41"/>
      <c r="G34" s="42"/>
      <c r="H34" s="36" t="s">
        <v>20</v>
      </c>
      <c r="I34" s="36"/>
      <c r="J34" s="36"/>
      <c r="K34" s="36"/>
      <c r="L34" s="36"/>
      <c r="M34" s="36"/>
      <c r="N34" s="37" t="s">
        <v>21</v>
      </c>
      <c r="O34" s="37"/>
      <c r="P34" s="37"/>
      <c r="Q34" s="37"/>
      <c r="R34" s="37"/>
      <c r="S34" s="37"/>
      <c r="T34" s="40" t="s">
        <v>360</v>
      </c>
      <c r="U34" s="40"/>
      <c r="V34" s="40"/>
      <c r="W34" s="40"/>
    </row>
    <row r="35" customFormat="false" ht="15" hidden="false" customHeight="false" outlineLevel="0" collapsed="false">
      <c r="B35" s="41"/>
      <c r="C35" s="41"/>
      <c r="D35" s="41"/>
      <c r="E35" s="41"/>
      <c r="F35" s="41"/>
      <c r="G35" s="41"/>
      <c r="H35" s="43" t="s">
        <v>29</v>
      </c>
      <c r="I35" s="44" t="s">
        <v>30</v>
      </c>
      <c r="J35" s="45" t="s">
        <v>31</v>
      </c>
      <c r="K35" s="46" t="s">
        <v>32</v>
      </c>
      <c r="L35" s="46" t="s">
        <v>33</v>
      </c>
      <c r="M35" s="47" t="s">
        <v>34</v>
      </c>
      <c r="N35" s="48" t="s">
        <v>29</v>
      </c>
      <c r="O35" s="48" t="s">
        <v>30</v>
      </c>
      <c r="P35" s="45" t="s">
        <v>31</v>
      </c>
      <c r="Q35" s="46" t="s">
        <v>32</v>
      </c>
      <c r="R35" s="46" t="s">
        <v>33</v>
      </c>
      <c r="S35" s="47" t="s">
        <v>34</v>
      </c>
      <c r="T35" s="48" t="s">
        <v>29</v>
      </c>
      <c r="U35" s="48" t="s">
        <v>30</v>
      </c>
      <c r="V35" s="45" t="s">
        <v>31</v>
      </c>
      <c r="W35" s="49" t="s">
        <v>32</v>
      </c>
    </row>
    <row r="36" customFormat="false" ht="15" hidden="false" customHeight="false" outlineLevel="0" collapsed="false">
      <c r="B36" s="50" t="s">
        <v>59</v>
      </c>
      <c r="C36" s="51" t="s">
        <v>78</v>
      </c>
      <c r="D36" s="52"/>
      <c r="E36" s="88"/>
      <c r="F36" s="51" t="s">
        <v>37</v>
      </c>
      <c r="G36" s="51" t="s">
        <v>38</v>
      </c>
      <c r="H36" s="46" t="s">
        <v>78</v>
      </c>
      <c r="I36" s="53"/>
      <c r="J36" s="53"/>
      <c r="K36" s="53"/>
      <c r="L36" s="53"/>
      <c r="M36" s="54"/>
      <c r="N36" s="43" t="s">
        <v>78</v>
      </c>
      <c r="O36" s="53"/>
      <c r="P36" s="53"/>
      <c r="Q36" s="53"/>
      <c r="R36" s="53"/>
      <c r="S36" s="54"/>
      <c r="T36" s="43" t="s">
        <v>78</v>
      </c>
      <c r="U36" s="53"/>
      <c r="V36" s="53"/>
      <c r="W36" s="54"/>
    </row>
    <row r="37" customFormat="false" ht="15" hidden="false" customHeight="false" outlineLevel="0" collapsed="false">
      <c r="B37" s="55" t="s">
        <v>79</v>
      </c>
      <c r="C37" s="147"/>
      <c r="D37" s="57" t="str">
        <f aca="false" t="array" ref="D37:D37">INDEX(Table_Name52[Name List],MATCH(B37,Table_Name52[Category],0))</f>
        <v>Glutes[Exercise]</v>
      </c>
      <c r="E37" s="58" t="e">
        <f aca="false" t="array" ref="E37:E37">INDEX(Links73[Link],MATCH(C37,Links73[Exercise],0))</f>
        <v>#N/A</v>
      </c>
      <c r="F37" s="59" t="e">
        <f aca="false">HYPERLINK(E37,"Video")</f>
        <v>#N/A</v>
      </c>
      <c r="G37" s="60"/>
      <c r="H37" s="61" t="n">
        <f aca="false">C37</f>
        <v>0</v>
      </c>
      <c r="I37" s="62" t="n">
        <v>3</v>
      </c>
      <c r="J37" s="62" t="n">
        <f aca="false">MROUND(((G37)),5)</f>
        <v>0</v>
      </c>
      <c r="K37" s="62" t="s">
        <v>41</v>
      </c>
      <c r="L37" s="62"/>
      <c r="M37" s="64"/>
      <c r="N37" s="61" t="n">
        <f aca="false">C37</f>
        <v>0</v>
      </c>
      <c r="O37" s="62" t="n">
        <f aca="false">I37+(S20)</f>
        <v>3</v>
      </c>
      <c r="P37" s="62" t="n">
        <f aca="false">MROUND((J37*1.05),5)</f>
        <v>0</v>
      </c>
      <c r="Q37" s="62" t="s">
        <v>41</v>
      </c>
      <c r="R37" s="62"/>
      <c r="S37" s="64"/>
      <c r="T37" s="63" t="n">
        <f aca="false">C37</f>
        <v>0</v>
      </c>
      <c r="U37" s="62" t="n">
        <v>2</v>
      </c>
      <c r="V37" s="67" t="n">
        <f aca="false">MROUND((J37*0.5),5)</f>
        <v>0</v>
      </c>
      <c r="W37" s="42" t="s">
        <v>44</v>
      </c>
    </row>
    <row r="38" customFormat="false" ht="15" hidden="false" customHeight="false" outlineLevel="0" collapsed="false">
      <c r="B38" s="68" t="s">
        <v>81</v>
      </c>
      <c r="C38" s="150"/>
      <c r="D38" s="70" t="str">
        <f aca="false" t="array" ref="D38:D38">INDEX(Table_Name52[Name List],MATCH(B38,Table_Name52[Category],0))</f>
        <v>Hamstrings_Hip_Hinge[Exercise]</v>
      </c>
      <c r="E38" s="71" t="e">
        <f aca="false" t="array" ref="E38:E38">INDEX(Links73[Link],MATCH(C38,Links73[Exercise],0))</f>
        <v>#N/A</v>
      </c>
      <c r="F38" s="72" t="e">
        <f aca="false">HYPERLINK(E38,"Video")</f>
        <v>#N/A</v>
      </c>
      <c r="G38" s="73"/>
      <c r="H38" s="61" t="n">
        <f aca="false">C38</f>
        <v>0</v>
      </c>
      <c r="I38" s="62" t="n">
        <v>3</v>
      </c>
      <c r="J38" s="62" t="n">
        <f aca="false">MROUND(((G38)),5)</f>
        <v>0</v>
      </c>
      <c r="K38" s="62" t="s">
        <v>41</v>
      </c>
      <c r="L38" s="62"/>
      <c r="M38" s="64"/>
      <c r="N38" s="61" t="n">
        <f aca="false">C38</f>
        <v>0</v>
      </c>
      <c r="O38" s="62" t="n">
        <f aca="false">I38+(S21)</f>
        <v>3</v>
      </c>
      <c r="P38" s="62" t="n">
        <f aca="false">MROUND((J38*1.05),5)</f>
        <v>0</v>
      </c>
      <c r="Q38" s="62" t="s">
        <v>41</v>
      </c>
      <c r="R38" s="62"/>
      <c r="S38" s="64"/>
      <c r="T38" s="63" t="n">
        <f aca="false">C38</f>
        <v>0</v>
      </c>
      <c r="U38" s="62" t="n">
        <v>2</v>
      </c>
      <c r="V38" s="67" t="n">
        <f aca="false">MROUND((J38*0.5),5)</f>
        <v>0</v>
      </c>
      <c r="W38" s="42" t="s">
        <v>44</v>
      </c>
    </row>
    <row r="39" customFormat="false" ht="15" hidden="false" customHeight="false" outlineLevel="0" collapsed="false">
      <c r="B39" s="68" t="s">
        <v>61</v>
      </c>
      <c r="C39" s="150"/>
      <c r="D39" s="70" t="str">
        <f aca="false" t="array" ref="D39:D39">INDEX(Table_Name52[Name List],MATCH(B39,Table_Name52[Category],0))</f>
        <v>Quads[Exercise]</v>
      </c>
      <c r="E39" s="71" t="e">
        <f aca="false" t="array" ref="E39:E39">INDEX(Links73[Link],MATCH(C39,Links73[Exercise],0))</f>
        <v>#N/A</v>
      </c>
      <c r="F39" s="72" t="e">
        <f aca="false">HYPERLINK(E39,"Video")</f>
        <v>#N/A</v>
      </c>
      <c r="G39" s="73"/>
      <c r="H39" s="61" t="n">
        <f aca="false">C39</f>
        <v>0</v>
      </c>
      <c r="I39" s="62" t="n">
        <v>3</v>
      </c>
      <c r="J39" s="62" t="n">
        <f aca="false">MROUND(((G39)),5)</f>
        <v>0</v>
      </c>
      <c r="K39" s="62" t="s">
        <v>41</v>
      </c>
      <c r="L39" s="62"/>
      <c r="M39" s="64"/>
      <c r="N39" s="61" t="n">
        <f aca="false">C39</f>
        <v>0</v>
      </c>
      <c r="O39" s="62" t="n">
        <f aca="false">I39+(S20)</f>
        <v>3</v>
      </c>
      <c r="P39" s="62" t="n">
        <f aca="false">MROUND((J39*1.05),5)</f>
        <v>0</v>
      </c>
      <c r="Q39" s="62" t="s">
        <v>41</v>
      </c>
      <c r="R39" s="62"/>
      <c r="S39" s="64"/>
      <c r="T39" s="63" t="n">
        <f aca="false">C39</f>
        <v>0</v>
      </c>
      <c r="U39" s="62" t="n">
        <v>2</v>
      </c>
      <c r="V39" s="67" t="n">
        <f aca="false">MROUND((J39*0.5),5)</f>
        <v>0</v>
      </c>
      <c r="W39" s="42" t="s">
        <v>44</v>
      </c>
    </row>
    <row r="40" customFormat="false" ht="15" hidden="false" customHeight="false" outlineLevel="0" collapsed="false">
      <c r="B40" s="68" t="s">
        <v>83</v>
      </c>
      <c r="C40" s="150"/>
      <c r="D40" s="70" t="str">
        <f aca="false" t="array" ref="D40:D40">INDEX(Table_Name52[Name List],MATCH(B40,Table_Name52[Category],0))</f>
        <v>Biceps[Exercise]</v>
      </c>
      <c r="E40" s="71" t="e">
        <f aca="false" t="array" ref="E40:E40">INDEX(Links73[Link],MATCH(C40,Links73[Exercise],0))</f>
        <v>#N/A</v>
      </c>
      <c r="F40" s="72" t="e">
        <f aca="false">HYPERLINK(E40,"Video")</f>
        <v>#N/A</v>
      </c>
      <c r="G40" s="73"/>
      <c r="H40" s="61" t="n">
        <f aca="false">C40</f>
        <v>0</v>
      </c>
      <c r="I40" s="62" t="n">
        <v>2</v>
      </c>
      <c r="J40" s="62" t="n">
        <f aca="false">MROUND(((G40)),5)</f>
        <v>0</v>
      </c>
      <c r="K40" s="62" t="s">
        <v>41</v>
      </c>
      <c r="L40" s="62"/>
      <c r="M40" s="64"/>
      <c r="N40" s="61" t="n">
        <f aca="false">C40</f>
        <v>0</v>
      </c>
      <c r="O40" s="62" t="n">
        <f aca="false">I40+(S14)</f>
        <v>2</v>
      </c>
      <c r="P40" s="62" t="n">
        <f aca="false">MROUND((J40*1.05),5)</f>
        <v>0</v>
      </c>
      <c r="Q40" s="62" t="s">
        <v>41</v>
      </c>
      <c r="R40" s="62"/>
      <c r="S40" s="64"/>
      <c r="T40" s="63" t="n">
        <f aca="false">C40</f>
        <v>0</v>
      </c>
      <c r="U40" s="62" t="n">
        <v>2</v>
      </c>
      <c r="V40" s="67" t="n">
        <f aca="false">MROUND((J40*0.5),5)</f>
        <v>0</v>
      </c>
      <c r="W40" s="42" t="s">
        <v>44</v>
      </c>
    </row>
    <row r="41" customFormat="false" ht="15" hidden="false" customHeight="false" outlineLevel="0" collapsed="false">
      <c r="B41" s="68" t="s">
        <v>85</v>
      </c>
      <c r="C41" s="150"/>
      <c r="D41" s="70" t="str">
        <f aca="false" t="array" ref="D41:D41">INDEX(Table_Name52[Name List],MATCH(B41,Table_Name52[Category],0))</f>
        <v>Traps[Exercise]</v>
      </c>
      <c r="E41" s="71" t="e">
        <f aca="false" t="array" ref="E41:E41">INDEX(Links73[Link],MATCH(C41,Links73[Exercise],0))</f>
        <v>#N/A</v>
      </c>
      <c r="F41" s="72" t="e">
        <f aca="false">HYPERLINK(E41,"Video")</f>
        <v>#N/A</v>
      </c>
      <c r="G41" s="73"/>
      <c r="H41" s="61" t="n">
        <f aca="false">C41</f>
        <v>0</v>
      </c>
      <c r="I41" s="62" t="n">
        <v>2</v>
      </c>
      <c r="J41" s="62" t="n">
        <f aca="false">MROUND(((G41)),5)</f>
        <v>0</v>
      </c>
      <c r="K41" s="62" t="s">
        <v>41</v>
      </c>
      <c r="L41" s="62"/>
      <c r="M41" s="64"/>
      <c r="N41" s="61" t="n">
        <f aca="false">C41</f>
        <v>0</v>
      </c>
      <c r="O41" s="62" t="n">
        <f aca="false">I41+(S15)</f>
        <v>2</v>
      </c>
      <c r="P41" s="62" t="n">
        <f aca="false">MROUND((J41*1.05),5)</f>
        <v>0</v>
      </c>
      <c r="Q41" s="62" t="s">
        <v>41</v>
      </c>
      <c r="R41" s="62"/>
      <c r="S41" s="64"/>
      <c r="T41" s="63" t="n">
        <f aca="false">C41</f>
        <v>0</v>
      </c>
      <c r="U41" s="62" t="n">
        <v>2</v>
      </c>
      <c r="V41" s="67" t="n">
        <f aca="false">MROUND((J41*0.5),5)</f>
        <v>0</v>
      </c>
      <c r="W41" s="42" t="s">
        <v>44</v>
      </c>
    </row>
    <row r="42" customFormat="false" ht="15" hidden="false" customHeight="false" outlineLevel="0" collapsed="false">
      <c r="B42" s="74" t="s">
        <v>66</v>
      </c>
      <c r="C42" s="152"/>
      <c r="D42" s="70" t="str">
        <f aca="false" t="array" ref="D42:D42">INDEX(Table_Name52[Name List],MATCH(B42,Table_Name52[Category],0))</f>
        <v>Calves[Exercise]</v>
      </c>
      <c r="E42" s="71" t="e">
        <f aca="false" t="array" ref="E42:E42">INDEX(Links73[Link],MATCH(C42,Links73[Exercise],0))</f>
        <v>#N/A</v>
      </c>
      <c r="F42" s="78" t="e">
        <f aca="false">HYPERLINK(E42,"Video")</f>
        <v>#N/A</v>
      </c>
      <c r="G42" s="79"/>
      <c r="H42" s="80" t="n">
        <f aca="false">C42</f>
        <v>0</v>
      </c>
      <c r="I42" s="81" t="n">
        <v>3</v>
      </c>
      <c r="J42" s="81" t="n">
        <f aca="false">MROUND(((G42)),5)</f>
        <v>0</v>
      </c>
      <c r="K42" s="81" t="s">
        <v>41</v>
      </c>
      <c r="L42" s="81"/>
      <c r="M42" s="64"/>
      <c r="N42" s="83" t="n">
        <f aca="false">C42</f>
        <v>0</v>
      </c>
      <c r="O42" s="81" t="n">
        <f aca="false">I42+(S22)</f>
        <v>3</v>
      </c>
      <c r="P42" s="81" t="n">
        <f aca="false">MROUND((J42*1.05),5)</f>
        <v>0</v>
      </c>
      <c r="Q42" s="81" t="s">
        <v>41</v>
      </c>
      <c r="R42" s="81"/>
      <c r="S42" s="64"/>
      <c r="T42" s="83" t="n">
        <f aca="false">C42</f>
        <v>0</v>
      </c>
      <c r="U42" s="81" t="n">
        <v>2</v>
      </c>
      <c r="V42" s="85" t="n">
        <f aca="false">MROUND((J42*0.5),5)</f>
        <v>0</v>
      </c>
      <c r="W42" s="82" t="s">
        <v>44</v>
      </c>
    </row>
    <row r="43" s="89" customFormat="true" ht="14.4" hidden="false" customHeight="false" outlineLevel="0" collapsed="false">
      <c r="C43" s="90"/>
      <c r="D43" s="90"/>
      <c r="E43" s="91"/>
      <c r="F43" s="92"/>
      <c r="G43" s="65"/>
      <c r="H43" s="90"/>
      <c r="I43" s="28"/>
      <c r="J43" s="28"/>
      <c r="K43" s="28"/>
      <c r="L43" s="28"/>
      <c r="M43" s="28"/>
      <c r="N43" s="90"/>
      <c r="O43" s="28"/>
      <c r="P43" s="28"/>
      <c r="Q43" s="28"/>
      <c r="R43" s="28"/>
      <c r="S43" s="28"/>
      <c r="T43" s="90"/>
      <c r="U43" s="28"/>
      <c r="V43" s="28"/>
      <c r="W43" s="28"/>
    </row>
    <row r="44" s="89" customFormat="true" ht="14.4" hidden="false" customHeight="false" outlineLevel="0" collapsed="false">
      <c r="B44" s="93" t="s">
        <v>87</v>
      </c>
      <c r="C44" s="90"/>
      <c r="D44" s="90"/>
      <c r="E44" s="91"/>
      <c r="F44" s="92"/>
      <c r="G44" s="65"/>
      <c r="H44" s="90"/>
      <c r="I44" s="28"/>
      <c r="J44" s="28"/>
      <c r="K44" s="28"/>
      <c r="L44" s="28"/>
      <c r="M44" s="28"/>
      <c r="N44" s="90"/>
      <c r="O44" s="28"/>
      <c r="P44" s="28"/>
      <c r="Q44" s="28"/>
      <c r="R44" s="28"/>
      <c r="S44" s="28"/>
      <c r="T44" s="90"/>
      <c r="U44" s="28"/>
      <c r="V44" s="28"/>
      <c r="W44" s="28"/>
    </row>
    <row r="45" s="89" customFormat="true" ht="14.4" hidden="false" customHeight="false" outlineLevel="0" collapsed="false">
      <c r="B45" s="94"/>
      <c r="C45" s="90"/>
      <c r="D45" s="90"/>
      <c r="E45" s="91"/>
      <c r="F45" s="92"/>
      <c r="G45" s="65"/>
      <c r="H45" s="90"/>
      <c r="I45" s="28"/>
      <c r="J45" s="28"/>
      <c r="K45" s="28"/>
      <c r="L45" s="28"/>
      <c r="M45" s="28"/>
      <c r="N45" s="90"/>
      <c r="O45" s="28"/>
      <c r="P45" s="28"/>
      <c r="Q45" s="28"/>
      <c r="R45" s="28"/>
      <c r="S45" s="28"/>
      <c r="T45" s="90"/>
      <c r="U45" s="28"/>
      <c r="V45" s="28"/>
      <c r="W45" s="28"/>
    </row>
    <row r="46" s="89" customFormat="true" ht="14.4" hidden="false" customHeight="false" outlineLevel="0" collapsed="false">
      <c r="B46" s="94"/>
      <c r="C46" s="90"/>
      <c r="D46" s="90"/>
      <c r="E46" s="91"/>
      <c r="F46" s="92"/>
      <c r="G46" s="65"/>
      <c r="H46" s="90"/>
      <c r="I46" s="28"/>
      <c r="J46" s="28"/>
      <c r="K46" s="28"/>
      <c r="L46" s="28"/>
      <c r="M46" s="28"/>
      <c r="N46" s="90"/>
      <c r="O46" s="28"/>
      <c r="P46" s="28"/>
      <c r="Q46" s="28"/>
      <c r="R46" s="28"/>
      <c r="S46" s="28"/>
      <c r="T46" s="90"/>
      <c r="U46" s="28"/>
      <c r="V46" s="28"/>
      <c r="W46" s="28"/>
    </row>
    <row r="47" s="89" customFormat="true" ht="14.4" hidden="false" customHeight="false" outlineLevel="0" collapsed="false">
      <c r="B47" s="94"/>
      <c r="C47" s="90"/>
      <c r="D47" s="90"/>
      <c r="E47" s="91"/>
      <c r="F47" s="92"/>
      <c r="G47" s="65"/>
      <c r="H47" s="90"/>
      <c r="I47" s="28"/>
      <c r="J47" s="28"/>
      <c r="K47" s="28"/>
      <c r="L47" s="28"/>
      <c r="M47" s="28"/>
      <c r="N47" s="90"/>
      <c r="O47" s="28"/>
      <c r="P47" s="28"/>
      <c r="Q47" s="28"/>
      <c r="R47" s="28"/>
      <c r="S47" s="28"/>
      <c r="T47" s="90"/>
      <c r="U47" s="28"/>
      <c r="V47" s="28"/>
      <c r="W47" s="28"/>
    </row>
    <row r="48" s="89" customFormat="true" ht="14.4" hidden="false" customHeight="false" outlineLevel="0" collapsed="false">
      <c r="B48" s="94"/>
      <c r="C48" s="90"/>
      <c r="D48" s="90"/>
      <c r="E48" s="91"/>
      <c r="F48" s="92"/>
      <c r="G48" s="65"/>
      <c r="H48" s="90"/>
      <c r="I48" s="28"/>
      <c r="J48" s="28"/>
      <c r="K48" s="28"/>
      <c r="L48" s="28"/>
      <c r="M48" s="28"/>
      <c r="N48" s="90"/>
      <c r="O48" s="28"/>
      <c r="P48" s="28"/>
      <c r="Q48" s="28"/>
      <c r="R48" s="28"/>
      <c r="S48" s="28"/>
      <c r="T48" s="90"/>
      <c r="U48" s="28"/>
      <c r="V48" s="28"/>
      <c r="W48" s="28"/>
    </row>
    <row r="49" s="89" customFormat="true" ht="14.4" hidden="false" customHeight="false" outlineLevel="0" collapsed="false">
      <c r="B49" s="94"/>
      <c r="C49" s="90"/>
      <c r="D49" s="90"/>
      <c r="E49" s="91"/>
      <c r="F49" s="92"/>
      <c r="G49" s="65"/>
      <c r="H49" s="90"/>
      <c r="I49" s="28"/>
      <c r="J49" s="28"/>
      <c r="K49" s="28"/>
      <c r="L49" s="28"/>
      <c r="M49" s="28"/>
      <c r="N49" s="90"/>
      <c r="O49" s="28"/>
      <c r="P49" s="28"/>
      <c r="Q49" s="28"/>
      <c r="R49" s="28"/>
      <c r="S49" s="28"/>
      <c r="T49" s="90"/>
      <c r="U49" s="28"/>
      <c r="V49" s="28"/>
      <c r="W49" s="28"/>
    </row>
    <row r="50" s="89" customFormat="true" ht="14.4" hidden="false" customHeight="false" outlineLevel="0" collapsed="false">
      <c r="B50" s="94"/>
      <c r="C50" s="90"/>
      <c r="D50" s="90"/>
      <c r="E50" s="91"/>
      <c r="F50" s="92"/>
      <c r="G50" s="65"/>
      <c r="H50" s="90"/>
      <c r="I50" s="28"/>
      <c r="J50" s="28"/>
      <c r="K50" s="28"/>
      <c r="L50" s="28"/>
      <c r="M50" s="28"/>
      <c r="N50" s="90"/>
      <c r="O50" s="28"/>
      <c r="P50" s="28"/>
      <c r="Q50" s="28"/>
      <c r="R50" s="28"/>
      <c r="S50" s="28"/>
      <c r="T50" s="90"/>
      <c r="U50" s="28"/>
      <c r="V50" s="28"/>
      <c r="W50" s="28"/>
    </row>
    <row r="51" s="89" customFormat="true" ht="14.4" hidden="false" customHeight="false" outlineLevel="0" collapsed="false">
      <c r="B51" s="94"/>
      <c r="C51" s="90"/>
      <c r="D51" s="90"/>
      <c r="E51" s="91"/>
      <c r="F51" s="92"/>
      <c r="G51" s="65"/>
      <c r="H51" s="90"/>
      <c r="I51" s="28"/>
      <c r="J51" s="28"/>
      <c r="K51" s="28"/>
      <c r="L51" s="28"/>
      <c r="M51" s="28"/>
      <c r="N51" s="90"/>
      <c r="O51" s="28"/>
      <c r="P51" s="28"/>
      <c r="Q51" s="28"/>
      <c r="R51" s="28"/>
      <c r="S51" s="28"/>
      <c r="T51" s="90"/>
      <c r="U51" s="28"/>
      <c r="V51" s="28"/>
      <c r="W51" s="28"/>
    </row>
    <row r="52" s="89" customFormat="true" ht="14.4" hidden="false" customHeight="false" outlineLevel="0" collapsed="false">
      <c r="B52" s="94"/>
      <c r="C52" s="90"/>
      <c r="D52" s="90"/>
      <c r="E52" s="91"/>
      <c r="F52" s="92"/>
      <c r="G52" s="65"/>
      <c r="H52" s="90"/>
      <c r="I52" s="28"/>
      <c r="J52" s="28"/>
      <c r="K52" s="28"/>
      <c r="L52" s="28"/>
      <c r="M52" s="28"/>
      <c r="N52" s="90"/>
      <c r="O52" s="28"/>
      <c r="P52" s="28"/>
      <c r="Q52" s="28"/>
      <c r="R52" s="28"/>
      <c r="S52" s="28"/>
      <c r="T52" s="90"/>
      <c r="U52" s="28"/>
      <c r="V52" s="28"/>
      <c r="W52" s="28"/>
    </row>
    <row r="53" s="89" customFormat="true" ht="14.4" hidden="false" customHeight="false" outlineLevel="0" collapsed="false">
      <c r="B53" s="94"/>
      <c r="C53" s="90"/>
      <c r="D53" s="90"/>
      <c r="E53" s="91"/>
      <c r="F53" s="92"/>
      <c r="G53" s="65"/>
      <c r="H53" s="90"/>
      <c r="I53" s="28"/>
      <c r="J53" s="28"/>
      <c r="K53" s="28"/>
      <c r="L53" s="28"/>
      <c r="M53" s="28"/>
      <c r="N53" s="90"/>
      <c r="O53" s="28"/>
      <c r="P53" s="28"/>
      <c r="Q53" s="28"/>
      <c r="R53" s="28"/>
      <c r="S53" s="28"/>
      <c r="T53" s="90"/>
      <c r="U53" s="28"/>
      <c r="V53" s="28"/>
      <c r="W53" s="28"/>
    </row>
    <row r="54" s="89" customFormat="true" ht="14.4" hidden="false" customHeight="false" outlineLevel="0" collapsed="false">
      <c r="B54" s="94"/>
      <c r="C54" s="90"/>
      <c r="D54" s="90"/>
      <c r="E54" s="91"/>
      <c r="F54" s="92"/>
      <c r="G54" s="65"/>
      <c r="H54" s="90"/>
      <c r="I54" s="28"/>
      <c r="J54" s="28"/>
      <c r="K54" s="28"/>
      <c r="L54" s="28"/>
      <c r="M54" s="28"/>
      <c r="N54" s="90"/>
      <c r="O54" s="28"/>
      <c r="P54" s="28"/>
      <c r="Q54" s="28"/>
      <c r="R54" s="28"/>
      <c r="S54" s="28"/>
      <c r="T54" s="90"/>
      <c r="U54" s="28"/>
      <c r="V54" s="28"/>
      <c r="W54" s="28"/>
    </row>
    <row r="55" s="89" customFormat="true" ht="14.4" hidden="false" customHeight="false" outlineLevel="0" collapsed="false">
      <c r="B55" s="94"/>
      <c r="C55" s="90"/>
      <c r="D55" s="90"/>
      <c r="E55" s="91"/>
      <c r="F55" s="92"/>
      <c r="G55" s="65"/>
      <c r="H55" s="90"/>
      <c r="I55" s="28"/>
      <c r="J55" s="28"/>
      <c r="K55" s="28"/>
      <c r="L55" s="28"/>
      <c r="M55" s="28"/>
      <c r="N55" s="90"/>
      <c r="O55" s="28"/>
      <c r="P55" s="28"/>
      <c r="Q55" s="28"/>
      <c r="R55" s="28"/>
      <c r="S55" s="28"/>
      <c r="T55" s="90"/>
      <c r="U55" s="28"/>
      <c r="V55" s="28"/>
      <c r="W55" s="28"/>
    </row>
    <row r="56" s="89" customFormat="true" ht="14.4" hidden="false" customHeight="false" outlineLevel="0" collapsed="false">
      <c r="B56" s="94"/>
      <c r="C56" s="90"/>
      <c r="D56" s="90"/>
      <c r="E56" s="91"/>
      <c r="F56" s="92"/>
      <c r="G56" s="65"/>
      <c r="H56" s="90"/>
      <c r="I56" s="28"/>
      <c r="J56" s="28"/>
      <c r="K56" s="28"/>
      <c r="L56" s="28"/>
      <c r="M56" s="28"/>
      <c r="N56" s="90"/>
      <c r="O56" s="28"/>
      <c r="P56" s="28"/>
      <c r="Q56" s="28"/>
      <c r="R56" s="28"/>
      <c r="S56" s="28"/>
      <c r="T56" s="90"/>
      <c r="U56" s="28"/>
      <c r="V56" s="28"/>
      <c r="W56" s="28"/>
    </row>
    <row r="57" s="89" customFormat="true" ht="14.4" hidden="false" customHeight="false" outlineLevel="0" collapsed="false">
      <c r="B57" s="94"/>
      <c r="C57" s="90"/>
      <c r="D57" s="90"/>
      <c r="E57" s="91"/>
      <c r="F57" s="92"/>
      <c r="G57" s="65"/>
      <c r="H57" s="90"/>
      <c r="I57" s="28"/>
      <c r="J57" s="28"/>
      <c r="K57" s="28"/>
      <c r="L57" s="28"/>
      <c r="M57" s="28"/>
      <c r="N57" s="90"/>
      <c r="O57" s="28"/>
      <c r="P57" s="28"/>
      <c r="Q57" s="28"/>
      <c r="R57" s="28"/>
      <c r="S57" s="28"/>
      <c r="T57" s="90"/>
      <c r="U57" s="28"/>
      <c r="V57" s="28"/>
      <c r="W57" s="28"/>
    </row>
    <row r="58" s="89" customFormat="true" ht="14.4" hidden="false" customHeight="false" outlineLevel="0" collapsed="false">
      <c r="B58" s="94"/>
      <c r="C58" s="90"/>
      <c r="D58" s="90"/>
      <c r="E58" s="91"/>
      <c r="F58" s="92"/>
      <c r="G58" s="65"/>
      <c r="H58" s="90"/>
      <c r="I58" s="28"/>
      <c r="J58" s="28"/>
      <c r="K58" s="28"/>
      <c r="L58" s="28"/>
      <c r="M58" s="28"/>
      <c r="N58" s="90"/>
      <c r="O58" s="28"/>
      <c r="P58" s="28"/>
      <c r="Q58" s="28"/>
      <c r="R58" s="28"/>
      <c r="S58" s="28"/>
      <c r="T58" s="90"/>
      <c r="U58" s="28"/>
      <c r="V58" s="28"/>
      <c r="W58" s="28"/>
    </row>
    <row r="59" s="89" customFormat="true" ht="14.4" hidden="false" customHeight="false" outlineLevel="0" collapsed="false">
      <c r="B59" s="94"/>
      <c r="C59" s="90"/>
      <c r="D59" s="90"/>
      <c r="E59" s="91"/>
      <c r="F59" s="92"/>
      <c r="G59" s="65"/>
      <c r="H59" s="90"/>
      <c r="I59" s="28"/>
      <c r="J59" s="28"/>
      <c r="K59" s="28"/>
      <c r="L59" s="28"/>
      <c r="M59" s="28"/>
      <c r="N59" s="90"/>
      <c r="O59" s="28"/>
      <c r="P59" s="28"/>
      <c r="Q59" s="28"/>
      <c r="R59" s="28"/>
      <c r="S59" s="28"/>
      <c r="T59" s="90"/>
      <c r="U59" s="28"/>
      <c r="V59" s="28"/>
      <c r="W59" s="28"/>
    </row>
    <row r="60" s="89" customFormat="true" ht="14.4" hidden="false" customHeight="false" outlineLevel="0" collapsed="false">
      <c r="B60" s="94"/>
      <c r="C60" s="90"/>
      <c r="D60" s="90"/>
      <c r="E60" s="91"/>
      <c r="F60" s="92"/>
      <c r="G60" s="65"/>
      <c r="H60" s="90"/>
      <c r="I60" s="28"/>
      <c r="J60" s="28"/>
      <c r="K60" s="28"/>
      <c r="L60" s="28"/>
      <c r="M60" s="28"/>
      <c r="N60" s="90"/>
      <c r="O60" s="28"/>
      <c r="P60" s="28"/>
      <c r="Q60" s="28"/>
      <c r="R60" s="28"/>
      <c r="S60" s="28"/>
      <c r="T60" s="90"/>
      <c r="U60" s="28"/>
      <c r="V60" s="28"/>
      <c r="W60" s="28"/>
    </row>
    <row r="61" customFormat="false" ht="14.4" hidden="false" customHeight="false" outlineLevel="0" collapsed="false">
      <c r="E61" s="89"/>
    </row>
    <row r="62" customFormat="false" ht="14.4" hidden="true" customHeight="false" outlineLevel="0" collapsed="false">
      <c r="C62" s="0" t="s">
        <v>88</v>
      </c>
      <c r="E62" s="89"/>
    </row>
    <row r="63" customFormat="false" ht="14.4" hidden="true" customHeight="false" outlineLevel="0" collapsed="false">
      <c r="C63" s="0" t="n">
        <v>1</v>
      </c>
      <c r="E63" s="89"/>
    </row>
    <row r="64" customFormat="false" ht="14.4" hidden="true" customHeight="false" outlineLevel="0" collapsed="false">
      <c r="C64" s="0" t="n">
        <v>0</v>
      </c>
      <c r="E64" s="89"/>
    </row>
    <row r="65" customFormat="false" ht="14.4" hidden="true" customHeight="false" outlineLevel="0" collapsed="false">
      <c r="C65" s="0" t="n">
        <v>-1</v>
      </c>
      <c r="E65" s="89"/>
    </row>
    <row r="66" customFormat="false" ht="14.4" hidden="true" customHeight="false" outlineLevel="0" collapsed="false">
      <c r="E66" s="89"/>
    </row>
    <row r="67" customFormat="false" ht="14.4" hidden="true" customHeight="false" outlineLevel="0" collapsed="false">
      <c r="E67" s="89"/>
    </row>
    <row r="68" customFormat="false" ht="14.4" hidden="true" customHeight="false" outlineLevel="0" collapsed="false">
      <c r="E68" s="89"/>
    </row>
    <row r="69" customFormat="false" ht="14.4" hidden="true" customHeight="false" outlineLevel="0" collapsed="false">
      <c r="E69" s="89"/>
      <c r="F69" s="91"/>
      <c r="G69" s="91"/>
      <c r="H69" s="91"/>
    </row>
    <row r="70" customFormat="false" ht="14.4" hidden="true" customHeight="false" outlineLevel="0" collapsed="false">
      <c r="A70" s="95" t="s">
        <v>55</v>
      </c>
      <c r="B70" s="96" t="s">
        <v>29</v>
      </c>
      <c r="C70" s="97" t="s">
        <v>89</v>
      </c>
      <c r="D70" s="91"/>
      <c r="E70" s="89"/>
      <c r="H70" s="66"/>
    </row>
    <row r="71" customFormat="false" ht="14.4" hidden="true" customHeight="false" outlineLevel="0" collapsed="false">
      <c r="A71" s="66"/>
      <c r="B71" s="98" t="s">
        <v>90</v>
      </c>
      <c r="C71" s="96" t="s">
        <v>91</v>
      </c>
      <c r="D71" s="41"/>
      <c r="E71" s="89"/>
      <c r="H71" s="66"/>
    </row>
    <row r="72" customFormat="false" ht="14.4" hidden="true" customHeight="false" outlineLevel="0" collapsed="false">
      <c r="A72" s="66"/>
      <c r="B72" s="98" t="s">
        <v>92</v>
      </c>
      <c r="C72" s="96" t="s">
        <v>93</v>
      </c>
      <c r="D72" s="41"/>
      <c r="E72" s="89"/>
      <c r="H72" s="66"/>
    </row>
    <row r="73" customFormat="false" ht="14.4" hidden="true" customHeight="false" outlineLevel="0" collapsed="false">
      <c r="A73" s="66"/>
      <c r="B73" s="98" t="s">
        <v>94</v>
      </c>
      <c r="C73" s="96" t="s">
        <v>95</v>
      </c>
      <c r="D73" s="41"/>
      <c r="E73" s="89"/>
      <c r="H73" s="66"/>
    </row>
    <row r="74" customFormat="false" ht="14.4" hidden="true" customHeight="false" outlineLevel="0" collapsed="false">
      <c r="A74" s="66"/>
      <c r="B74" s="98" t="s">
        <v>96</v>
      </c>
      <c r="C74" s="96" t="s">
        <v>97</v>
      </c>
      <c r="D74" s="41"/>
      <c r="E74" s="89"/>
      <c r="H74" s="66"/>
    </row>
    <row r="75" customFormat="false" ht="14.4" hidden="true" customHeight="false" outlineLevel="0" collapsed="false">
      <c r="A75" s="66"/>
      <c r="B75" s="98" t="s">
        <v>98</v>
      </c>
      <c r="C75" s="98" t="s">
        <v>99</v>
      </c>
      <c r="D75" s="99"/>
      <c r="E75" s="89"/>
      <c r="H75" s="66"/>
    </row>
    <row r="76" customFormat="false" ht="14.4" hidden="true" customHeight="false" outlineLevel="0" collapsed="false">
      <c r="A76" s="66"/>
      <c r="B76" s="98" t="s">
        <v>56</v>
      </c>
      <c r="C76" s="96" t="s">
        <v>100</v>
      </c>
      <c r="D76" s="41"/>
      <c r="E76" s="89"/>
      <c r="H76" s="66"/>
    </row>
    <row r="77" customFormat="false" ht="14.4" hidden="true" customHeight="false" outlineLevel="0" collapsed="false">
      <c r="A77" s="66"/>
      <c r="B77" s="98" t="s">
        <v>101</v>
      </c>
      <c r="C77" s="96" t="s">
        <v>102</v>
      </c>
      <c r="D77" s="41"/>
      <c r="E77" s="89"/>
      <c r="H77" s="41"/>
      <c r="I77" s="41"/>
    </row>
    <row r="78" customFormat="false" ht="14.4" hidden="true" customHeight="false" outlineLevel="0" collapsed="false">
      <c r="A78" s="41"/>
      <c r="B78" s="96"/>
      <c r="C78" s="97"/>
      <c r="D78" s="91"/>
      <c r="E78" s="89"/>
    </row>
    <row r="79" customFormat="false" ht="14.4" hidden="true" customHeight="false" outlineLevel="0" collapsed="false">
      <c r="A79" s="95" t="s">
        <v>66</v>
      </c>
      <c r="B79" s="100" t="s">
        <v>29</v>
      </c>
      <c r="C79" s="101" t="s">
        <v>89</v>
      </c>
      <c r="D79" s="102"/>
      <c r="E79" s="89"/>
      <c r="H79" s="95"/>
      <c r="I79" s="41"/>
    </row>
    <row r="80" customFormat="false" ht="14.4" hidden="true" customHeight="false" outlineLevel="0" collapsed="false">
      <c r="A80" s="66"/>
      <c r="B80" s="98" t="s">
        <v>67</v>
      </c>
      <c r="C80" s="96" t="s">
        <v>103</v>
      </c>
      <c r="D80" s="41"/>
      <c r="E80" s="89"/>
      <c r="H80" s="66"/>
    </row>
    <row r="81" customFormat="false" ht="14.4" hidden="true" customHeight="false" outlineLevel="0" collapsed="false">
      <c r="A81" s="66"/>
      <c r="B81" s="98" t="s">
        <v>104</v>
      </c>
      <c r="C81" s="96" t="s">
        <v>105</v>
      </c>
      <c r="D81" s="41"/>
      <c r="E81" s="89"/>
      <c r="H81" s="66"/>
    </row>
    <row r="82" customFormat="false" ht="14.4" hidden="true" customHeight="false" outlineLevel="0" collapsed="false">
      <c r="A82" s="66"/>
      <c r="B82" s="98" t="s">
        <v>106</v>
      </c>
      <c r="C82" s="96" t="s">
        <v>107</v>
      </c>
      <c r="D82" s="41"/>
      <c r="E82" s="89"/>
      <c r="H82" s="66"/>
    </row>
    <row r="83" customFormat="false" ht="14.4" hidden="true" customHeight="false" outlineLevel="0" collapsed="false">
      <c r="A83" s="66"/>
      <c r="B83" s="98" t="s">
        <v>108</v>
      </c>
      <c r="C83" s="96" t="s">
        <v>109</v>
      </c>
      <c r="D83" s="41"/>
      <c r="E83" s="89"/>
      <c r="H83" s="66"/>
    </row>
    <row r="84" customFormat="false" ht="14.4" hidden="true" customHeight="false" outlineLevel="0" collapsed="false">
      <c r="A84" s="41"/>
      <c r="B84" s="96"/>
      <c r="C84" s="97"/>
      <c r="D84" s="91"/>
      <c r="E84" s="89"/>
      <c r="H84" s="41"/>
      <c r="I84" s="41"/>
    </row>
    <row r="85" customFormat="false" ht="14.4" hidden="true" customHeight="false" outlineLevel="0" collapsed="false">
      <c r="A85" s="95" t="s">
        <v>83</v>
      </c>
      <c r="B85" s="100" t="s">
        <v>29</v>
      </c>
      <c r="C85" s="101" t="s">
        <v>89</v>
      </c>
      <c r="D85" s="102"/>
      <c r="E85" s="89"/>
      <c r="H85" s="95"/>
      <c r="I85" s="41"/>
    </row>
    <row r="86" customFormat="false" ht="14.4" hidden="true" customHeight="false" outlineLevel="0" collapsed="false">
      <c r="A86" s="66"/>
      <c r="B86" s="98" t="s">
        <v>110</v>
      </c>
      <c r="C86" s="96" t="s">
        <v>111</v>
      </c>
      <c r="D86" s="41"/>
      <c r="E86" s="89"/>
      <c r="H86" s="66"/>
    </row>
    <row r="87" customFormat="false" ht="14.4" hidden="true" customHeight="false" outlineLevel="0" collapsed="false">
      <c r="A87" s="66"/>
      <c r="B87" s="98" t="s">
        <v>112</v>
      </c>
      <c r="C87" s="96" t="s">
        <v>113</v>
      </c>
      <c r="D87" s="41"/>
      <c r="E87" s="89"/>
      <c r="H87" s="66"/>
    </row>
    <row r="88" customFormat="false" ht="14.4" hidden="true" customHeight="false" outlineLevel="0" collapsed="false">
      <c r="A88" s="66"/>
      <c r="B88" s="98" t="s">
        <v>114</v>
      </c>
      <c r="C88" s="96" t="s">
        <v>115</v>
      </c>
      <c r="D88" s="41"/>
      <c r="E88" s="89"/>
      <c r="H88" s="66"/>
    </row>
    <row r="89" customFormat="false" ht="14.4" hidden="true" customHeight="false" outlineLevel="0" collapsed="false">
      <c r="A89" s="66"/>
      <c r="B89" s="98" t="s">
        <v>116</v>
      </c>
      <c r="C89" s="96" t="s">
        <v>117</v>
      </c>
      <c r="D89" s="41"/>
      <c r="E89" s="89"/>
      <c r="H89" s="66"/>
    </row>
    <row r="90" customFormat="false" ht="14.4" hidden="true" customHeight="false" outlineLevel="0" collapsed="false">
      <c r="A90" s="66"/>
      <c r="B90" s="98" t="s">
        <v>118</v>
      </c>
      <c r="C90" s="96" t="s">
        <v>119</v>
      </c>
      <c r="D90" s="41"/>
      <c r="E90" s="89"/>
      <c r="H90" s="66"/>
    </row>
    <row r="91" customFormat="false" ht="14.4" hidden="true" customHeight="false" outlineLevel="0" collapsed="false">
      <c r="A91" s="66"/>
      <c r="B91" s="98" t="s">
        <v>120</v>
      </c>
      <c r="C91" s="96" t="s">
        <v>121</v>
      </c>
      <c r="D91" s="41"/>
      <c r="E91" s="89"/>
      <c r="H91" s="66"/>
    </row>
    <row r="92" customFormat="false" ht="14.4" hidden="true" customHeight="false" outlineLevel="0" collapsed="false">
      <c r="A92" s="66"/>
      <c r="B92" s="98" t="s">
        <v>122</v>
      </c>
      <c r="C92" s="96" t="s">
        <v>123</v>
      </c>
      <c r="D92" s="41"/>
      <c r="E92" s="89"/>
      <c r="H92" s="66"/>
    </row>
    <row r="93" customFormat="false" ht="14.4" hidden="true" customHeight="false" outlineLevel="0" collapsed="false">
      <c r="A93" s="66"/>
      <c r="B93" s="98" t="s">
        <v>84</v>
      </c>
      <c r="C93" s="96" t="s">
        <v>124</v>
      </c>
      <c r="D93" s="41"/>
      <c r="E93" s="89"/>
      <c r="H93" s="66"/>
    </row>
    <row r="94" customFormat="false" ht="14.4" hidden="true" customHeight="false" outlineLevel="0" collapsed="false">
      <c r="A94" s="66"/>
      <c r="B94" s="98" t="s">
        <v>125</v>
      </c>
      <c r="C94" s="98" t="s">
        <v>126</v>
      </c>
      <c r="D94" s="99"/>
      <c r="E94" s="89"/>
      <c r="H94" s="66"/>
    </row>
    <row r="95" customFormat="false" ht="14.4" hidden="true" customHeight="false" outlineLevel="0" collapsed="false">
      <c r="A95" s="66"/>
      <c r="B95" s="98" t="s">
        <v>127</v>
      </c>
      <c r="C95" s="96" t="s">
        <v>128</v>
      </c>
      <c r="D95" s="41"/>
      <c r="E95" s="89"/>
      <c r="H95" s="66"/>
    </row>
    <row r="96" customFormat="false" ht="14.4" hidden="true" customHeight="false" outlineLevel="0" collapsed="false">
      <c r="A96" s="66"/>
      <c r="B96" s="98" t="s">
        <v>129</v>
      </c>
      <c r="C96" s="96" t="s">
        <v>130</v>
      </c>
      <c r="D96" s="41"/>
      <c r="E96" s="89"/>
      <c r="H96" s="66"/>
    </row>
    <row r="97" customFormat="false" ht="14.4" hidden="true" customHeight="false" outlineLevel="0" collapsed="false">
      <c r="A97" s="41"/>
      <c r="B97" s="96"/>
      <c r="C97" s="103"/>
      <c r="E97" s="89"/>
      <c r="H97" s="41"/>
      <c r="I97" s="41"/>
    </row>
    <row r="98" customFormat="false" ht="14.4" hidden="true" customHeight="false" outlineLevel="0" collapsed="false">
      <c r="A98" s="95" t="s">
        <v>131</v>
      </c>
      <c r="B98" s="100" t="s">
        <v>29</v>
      </c>
      <c r="C98" s="101" t="s">
        <v>89</v>
      </c>
      <c r="D98" s="102"/>
      <c r="E98" s="89"/>
      <c r="H98" s="95"/>
      <c r="I98" s="41"/>
    </row>
    <row r="99" customFormat="false" ht="14.4" hidden="true" customHeight="false" outlineLevel="0" collapsed="false">
      <c r="A99" s="66"/>
      <c r="B99" s="98" t="s">
        <v>132</v>
      </c>
      <c r="C99" s="96" t="s">
        <v>133</v>
      </c>
      <c r="D99" s="41"/>
      <c r="E99" s="89"/>
      <c r="H99" s="66"/>
    </row>
    <row r="100" customFormat="false" ht="14.4" hidden="true" customHeight="false" outlineLevel="0" collapsed="false">
      <c r="A100" s="66"/>
      <c r="B100" s="98" t="s">
        <v>134</v>
      </c>
      <c r="C100" s="96" t="s">
        <v>135</v>
      </c>
      <c r="D100" s="41"/>
      <c r="E100" s="89"/>
      <c r="H100" s="66"/>
    </row>
    <row r="101" customFormat="false" ht="14.4" hidden="true" customHeight="false" outlineLevel="0" collapsed="false">
      <c r="A101" s="66"/>
      <c r="B101" s="98" t="s">
        <v>76</v>
      </c>
      <c r="C101" s="96" t="s">
        <v>136</v>
      </c>
      <c r="D101" s="41"/>
      <c r="E101" s="89"/>
      <c r="H101" s="66"/>
    </row>
    <row r="102" customFormat="false" ht="14.4" hidden="true" customHeight="false" outlineLevel="0" collapsed="false">
      <c r="A102" s="66"/>
      <c r="B102" s="98" t="s">
        <v>137</v>
      </c>
      <c r="C102" s="96" t="s">
        <v>138</v>
      </c>
      <c r="D102" s="41"/>
      <c r="E102" s="89"/>
      <c r="H102" s="66"/>
    </row>
    <row r="103" customFormat="false" ht="14.4" hidden="true" customHeight="false" outlineLevel="0" collapsed="false">
      <c r="A103" s="41"/>
      <c r="B103" s="96"/>
      <c r="C103" s="96"/>
      <c r="D103" s="41"/>
      <c r="E103" s="89"/>
      <c r="H103" s="41"/>
    </row>
    <row r="104" customFormat="false" ht="14.4" hidden="true" customHeight="false" outlineLevel="0" collapsed="false">
      <c r="A104" s="104" t="s">
        <v>53</v>
      </c>
      <c r="B104" s="100" t="s">
        <v>29</v>
      </c>
      <c r="C104" s="101" t="s">
        <v>89</v>
      </c>
      <c r="D104" s="102"/>
      <c r="E104" s="89"/>
      <c r="H104" s="104"/>
    </row>
    <row r="105" customFormat="false" ht="14.4" hidden="true" customHeight="false" outlineLevel="0" collapsed="false">
      <c r="A105" s="66"/>
      <c r="B105" s="98" t="s">
        <v>139</v>
      </c>
      <c r="C105" s="96" t="s">
        <v>140</v>
      </c>
      <c r="D105" s="41"/>
      <c r="E105" s="89"/>
      <c r="H105" s="66"/>
    </row>
    <row r="106" customFormat="false" ht="14.4" hidden="true" customHeight="false" outlineLevel="0" collapsed="false">
      <c r="A106" s="66"/>
      <c r="B106" s="98" t="s">
        <v>141</v>
      </c>
      <c r="C106" s="96" t="s">
        <v>142</v>
      </c>
      <c r="D106" s="41"/>
      <c r="E106" s="89"/>
      <c r="H106" s="66"/>
    </row>
    <row r="107" customFormat="false" ht="14.4" hidden="true" customHeight="false" outlineLevel="0" collapsed="false">
      <c r="A107" s="66"/>
      <c r="B107" s="98" t="s">
        <v>143</v>
      </c>
      <c r="C107" s="96" t="s">
        <v>144</v>
      </c>
      <c r="D107" s="41"/>
      <c r="E107" s="89"/>
      <c r="H107" s="66"/>
    </row>
    <row r="108" customFormat="false" ht="14.4" hidden="true" customHeight="false" outlineLevel="0" collapsed="false">
      <c r="A108" s="66"/>
      <c r="B108" s="98" t="s">
        <v>54</v>
      </c>
      <c r="C108" s="96" t="s">
        <v>145</v>
      </c>
      <c r="D108" s="41"/>
      <c r="E108" s="89"/>
      <c r="H108" s="66"/>
    </row>
    <row r="109" customFormat="false" ht="14.4" hidden="true" customHeight="false" outlineLevel="0" collapsed="false">
      <c r="A109" s="66"/>
      <c r="B109" s="98" t="s">
        <v>146</v>
      </c>
      <c r="C109" s="96" t="s">
        <v>147</v>
      </c>
      <c r="D109" s="41"/>
      <c r="E109" s="89"/>
      <c r="H109" s="66"/>
    </row>
    <row r="110" customFormat="false" ht="14.4" hidden="true" customHeight="false" outlineLevel="0" collapsed="false">
      <c r="A110" s="41"/>
      <c r="B110" s="96"/>
      <c r="C110" s="96"/>
      <c r="D110" s="41"/>
      <c r="E110" s="89"/>
      <c r="H110" s="41"/>
    </row>
    <row r="111" customFormat="false" ht="14.4" hidden="true" customHeight="false" outlineLevel="0" collapsed="false">
      <c r="A111" s="104" t="s">
        <v>85</v>
      </c>
      <c r="B111" s="100" t="s">
        <v>29</v>
      </c>
      <c r="C111" s="101" t="s">
        <v>89</v>
      </c>
      <c r="D111" s="102"/>
      <c r="E111" s="89"/>
      <c r="H111" s="104"/>
    </row>
    <row r="112" customFormat="false" ht="14.4" hidden="true" customHeight="false" outlineLevel="0" collapsed="false">
      <c r="A112" s="66"/>
      <c r="B112" s="98" t="s">
        <v>148</v>
      </c>
      <c r="C112" s="96" t="s">
        <v>149</v>
      </c>
      <c r="D112" s="41"/>
      <c r="E112" s="89"/>
      <c r="H112" s="66"/>
    </row>
    <row r="113" customFormat="false" ht="14.4" hidden="true" customHeight="false" outlineLevel="0" collapsed="false">
      <c r="A113" s="66"/>
      <c r="B113" s="98" t="s">
        <v>150</v>
      </c>
      <c r="C113" s="96" t="s">
        <v>151</v>
      </c>
      <c r="D113" s="41"/>
      <c r="E113" s="89"/>
      <c r="H113" s="66"/>
    </row>
    <row r="114" customFormat="false" ht="14.4" hidden="true" customHeight="false" outlineLevel="0" collapsed="false">
      <c r="A114" s="66"/>
      <c r="B114" s="98" t="s">
        <v>86</v>
      </c>
      <c r="C114" s="96" t="s">
        <v>152</v>
      </c>
      <c r="D114" s="41"/>
      <c r="E114" s="89"/>
      <c r="H114" s="66"/>
    </row>
    <row r="115" customFormat="false" ht="14.4" hidden="true" customHeight="false" outlineLevel="0" collapsed="false">
      <c r="A115" s="66"/>
      <c r="B115" s="98" t="s">
        <v>153</v>
      </c>
      <c r="C115" s="96" t="s">
        <v>154</v>
      </c>
      <c r="D115" s="41"/>
      <c r="E115" s="89"/>
      <c r="H115" s="66"/>
    </row>
    <row r="116" customFormat="false" ht="14.4" hidden="true" customHeight="false" outlineLevel="0" collapsed="false">
      <c r="A116" s="66"/>
      <c r="B116" s="98"/>
      <c r="C116" s="96"/>
      <c r="D116" s="41"/>
      <c r="E116" s="89"/>
      <c r="H116" s="66"/>
    </row>
    <row r="117" customFormat="false" ht="14.4" hidden="true" customHeight="false" outlineLevel="0" collapsed="false">
      <c r="A117" s="104" t="s">
        <v>155</v>
      </c>
      <c r="B117" s="100" t="s">
        <v>29</v>
      </c>
      <c r="C117" s="101" t="s">
        <v>89</v>
      </c>
      <c r="D117" s="102"/>
      <c r="E117" s="89"/>
      <c r="H117" s="104"/>
    </row>
    <row r="118" customFormat="false" ht="14.4" hidden="true" customHeight="false" outlineLevel="0" collapsed="false">
      <c r="A118" s="66"/>
      <c r="B118" s="98" t="s">
        <v>156</v>
      </c>
      <c r="C118" s="96" t="s">
        <v>157</v>
      </c>
      <c r="D118" s="41"/>
      <c r="E118" s="89"/>
      <c r="H118" s="66"/>
    </row>
    <row r="119" customFormat="false" ht="14.4" hidden="true" customHeight="false" outlineLevel="0" collapsed="false">
      <c r="A119" s="66"/>
      <c r="B119" s="98" t="s">
        <v>46</v>
      </c>
      <c r="C119" s="96" t="s">
        <v>158</v>
      </c>
      <c r="D119" s="41"/>
      <c r="E119" s="89"/>
      <c r="H119" s="66"/>
    </row>
    <row r="120" customFormat="false" ht="14.4" hidden="true" customHeight="false" outlineLevel="0" collapsed="false">
      <c r="A120" s="66"/>
      <c r="B120" s="98" t="s">
        <v>159</v>
      </c>
      <c r="C120" s="96" t="s">
        <v>160</v>
      </c>
      <c r="D120" s="41"/>
      <c r="E120" s="89"/>
      <c r="H120" s="66"/>
    </row>
    <row r="121" customFormat="false" ht="14.4" hidden="true" customHeight="false" outlineLevel="0" collapsed="false">
      <c r="A121" s="66"/>
      <c r="B121" s="98" t="s">
        <v>161</v>
      </c>
      <c r="C121" s="96" t="s">
        <v>162</v>
      </c>
      <c r="D121" s="41"/>
      <c r="E121" s="89"/>
      <c r="H121" s="66"/>
    </row>
    <row r="122" customFormat="false" ht="14.4" hidden="true" customHeight="false" outlineLevel="0" collapsed="false">
      <c r="A122" s="66"/>
      <c r="B122" s="98" t="s">
        <v>163</v>
      </c>
      <c r="C122" s="96" t="s">
        <v>164</v>
      </c>
      <c r="D122" s="41"/>
      <c r="E122" s="89"/>
      <c r="H122" s="66"/>
    </row>
    <row r="123" customFormat="false" ht="14.4" hidden="true" customHeight="false" outlineLevel="0" collapsed="false">
      <c r="A123" s="66"/>
      <c r="B123" s="98" t="s">
        <v>69</v>
      </c>
      <c r="C123" s="96" t="s">
        <v>165</v>
      </c>
      <c r="D123" s="41"/>
      <c r="E123" s="89"/>
      <c r="H123" s="66"/>
    </row>
    <row r="124" customFormat="false" ht="14.4" hidden="true" customHeight="false" outlineLevel="0" collapsed="false">
      <c r="A124" s="66"/>
      <c r="B124" s="98" t="s">
        <v>166</v>
      </c>
      <c r="C124" s="96" t="s">
        <v>167</v>
      </c>
      <c r="D124" s="41"/>
      <c r="E124" s="89"/>
      <c r="H124" s="66"/>
    </row>
    <row r="125" customFormat="false" ht="14.4" hidden="true" customHeight="false" outlineLevel="0" collapsed="false">
      <c r="A125" s="66"/>
      <c r="B125" s="98" t="s">
        <v>168</v>
      </c>
      <c r="C125" s="96" t="s">
        <v>169</v>
      </c>
      <c r="D125" s="41"/>
      <c r="E125" s="89"/>
      <c r="H125" s="66"/>
    </row>
    <row r="126" customFormat="false" ht="14.4" hidden="true" customHeight="false" outlineLevel="0" collapsed="false">
      <c r="A126" s="41"/>
      <c r="B126" s="96"/>
      <c r="C126" s="96"/>
      <c r="D126" s="41"/>
      <c r="E126" s="89"/>
      <c r="H126" s="41"/>
    </row>
    <row r="127" customFormat="false" ht="14.4" hidden="true" customHeight="false" outlineLevel="0" collapsed="false">
      <c r="A127" s="104" t="s">
        <v>170</v>
      </c>
      <c r="B127" s="100" t="s">
        <v>29</v>
      </c>
      <c r="C127" s="101" t="s">
        <v>89</v>
      </c>
      <c r="D127" s="102"/>
      <c r="E127" s="89"/>
      <c r="H127" s="104"/>
    </row>
    <row r="128" customFormat="false" ht="14.4" hidden="true" customHeight="false" outlineLevel="0" collapsed="false">
      <c r="A128" s="66"/>
      <c r="B128" s="98" t="s">
        <v>171</v>
      </c>
      <c r="C128" s="96" t="s">
        <v>172</v>
      </c>
      <c r="D128" s="41"/>
      <c r="E128" s="89"/>
      <c r="H128" s="66"/>
    </row>
    <row r="129" customFormat="false" ht="14.4" hidden="true" customHeight="false" outlineLevel="0" collapsed="false">
      <c r="A129" s="66"/>
      <c r="B129" s="98" t="s">
        <v>173</v>
      </c>
      <c r="C129" s="96" t="s">
        <v>174</v>
      </c>
      <c r="D129" s="41"/>
      <c r="E129" s="89"/>
      <c r="H129" s="66"/>
    </row>
    <row r="130" customFormat="false" ht="14.4" hidden="true" customHeight="false" outlineLevel="0" collapsed="false">
      <c r="A130" s="66"/>
      <c r="B130" s="98" t="s">
        <v>175</v>
      </c>
      <c r="C130" s="96" t="s">
        <v>176</v>
      </c>
      <c r="D130" s="41"/>
      <c r="E130" s="89"/>
      <c r="H130" s="66"/>
    </row>
    <row r="131" customFormat="false" ht="14.4" hidden="true" customHeight="false" outlineLevel="0" collapsed="false">
      <c r="A131" s="66"/>
      <c r="B131" s="98" t="s">
        <v>177</v>
      </c>
      <c r="C131" s="96" t="s">
        <v>178</v>
      </c>
      <c r="D131" s="41"/>
      <c r="E131" s="89"/>
      <c r="H131" s="66"/>
    </row>
    <row r="132" customFormat="false" ht="14.4" hidden="true" customHeight="false" outlineLevel="0" collapsed="false">
      <c r="A132" s="66"/>
      <c r="B132" s="98" t="s">
        <v>179</v>
      </c>
      <c r="C132" s="96" t="s">
        <v>180</v>
      </c>
      <c r="D132" s="41"/>
      <c r="E132" s="89"/>
      <c r="H132" s="66"/>
    </row>
    <row r="133" customFormat="false" ht="14.4" hidden="true" customHeight="false" outlineLevel="0" collapsed="false">
      <c r="A133" s="41"/>
      <c r="B133" s="96"/>
      <c r="C133" s="96"/>
      <c r="D133" s="41"/>
      <c r="E133" s="89"/>
      <c r="H133" s="41"/>
    </row>
    <row r="134" customFormat="false" ht="14.4" hidden="true" customHeight="false" outlineLevel="0" collapsed="false">
      <c r="A134" s="95" t="s">
        <v>181</v>
      </c>
      <c r="B134" s="100" t="s">
        <v>29</v>
      </c>
      <c r="C134" s="101" t="s">
        <v>89</v>
      </c>
      <c r="D134" s="102"/>
      <c r="E134" s="89"/>
      <c r="H134" s="95"/>
    </row>
    <row r="135" customFormat="false" ht="14.4" hidden="true" customHeight="false" outlineLevel="0" collapsed="false">
      <c r="A135" s="66"/>
      <c r="B135" s="98" t="s">
        <v>50</v>
      </c>
      <c r="C135" s="96" t="s">
        <v>182</v>
      </c>
      <c r="D135" s="41"/>
      <c r="E135" s="89"/>
      <c r="H135" s="66"/>
    </row>
    <row r="136" customFormat="false" ht="14.4" hidden="true" customHeight="false" outlineLevel="0" collapsed="false">
      <c r="A136" s="66"/>
      <c r="B136" s="98" t="s">
        <v>183</v>
      </c>
      <c r="C136" s="96" t="s">
        <v>184</v>
      </c>
      <c r="D136" s="41"/>
      <c r="E136" s="89"/>
      <c r="H136" s="66"/>
    </row>
    <row r="137" customFormat="false" ht="14.4" hidden="true" customHeight="false" outlineLevel="0" collapsed="false">
      <c r="A137" s="66"/>
      <c r="B137" s="98" t="s">
        <v>185</v>
      </c>
      <c r="C137" s="96" t="s">
        <v>186</v>
      </c>
      <c r="D137" s="41"/>
      <c r="E137" s="89"/>
      <c r="H137" s="66"/>
    </row>
    <row r="138" customFormat="false" ht="14.4" hidden="true" customHeight="false" outlineLevel="0" collapsed="false">
      <c r="A138" s="66"/>
      <c r="B138" s="98" t="s">
        <v>187</v>
      </c>
      <c r="C138" s="96" t="s">
        <v>188</v>
      </c>
      <c r="D138" s="41"/>
      <c r="E138" s="89"/>
      <c r="H138" s="66"/>
    </row>
    <row r="139" customFormat="false" ht="14.4" hidden="true" customHeight="false" outlineLevel="0" collapsed="false">
      <c r="A139" s="66"/>
      <c r="B139" s="98" t="s">
        <v>189</v>
      </c>
      <c r="C139" s="96" t="s">
        <v>190</v>
      </c>
      <c r="D139" s="41"/>
      <c r="E139" s="89"/>
      <c r="H139" s="66"/>
    </row>
    <row r="140" customFormat="false" ht="14.4" hidden="true" customHeight="false" outlineLevel="0" collapsed="false">
      <c r="A140" s="66"/>
      <c r="B140" s="98" t="s">
        <v>191</v>
      </c>
      <c r="C140" s="96" t="s">
        <v>192</v>
      </c>
      <c r="D140" s="41"/>
      <c r="E140" s="89"/>
      <c r="H140" s="66"/>
    </row>
    <row r="141" customFormat="false" ht="14.4" hidden="true" customHeight="false" outlineLevel="0" collapsed="false">
      <c r="A141" s="66"/>
      <c r="B141" s="98" t="s">
        <v>193</v>
      </c>
      <c r="C141" s="96" t="s">
        <v>194</v>
      </c>
      <c r="D141" s="41"/>
      <c r="E141" s="89"/>
      <c r="H141" s="66"/>
    </row>
    <row r="142" customFormat="false" ht="14.4" hidden="true" customHeight="false" outlineLevel="0" collapsed="false">
      <c r="A142" s="66"/>
      <c r="B142" s="98" t="s">
        <v>195</v>
      </c>
      <c r="C142" s="96" t="s">
        <v>196</v>
      </c>
      <c r="D142" s="41"/>
      <c r="E142" s="89"/>
      <c r="H142" s="66"/>
    </row>
    <row r="143" customFormat="false" ht="14.4" hidden="true" customHeight="false" outlineLevel="0" collapsed="false">
      <c r="A143" s="41"/>
      <c r="B143" s="96"/>
      <c r="C143" s="96"/>
      <c r="D143" s="41"/>
      <c r="E143" s="89"/>
      <c r="H143" s="41"/>
    </row>
    <row r="144" customFormat="false" ht="14.4" hidden="true" customHeight="false" outlineLevel="0" collapsed="false">
      <c r="A144" s="104" t="s">
        <v>197</v>
      </c>
      <c r="B144" s="100" t="s">
        <v>29</v>
      </c>
      <c r="C144" s="101" t="s">
        <v>89</v>
      </c>
      <c r="D144" s="102"/>
      <c r="E144" s="89"/>
      <c r="H144" s="104"/>
    </row>
    <row r="145" customFormat="false" ht="14.4" hidden="true" customHeight="false" outlineLevel="0" collapsed="false">
      <c r="A145" s="66"/>
      <c r="B145" s="98" t="s">
        <v>198</v>
      </c>
      <c r="C145" s="96" t="s">
        <v>199</v>
      </c>
      <c r="D145" s="41"/>
      <c r="E145" s="89"/>
      <c r="H145" s="66"/>
    </row>
    <row r="146" customFormat="false" ht="14.4" hidden="true" customHeight="false" outlineLevel="0" collapsed="false">
      <c r="A146" s="66"/>
      <c r="B146" s="98" t="s">
        <v>200</v>
      </c>
      <c r="C146" s="96" t="s">
        <v>201</v>
      </c>
      <c r="D146" s="41"/>
      <c r="E146" s="89"/>
      <c r="H146" s="66"/>
    </row>
    <row r="147" customFormat="false" ht="14.4" hidden="true" customHeight="false" outlineLevel="0" collapsed="false">
      <c r="A147" s="66"/>
      <c r="B147" s="98" t="s">
        <v>202</v>
      </c>
      <c r="C147" s="96" t="s">
        <v>203</v>
      </c>
      <c r="D147" s="41"/>
      <c r="E147" s="89"/>
      <c r="H147" s="66"/>
    </row>
    <row r="148" customFormat="false" ht="14.4" hidden="true" customHeight="false" outlineLevel="0" collapsed="false">
      <c r="A148" s="66"/>
      <c r="B148" s="98" t="s">
        <v>204</v>
      </c>
      <c r="C148" s="96" t="s">
        <v>205</v>
      </c>
      <c r="D148" s="41"/>
      <c r="E148" s="89"/>
      <c r="H148" s="66"/>
    </row>
    <row r="149" customFormat="false" ht="14.4" hidden="true" customHeight="false" outlineLevel="0" collapsed="false">
      <c r="A149" s="66"/>
      <c r="B149" s="98" t="s">
        <v>206</v>
      </c>
      <c r="C149" s="96" t="s">
        <v>207</v>
      </c>
      <c r="D149" s="41"/>
      <c r="E149" s="89"/>
      <c r="H149" s="66"/>
    </row>
    <row r="150" customFormat="false" ht="14.4" hidden="true" customHeight="false" outlineLevel="0" collapsed="false">
      <c r="A150" s="66"/>
      <c r="B150" s="98" t="s">
        <v>208</v>
      </c>
      <c r="C150" s="98" t="s">
        <v>209</v>
      </c>
      <c r="D150" s="99"/>
      <c r="E150" s="89"/>
      <c r="H150" s="66"/>
    </row>
    <row r="151" customFormat="false" ht="14.4" hidden="true" customHeight="false" outlineLevel="0" collapsed="false">
      <c r="A151" s="66"/>
      <c r="B151" s="98" t="s">
        <v>210</v>
      </c>
      <c r="C151" s="98" t="s">
        <v>211</v>
      </c>
      <c r="D151" s="99"/>
      <c r="E151" s="89"/>
      <c r="H151" s="66"/>
    </row>
    <row r="152" customFormat="false" ht="14.4" hidden="true" customHeight="false" outlineLevel="0" collapsed="false">
      <c r="A152" s="66"/>
      <c r="B152" s="98" t="s">
        <v>52</v>
      </c>
      <c r="C152" s="96" t="s">
        <v>212</v>
      </c>
      <c r="D152" s="41"/>
      <c r="E152" s="89"/>
      <c r="H152" s="66"/>
    </row>
    <row r="153" customFormat="false" ht="14.4" hidden="true" customHeight="false" outlineLevel="0" collapsed="false">
      <c r="A153" s="66"/>
      <c r="B153" s="98" t="s">
        <v>213</v>
      </c>
      <c r="C153" s="98" t="s">
        <v>214</v>
      </c>
      <c r="D153" s="99"/>
      <c r="E153" s="89"/>
      <c r="H153" s="66"/>
    </row>
    <row r="154" customFormat="false" ht="14.4" hidden="true" customHeight="false" outlineLevel="0" collapsed="false">
      <c r="A154" s="66"/>
      <c r="B154" s="98" t="s">
        <v>74</v>
      </c>
      <c r="C154" s="98" t="s">
        <v>215</v>
      </c>
      <c r="D154" s="99"/>
      <c r="E154" s="89"/>
      <c r="H154" s="66"/>
    </row>
    <row r="155" customFormat="false" ht="14.4" hidden="true" customHeight="false" outlineLevel="0" collapsed="false">
      <c r="A155" s="66"/>
      <c r="B155" s="98" t="s">
        <v>216</v>
      </c>
      <c r="C155" s="96" t="s">
        <v>217</v>
      </c>
      <c r="D155" s="41"/>
      <c r="E155" s="89"/>
      <c r="H155" s="66"/>
    </row>
    <row r="156" customFormat="false" ht="14.4" hidden="true" customHeight="false" outlineLevel="0" collapsed="false">
      <c r="A156" s="66"/>
      <c r="B156" s="98" t="s">
        <v>218</v>
      </c>
      <c r="C156" s="98" t="s">
        <v>219</v>
      </c>
      <c r="D156" s="99"/>
      <c r="E156" s="89"/>
      <c r="H156" s="66"/>
    </row>
    <row r="157" customFormat="false" ht="14.4" hidden="true" customHeight="false" outlineLevel="0" collapsed="false">
      <c r="A157" s="41"/>
      <c r="B157" s="96"/>
      <c r="C157" s="96"/>
      <c r="D157" s="41"/>
      <c r="E157" s="89"/>
      <c r="H157" s="41"/>
    </row>
    <row r="158" customFormat="false" ht="14.4" hidden="true" customHeight="false" outlineLevel="0" collapsed="false">
      <c r="A158" s="95" t="s">
        <v>61</v>
      </c>
      <c r="B158" s="100" t="s">
        <v>29</v>
      </c>
      <c r="C158" s="101" t="s">
        <v>89</v>
      </c>
      <c r="D158" s="102"/>
      <c r="E158" s="89"/>
      <c r="H158" s="95"/>
    </row>
    <row r="159" customFormat="false" ht="14.4" hidden="true" customHeight="false" outlineLevel="0" collapsed="false">
      <c r="A159" s="66"/>
      <c r="B159" s="98" t="s">
        <v>62</v>
      </c>
      <c r="C159" s="96" t="s">
        <v>220</v>
      </c>
      <c r="D159" s="41"/>
      <c r="E159" s="89"/>
      <c r="H159" s="66"/>
    </row>
    <row r="160" customFormat="false" ht="14.4" hidden="true" customHeight="false" outlineLevel="0" collapsed="false">
      <c r="A160" s="66"/>
      <c r="B160" s="98" t="s">
        <v>221</v>
      </c>
      <c r="C160" s="96" t="s">
        <v>222</v>
      </c>
      <c r="D160" s="41"/>
      <c r="E160" s="89"/>
      <c r="H160" s="66"/>
    </row>
    <row r="161" customFormat="false" ht="14.4" hidden="true" customHeight="false" outlineLevel="0" collapsed="false">
      <c r="A161" s="66"/>
      <c r="B161" s="98" t="s">
        <v>223</v>
      </c>
      <c r="C161" s="96" t="s">
        <v>224</v>
      </c>
      <c r="D161" s="41"/>
      <c r="E161" s="89"/>
      <c r="H161" s="66"/>
    </row>
    <row r="162" customFormat="false" ht="14.4" hidden="true" customHeight="false" outlineLevel="0" collapsed="false">
      <c r="A162" s="66"/>
      <c r="B162" s="98" t="s">
        <v>63</v>
      </c>
      <c r="C162" s="96" t="s">
        <v>225</v>
      </c>
      <c r="D162" s="41"/>
      <c r="E162" s="89"/>
      <c r="H162" s="66"/>
    </row>
    <row r="163" customFormat="false" ht="14.4" hidden="true" customHeight="false" outlineLevel="0" collapsed="false">
      <c r="A163" s="66"/>
      <c r="B163" s="98" t="s">
        <v>226</v>
      </c>
      <c r="C163" s="96" t="s">
        <v>227</v>
      </c>
      <c r="D163" s="41"/>
      <c r="E163" s="89"/>
      <c r="H163" s="66"/>
    </row>
    <row r="164" customFormat="false" ht="14.4" hidden="true" customHeight="false" outlineLevel="0" collapsed="false">
      <c r="A164" s="66"/>
      <c r="B164" s="98" t="s">
        <v>228</v>
      </c>
      <c r="C164" s="96" t="s">
        <v>229</v>
      </c>
      <c r="D164" s="41"/>
      <c r="E164" s="89"/>
      <c r="H164" s="66"/>
    </row>
    <row r="165" customFormat="false" ht="14.4" hidden="true" customHeight="false" outlineLevel="0" collapsed="false">
      <c r="A165" s="66"/>
      <c r="B165" s="98" t="s">
        <v>230</v>
      </c>
      <c r="C165" s="96" t="s">
        <v>231</v>
      </c>
      <c r="D165" s="41"/>
      <c r="E165" s="89"/>
      <c r="H165" s="66"/>
    </row>
    <row r="166" customFormat="false" ht="14.4" hidden="true" customHeight="false" outlineLevel="0" collapsed="false">
      <c r="A166" s="66"/>
      <c r="B166" s="98"/>
      <c r="C166" s="96"/>
      <c r="D166" s="41"/>
      <c r="E166" s="89"/>
      <c r="H166" s="66"/>
    </row>
    <row r="167" customFormat="false" ht="14.4" hidden="true" customHeight="false" outlineLevel="0" collapsed="false">
      <c r="A167" s="104" t="s">
        <v>79</v>
      </c>
      <c r="B167" s="100" t="s">
        <v>29</v>
      </c>
      <c r="C167" s="101" t="s">
        <v>89</v>
      </c>
      <c r="D167" s="102"/>
      <c r="E167" s="89"/>
      <c r="H167" s="104"/>
    </row>
    <row r="168" customFormat="false" ht="14.4" hidden="true" customHeight="false" outlineLevel="0" collapsed="false">
      <c r="A168" s="66"/>
      <c r="B168" s="98" t="s">
        <v>232</v>
      </c>
      <c r="C168" s="96" t="s">
        <v>233</v>
      </c>
      <c r="D168" s="41"/>
      <c r="E168" s="89"/>
      <c r="H168" s="66"/>
    </row>
    <row r="169" customFormat="false" ht="14.4" hidden="true" customHeight="false" outlineLevel="0" collapsed="false">
      <c r="A169" s="66"/>
      <c r="B169" s="98" t="s">
        <v>234</v>
      </c>
      <c r="C169" s="96" t="s">
        <v>235</v>
      </c>
      <c r="D169" s="41"/>
      <c r="E169" s="89"/>
      <c r="H169" s="66"/>
    </row>
    <row r="170" customFormat="false" ht="14.4" hidden="true" customHeight="false" outlineLevel="0" collapsed="false">
      <c r="A170" s="66"/>
      <c r="B170" s="98" t="s">
        <v>236</v>
      </c>
      <c r="C170" s="96" t="s">
        <v>237</v>
      </c>
      <c r="D170" s="41"/>
      <c r="E170" s="89"/>
      <c r="H170" s="66"/>
    </row>
    <row r="171" customFormat="false" ht="14.4" hidden="true" customHeight="false" outlineLevel="0" collapsed="false">
      <c r="A171" s="66"/>
      <c r="B171" s="98" t="s">
        <v>238</v>
      </c>
      <c r="C171" s="96" t="s">
        <v>239</v>
      </c>
      <c r="D171" s="41"/>
      <c r="E171" s="89"/>
      <c r="H171" s="66"/>
    </row>
    <row r="172" customFormat="false" ht="14.4" hidden="true" customHeight="false" outlineLevel="0" collapsed="false">
      <c r="A172" s="66"/>
      <c r="B172" s="98" t="s">
        <v>240</v>
      </c>
      <c r="C172" s="96" t="s">
        <v>241</v>
      </c>
      <c r="D172" s="41"/>
      <c r="E172" s="89"/>
      <c r="H172" s="66"/>
    </row>
    <row r="173" customFormat="false" ht="14.4" hidden="true" customHeight="false" outlineLevel="0" collapsed="false">
      <c r="A173" s="66"/>
      <c r="B173" s="98" t="s">
        <v>242</v>
      </c>
      <c r="C173" s="96" t="s">
        <v>243</v>
      </c>
      <c r="D173" s="41"/>
      <c r="E173" s="89"/>
      <c r="H173" s="66"/>
    </row>
    <row r="174" customFormat="false" ht="14.4" hidden="true" customHeight="false" outlineLevel="0" collapsed="false">
      <c r="A174" s="66"/>
      <c r="B174" s="98" t="s">
        <v>80</v>
      </c>
      <c r="C174" s="96" t="s">
        <v>244</v>
      </c>
      <c r="D174" s="41"/>
      <c r="E174" s="89"/>
      <c r="H174" s="66"/>
    </row>
    <row r="175" customFormat="false" ht="14.4" hidden="true" customHeight="false" outlineLevel="0" collapsed="false">
      <c r="A175" s="66"/>
      <c r="B175" s="98" t="s">
        <v>245</v>
      </c>
      <c r="C175" s="96" t="s">
        <v>246</v>
      </c>
      <c r="D175" s="41"/>
      <c r="E175" s="89"/>
      <c r="H175" s="66"/>
    </row>
    <row r="176" customFormat="false" ht="14.4" hidden="true" customHeight="false" outlineLevel="0" collapsed="false">
      <c r="A176" s="41"/>
      <c r="B176" s="96"/>
      <c r="C176" s="96"/>
      <c r="D176" s="41"/>
      <c r="E176" s="89"/>
      <c r="H176" s="41"/>
    </row>
    <row r="177" customFormat="false" ht="14.4" hidden="true" customHeight="false" outlineLevel="0" collapsed="false">
      <c r="A177" s="104" t="s">
        <v>247</v>
      </c>
      <c r="B177" s="100" t="s">
        <v>29</v>
      </c>
      <c r="C177" s="101" t="s">
        <v>89</v>
      </c>
      <c r="D177" s="102"/>
      <c r="E177" s="89"/>
      <c r="H177" s="104"/>
    </row>
    <row r="178" customFormat="false" ht="14.4" hidden="true" customHeight="false" outlineLevel="0" collapsed="false">
      <c r="A178" s="66"/>
      <c r="B178" s="98" t="s">
        <v>248</v>
      </c>
      <c r="C178" s="96" t="s">
        <v>249</v>
      </c>
      <c r="D178" s="41"/>
      <c r="E178" s="89"/>
      <c r="H178" s="66"/>
    </row>
    <row r="179" customFormat="false" ht="14.4" hidden="true" customHeight="false" outlineLevel="0" collapsed="false">
      <c r="A179" s="66"/>
      <c r="B179" s="98" t="s">
        <v>250</v>
      </c>
      <c r="C179" s="96" t="s">
        <v>251</v>
      </c>
      <c r="D179" s="41"/>
      <c r="E179" s="89"/>
      <c r="H179" s="66"/>
    </row>
    <row r="180" customFormat="false" ht="14.4" hidden="true" customHeight="false" outlineLevel="0" collapsed="false">
      <c r="A180" s="66"/>
      <c r="B180" s="98" t="s">
        <v>252</v>
      </c>
      <c r="C180" s="96" t="s">
        <v>253</v>
      </c>
      <c r="D180" s="41"/>
      <c r="E180" s="89"/>
      <c r="H180" s="66"/>
    </row>
    <row r="181" customFormat="false" ht="14.4" hidden="true" customHeight="false" outlineLevel="0" collapsed="false">
      <c r="A181" s="66"/>
      <c r="B181" s="98" t="s">
        <v>82</v>
      </c>
      <c r="C181" s="96" t="s">
        <v>254</v>
      </c>
      <c r="D181" s="41"/>
      <c r="E181" s="89"/>
      <c r="H181" s="66"/>
    </row>
    <row r="182" customFormat="false" ht="14.4" hidden="true" customHeight="false" outlineLevel="0" collapsed="false">
      <c r="A182" s="66"/>
      <c r="B182" s="96"/>
      <c r="C182" s="96"/>
      <c r="D182" s="41"/>
      <c r="E182" s="89"/>
      <c r="H182" s="66"/>
    </row>
    <row r="183" customFormat="false" ht="14.4" hidden="true" customHeight="false" outlineLevel="0" collapsed="false">
      <c r="A183" s="104" t="s">
        <v>255</v>
      </c>
      <c r="B183" s="100" t="s">
        <v>29</v>
      </c>
      <c r="C183" s="101" t="s">
        <v>89</v>
      </c>
      <c r="D183" s="102"/>
      <c r="E183" s="89"/>
      <c r="H183" s="104"/>
    </row>
    <row r="184" customFormat="false" ht="14.4" hidden="true" customHeight="false" outlineLevel="0" collapsed="false">
      <c r="A184" s="66"/>
      <c r="B184" s="98" t="s">
        <v>65</v>
      </c>
      <c r="C184" s="96" t="s">
        <v>256</v>
      </c>
      <c r="D184" s="41"/>
      <c r="E184" s="89"/>
      <c r="H184" s="66"/>
    </row>
    <row r="185" customFormat="false" ht="14.4" hidden="true" customHeight="false" outlineLevel="0" collapsed="false">
      <c r="A185" s="66"/>
      <c r="B185" s="98" t="s">
        <v>257</v>
      </c>
      <c r="C185" s="96" t="s">
        <v>258</v>
      </c>
      <c r="D185" s="41"/>
      <c r="E185" s="89"/>
      <c r="H185" s="66"/>
    </row>
    <row r="186" customFormat="false" ht="14.4" hidden="true" customHeight="false" outlineLevel="0" collapsed="false">
      <c r="A186" s="66"/>
      <c r="B186" s="98" t="s">
        <v>259</v>
      </c>
      <c r="C186" s="96" t="s">
        <v>260</v>
      </c>
      <c r="D186" s="41"/>
      <c r="E186" s="89"/>
      <c r="H186" s="66"/>
    </row>
    <row r="187" customFormat="false" ht="14.4" hidden="true" customHeight="false" outlineLevel="0" collapsed="false">
      <c r="A187" s="41"/>
      <c r="B187" s="96"/>
      <c r="C187" s="96"/>
      <c r="D187" s="41"/>
      <c r="E187" s="89"/>
      <c r="H187" s="41"/>
    </row>
    <row r="188" customFormat="false" ht="14.4" hidden="true" customHeight="false" outlineLevel="0" collapsed="false">
      <c r="A188" s="104" t="s">
        <v>261</v>
      </c>
      <c r="B188" s="100" t="s">
        <v>29</v>
      </c>
      <c r="C188" s="101" t="s">
        <v>89</v>
      </c>
      <c r="D188" s="102"/>
      <c r="E188" s="89"/>
      <c r="H188" s="104"/>
    </row>
    <row r="189" customFormat="false" ht="14.4" hidden="true" customHeight="false" outlineLevel="0" collapsed="false">
      <c r="A189" s="66"/>
      <c r="B189" s="98" t="s">
        <v>262</v>
      </c>
      <c r="C189" s="96" t="s">
        <v>263</v>
      </c>
      <c r="D189" s="41"/>
      <c r="E189" s="89"/>
      <c r="H189" s="66"/>
    </row>
    <row r="190" customFormat="false" ht="14.4" hidden="true" customHeight="false" outlineLevel="0" collapsed="false">
      <c r="A190" s="66"/>
      <c r="B190" s="98" t="s">
        <v>264</v>
      </c>
      <c r="C190" s="96" t="s">
        <v>265</v>
      </c>
      <c r="D190" s="41"/>
      <c r="E190" s="89"/>
      <c r="H190" s="66"/>
    </row>
    <row r="191" customFormat="false" ht="14.4" hidden="true" customHeight="false" outlineLevel="0" collapsed="false">
      <c r="A191" s="66"/>
      <c r="B191" s="98" t="s">
        <v>266</v>
      </c>
      <c r="C191" s="96" t="s">
        <v>267</v>
      </c>
      <c r="D191" s="41"/>
      <c r="E191" s="89"/>
      <c r="H191" s="66"/>
    </row>
    <row r="192" customFormat="false" ht="14.4" hidden="true" customHeight="false" outlineLevel="0" collapsed="false">
      <c r="A192" s="66"/>
      <c r="B192" s="98" t="s">
        <v>268</v>
      </c>
      <c r="C192" s="96" t="s">
        <v>269</v>
      </c>
      <c r="D192" s="41"/>
      <c r="E192" s="89"/>
      <c r="H192" s="66"/>
    </row>
    <row r="193" customFormat="false" ht="14.4" hidden="true" customHeight="false" outlineLevel="0" collapsed="false">
      <c r="A193" s="66"/>
      <c r="B193" s="98" t="s">
        <v>270</v>
      </c>
      <c r="C193" s="96" t="s">
        <v>271</v>
      </c>
      <c r="D193" s="41"/>
      <c r="E193" s="89"/>
      <c r="H193" s="66"/>
    </row>
    <row r="194" customFormat="false" ht="14.4" hidden="true" customHeight="false" outlineLevel="0" collapsed="false">
      <c r="A194" s="66"/>
      <c r="B194" s="98" t="s">
        <v>272</v>
      </c>
      <c r="C194" s="96" t="s">
        <v>273</v>
      </c>
      <c r="D194" s="41"/>
      <c r="E194" s="89"/>
      <c r="H194" s="66"/>
    </row>
    <row r="195" customFormat="false" ht="14.4" hidden="true" customHeight="false" outlineLevel="0" collapsed="false">
      <c r="A195" s="66"/>
      <c r="B195" s="98" t="s">
        <v>274</v>
      </c>
      <c r="C195" s="96" t="s">
        <v>275</v>
      </c>
      <c r="D195" s="41"/>
      <c r="E195" s="89"/>
      <c r="H195" s="66"/>
    </row>
    <row r="196" customFormat="false" ht="14.4" hidden="true" customHeight="false" outlineLevel="0" collapsed="false">
      <c r="A196" s="41"/>
      <c r="B196" s="96"/>
      <c r="C196" s="96"/>
      <c r="D196" s="41"/>
      <c r="E196" s="89"/>
      <c r="H196" s="41"/>
    </row>
    <row r="197" customFormat="false" ht="14.4" hidden="true" customHeight="false" outlineLevel="0" collapsed="false">
      <c r="A197" s="104" t="s">
        <v>47</v>
      </c>
      <c r="B197" s="100" t="s">
        <v>29</v>
      </c>
      <c r="C197" s="101" t="s">
        <v>89</v>
      </c>
      <c r="D197" s="102"/>
      <c r="E197" s="89"/>
      <c r="H197" s="104"/>
    </row>
    <row r="198" customFormat="false" ht="14.4" hidden="true" customHeight="false" outlineLevel="0" collapsed="false">
      <c r="A198" s="66"/>
      <c r="B198" s="98" t="s">
        <v>48</v>
      </c>
      <c r="C198" s="96" t="s">
        <v>276</v>
      </c>
      <c r="D198" s="41"/>
      <c r="E198" s="89"/>
      <c r="H198" s="66"/>
    </row>
    <row r="199" customFormat="false" ht="14.4" hidden="true" customHeight="false" outlineLevel="0" collapsed="false">
      <c r="A199" s="66"/>
      <c r="B199" s="98" t="s">
        <v>277</v>
      </c>
      <c r="C199" s="96" t="s">
        <v>278</v>
      </c>
      <c r="D199" s="41"/>
      <c r="E199" s="89"/>
      <c r="H199" s="66"/>
    </row>
    <row r="200" customFormat="false" ht="14.4" hidden="true" customHeight="false" outlineLevel="0" collapsed="false">
      <c r="A200" s="66"/>
      <c r="B200" s="98" t="s">
        <v>279</v>
      </c>
      <c r="C200" s="96" t="s">
        <v>280</v>
      </c>
      <c r="D200" s="41"/>
      <c r="E200" s="89"/>
      <c r="H200" s="66"/>
    </row>
    <row r="201" customFormat="false" ht="14.4" hidden="true" customHeight="false" outlineLevel="0" collapsed="false">
      <c r="A201" s="66"/>
      <c r="B201" s="98" t="s">
        <v>281</v>
      </c>
      <c r="C201" s="96" t="s">
        <v>282</v>
      </c>
      <c r="D201" s="41"/>
      <c r="E201" s="89"/>
      <c r="H201" s="66"/>
    </row>
    <row r="202" customFormat="false" ht="14.4" hidden="true" customHeight="false" outlineLevel="0" collapsed="false">
      <c r="A202" s="66"/>
      <c r="B202" s="105" t="s">
        <v>283</v>
      </c>
      <c r="C202" s="106" t="s">
        <v>284</v>
      </c>
      <c r="D202" s="66"/>
      <c r="E202" s="89"/>
      <c r="H202" s="66"/>
    </row>
    <row r="203" customFormat="false" ht="14.4" hidden="true" customHeight="false" outlineLevel="0" collapsed="false">
      <c r="A203" s="66"/>
      <c r="B203" s="98" t="s">
        <v>285</v>
      </c>
      <c r="C203" s="96" t="s">
        <v>286</v>
      </c>
      <c r="D203" s="41"/>
      <c r="E203" s="89"/>
      <c r="H203" s="66"/>
    </row>
    <row r="204" customFormat="false" ht="14.4" hidden="true" customHeight="false" outlineLevel="0" collapsed="false">
      <c r="A204" s="66"/>
      <c r="B204" s="98" t="s">
        <v>287</v>
      </c>
      <c r="C204" s="96" t="s">
        <v>288</v>
      </c>
      <c r="D204" s="41"/>
      <c r="E204" s="89"/>
      <c r="H204" s="66"/>
    </row>
    <row r="205" customFormat="false" ht="14.4" hidden="true" customHeight="false" outlineLevel="0" collapsed="false">
      <c r="A205" s="41"/>
      <c r="B205" s="96"/>
      <c r="C205" s="96"/>
      <c r="D205" s="41"/>
      <c r="E205" s="89"/>
      <c r="H205" s="41"/>
    </row>
    <row r="206" customFormat="false" ht="14.4" hidden="true" customHeight="false" outlineLevel="0" collapsed="false">
      <c r="A206" s="104" t="s">
        <v>39</v>
      </c>
      <c r="B206" s="100" t="s">
        <v>29</v>
      </c>
      <c r="C206" s="101" t="s">
        <v>89</v>
      </c>
      <c r="D206" s="102"/>
      <c r="E206" s="89"/>
      <c r="H206" s="104"/>
    </row>
    <row r="207" customFormat="false" ht="14.4" hidden="true" customHeight="false" outlineLevel="0" collapsed="false">
      <c r="A207" s="66"/>
      <c r="B207" s="98" t="s">
        <v>289</v>
      </c>
      <c r="C207" s="98" t="s">
        <v>290</v>
      </c>
      <c r="D207" s="99"/>
      <c r="E207" s="89"/>
      <c r="H207" s="66"/>
    </row>
    <row r="208" customFormat="false" ht="14.4" hidden="true" customHeight="false" outlineLevel="0" collapsed="false">
      <c r="A208" s="66"/>
      <c r="B208" s="98" t="s">
        <v>291</v>
      </c>
      <c r="C208" s="96" t="s">
        <v>292</v>
      </c>
      <c r="D208" s="41"/>
      <c r="E208" s="89"/>
      <c r="H208" s="66"/>
    </row>
    <row r="209" customFormat="false" ht="14.4" hidden="true" customHeight="false" outlineLevel="0" collapsed="false">
      <c r="A209" s="66"/>
      <c r="B209" s="98" t="s">
        <v>293</v>
      </c>
      <c r="C209" s="96" t="s">
        <v>294</v>
      </c>
      <c r="D209" s="41"/>
      <c r="E209" s="89"/>
      <c r="H209" s="66"/>
    </row>
    <row r="210" customFormat="false" ht="14.4" hidden="true" customHeight="false" outlineLevel="0" collapsed="false">
      <c r="A210" s="66"/>
      <c r="B210" s="98" t="s">
        <v>295</v>
      </c>
      <c r="C210" s="96" t="s">
        <v>296</v>
      </c>
      <c r="D210" s="41"/>
      <c r="E210" s="89"/>
      <c r="H210" s="66"/>
    </row>
    <row r="211" customFormat="false" ht="14.4" hidden="true" customHeight="false" outlineLevel="0" collapsed="false">
      <c r="A211" s="66"/>
      <c r="B211" s="98" t="s">
        <v>40</v>
      </c>
      <c r="C211" s="96" t="s">
        <v>297</v>
      </c>
      <c r="D211" s="41"/>
      <c r="E211" s="89"/>
      <c r="H211" s="66"/>
    </row>
    <row r="212" customFormat="false" ht="14.4" hidden="true" customHeight="false" outlineLevel="0" collapsed="false">
      <c r="A212" s="66"/>
      <c r="B212" s="105" t="s">
        <v>298</v>
      </c>
      <c r="C212" s="106" t="s">
        <v>299</v>
      </c>
      <c r="D212" s="66"/>
      <c r="E212" s="89"/>
      <c r="H212" s="66"/>
    </row>
    <row r="213" customFormat="false" ht="14.4" hidden="true" customHeight="false" outlineLevel="0" collapsed="false">
      <c r="A213" s="66"/>
      <c r="B213" s="98"/>
      <c r="C213" s="96"/>
      <c r="D213" s="41"/>
      <c r="E213" s="89"/>
      <c r="H213" s="66"/>
    </row>
    <row r="214" customFormat="false" ht="14.4" hidden="true" customHeight="false" outlineLevel="0" collapsed="false">
      <c r="A214" s="104" t="s">
        <v>70</v>
      </c>
      <c r="B214" s="100" t="s">
        <v>29</v>
      </c>
      <c r="C214" s="101" t="s">
        <v>89</v>
      </c>
      <c r="D214" s="102"/>
      <c r="E214" s="89"/>
      <c r="H214" s="104"/>
    </row>
    <row r="215" customFormat="false" ht="14.4" hidden="true" customHeight="false" outlineLevel="0" collapsed="false">
      <c r="A215" s="66"/>
      <c r="B215" s="98" t="s">
        <v>71</v>
      </c>
      <c r="C215" s="96" t="s">
        <v>300</v>
      </c>
      <c r="D215" s="41"/>
      <c r="E215" s="89"/>
      <c r="H215" s="66"/>
    </row>
    <row r="216" customFormat="false" ht="14.4" hidden="true" customHeight="false" outlineLevel="0" collapsed="false">
      <c r="A216" s="66"/>
      <c r="B216" s="98" t="s">
        <v>301</v>
      </c>
      <c r="C216" s="96" t="s">
        <v>302</v>
      </c>
      <c r="D216" s="41"/>
      <c r="E216" s="89"/>
      <c r="H216" s="66"/>
    </row>
    <row r="217" customFormat="false" ht="14.4" hidden="true" customHeight="false" outlineLevel="0" collapsed="false">
      <c r="A217" s="66"/>
      <c r="B217" s="98" t="s">
        <v>303</v>
      </c>
      <c r="C217" s="96" t="s">
        <v>304</v>
      </c>
      <c r="D217" s="41"/>
      <c r="E217" s="89"/>
      <c r="H217" s="66"/>
    </row>
    <row r="218" customFormat="false" ht="14.4" hidden="true" customHeight="false" outlineLevel="0" collapsed="false">
      <c r="A218" s="66"/>
      <c r="B218" s="98" t="s">
        <v>305</v>
      </c>
      <c r="C218" s="96" t="s">
        <v>306</v>
      </c>
      <c r="D218" s="41"/>
      <c r="E218" s="89"/>
      <c r="H218" s="66"/>
    </row>
    <row r="219" customFormat="false" ht="14.4" hidden="true" customHeight="false" outlineLevel="0" collapsed="false">
      <c r="A219" s="66"/>
      <c r="B219" s="105" t="s">
        <v>307</v>
      </c>
      <c r="C219" s="106" t="s">
        <v>308</v>
      </c>
      <c r="D219" s="66"/>
      <c r="E219" s="89"/>
      <c r="H219" s="66"/>
    </row>
    <row r="220" customFormat="false" ht="14.4" hidden="true" customHeight="false" outlineLevel="0" collapsed="false">
      <c r="A220" s="66"/>
      <c r="B220" s="98" t="s">
        <v>309</v>
      </c>
      <c r="C220" s="96" t="s">
        <v>310</v>
      </c>
      <c r="D220" s="41"/>
      <c r="E220" s="89"/>
      <c r="H220" s="66"/>
    </row>
    <row r="221" customFormat="false" ht="14.4" hidden="true" customHeight="false" outlineLevel="0" collapsed="false">
      <c r="B221" s="103"/>
      <c r="C221" s="103"/>
      <c r="E221" s="89"/>
    </row>
    <row r="222" customFormat="false" ht="14.4" hidden="true" customHeight="false" outlineLevel="0" collapsed="false">
      <c r="B222" s="103"/>
      <c r="C222" s="103"/>
      <c r="E222" s="89"/>
    </row>
    <row r="223" customFormat="false" ht="14.4" hidden="true" customHeight="false" outlineLevel="0" collapsed="false">
      <c r="A223" s="104" t="s">
        <v>68</v>
      </c>
      <c r="B223" s="100" t="s">
        <v>29</v>
      </c>
      <c r="C223" s="101" t="s">
        <v>89</v>
      </c>
      <c r="D223" s="102"/>
      <c r="E223" s="89"/>
    </row>
    <row r="224" customFormat="false" ht="14.4" hidden="true" customHeight="false" outlineLevel="0" collapsed="false">
      <c r="B224" s="98" t="s">
        <v>156</v>
      </c>
      <c r="C224" s="96" t="s">
        <v>157</v>
      </c>
      <c r="D224" s="41"/>
      <c r="E224" s="89"/>
      <c r="I224" s="99"/>
    </row>
    <row r="225" customFormat="false" ht="14.4" hidden="true" customHeight="false" outlineLevel="0" collapsed="false">
      <c r="B225" s="98" t="s">
        <v>171</v>
      </c>
      <c r="C225" s="96" t="s">
        <v>172</v>
      </c>
      <c r="D225" s="41"/>
      <c r="E225" s="89"/>
      <c r="I225" s="99"/>
    </row>
    <row r="226" customFormat="false" ht="14.4" hidden="true" customHeight="false" outlineLevel="0" collapsed="false">
      <c r="B226" s="98" t="s">
        <v>46</v>
      </c>
      <c r="C226" s="96" t="s">
        <v>158</v>
      </c>
      <c r="D226" s="41"/>
      <c r="E226" s="89"/>
      <c r="I226" s="99"/>
    </row>
    <row r="227" customFormat="false" ht="14.4" hidden="true" customHeight="false" outlineLevel="0" collapsed="false">
      <c r="B227" s="98" t="s">
        <v>173</v>
      </c>
      <c r="C227" s="96" t="s">
        <v>174</v>
      </c>
      <c r="D227" s="41"/>
      <c r="E227" s="89"/>
      <c r="I227" s="99"/>
    </row>
    <row r="228" customFormat="false" ht="14.4" hidden="true" customHeight="false" outlineLevel="0" collapsed="false">
      <c r="B228" s="98" t="s">
        <v>159</v>
      </c>
      <c r="C228" s="96" t="s">
        <v>160</v>
      </c>
      <c r="D228" s="41"/>
      <c r="E228" s="89"/>
      <c r="I228" s="99"/>
    </row>
    <row r="229" customFormat="false" ht="14.4" hidden="true" customHeight="false" outlineLevel="0" collapsed="false">
      <c r="B229" s="98" t="s">
        <v>175</v>
      </c>
      <c r="C229" s="96" t="s">
        <v>176</v>
      </c>
      <c r="D229" s="41"/>
      <c r="E229" s="89"/>
      <c r="I229" s="99"/>
    </row>
    <row r="230" customFormat="false" ht="14.4" hidden="true" customHeight="false" outlineLevel="0" collapsed="false">
      <c r="B230" s="98" t="s">
        <v>161</v>
      </c>
      <c r="C230" s="96" t="s">
        <v>162</v>
      </c>
      <c r="D230" s="41"/>
      <c r="E230" s="89"/>
      <c r="I230" s="99"/>
    </row>
    <row r="231" customFormat="false" ht="14.4" hidden="true" customHeight="false" outlineLevel="0" collapsed="false">
      <c r="B231" s="98" t="s">
        <v>177</v>
      </c>
      <c r="C231" s="96" t="s">
        <v>178</v>
      </c>
      <c r="D231" s="41"/>
      <c r="E231" s="89"/>
      <c r="I231" s="99"/>
    </row>
    <row r="232" customFormat="false" ht="14.4" hidden="true" customHeight="false" outlineLevel="0" collapsed="false">
      <c r="B232" s="98" t="s">
        <v>163</v>
      </c>
      <c r="C232" s="96" t="s">
        <v>164</v>
      </c>
      <c r="D232" s="41"/>
      <c r="E232" s="89"/>
      <c r="I232" s="41"/>
      <c r="K232" s="41"/>
    </row>
    <row r="233" customFormat="false" ht="14.4" hidden="true" customHeight="false" outlineLevel="0" collapsed="false">
      <c r="B233" s="98" t="s">
        <v>179</v>
      </c>
      <c r="C233" s="96" t="s">
        <v>180</v>
      </c>
      <c r="D233" s="41"/>
      <c r="E233" s="89"/>
      <c r="I233" s="41"/>
      <c r="K233" s="41"/>
    </row>
    <row r="234" customFormat="false" ht="14.4" hidden="true" customHeight="false" outlineLevel="0" collapsed="false">
      <c r="B234" s="98" t="s">
        <v>69</v>
      </c>
      <c r="C234" s="96" t="s">
        <v>165</v>
      </c>
      <c r="D234" s="41"/>
      <c r="E234" s="89"/>
      <c r="I234" s="99"/>
    </row>
    <row r="235" customFormat="false" ht="14.4" hidden="true" customHeight="false" outlineLevel="0" collapsed="false">
      <c r="B235" s="98" t="s">
        <v>166</v>
      </c>
      <c r="C235" s="96" t="s">
        <v>167</v>
      </c>
      <c r="D235" s="41"/>
      <c r="E235" s="89"/>
      <c r="I235" s="99"/>
    </row>
    <row r="236" customFormat="false" ht="14.4" hidden="true" customHeight="false" outlineLevel="0" collapsed="false">
      <c r="B236" s="98" t="s">
        <v>168</v>
      </c>
      <c r="C236" s="96" t="s">
        <v>169</v>
      </c>
      <c r="D236" s="41"/>
      <c r="E236" s="89"/>
      <c r="I236" s="99"/>
    </row>
    <row r="237" customFormat="false" ht="14.4" hidden="true" customHeight="false" outlineLevel="0" collapsed="false">
      <c r="B237" s="100" t="s">
        <v>29</v>
      </c>
      <c r="C237" s="101" t="s">
        <v>89</v>
      </c>
      <c r="D237" s="102"/>
      <c r="E237" s="89"/>
      <c r="I237" s="99"/>
    </row>
    <row r="238" customFormat="false" ht="14.4" hidden="true" customHeight="false" outlineLevel="0" collapsed="false">
      <c r="A238" s="104" t="s">
        <v>311</v>
      </c>
      <c r="B238" s="98" t="s">
        <v>289</v>
      </c>
      <c r="C238" s="98" t="s">
        <v>290</v>
      </c>
      <c r="D238" s="99"/>
      <c r="E238" s="89"/>
      <c r="I238" s="99"/>
    </row>
    <row r="239" customFormat="false" ht="14.4" hidden="true" customHeight="false" outlineLevel="0" collapsed="false">
      <c r="B239" s="98" t="s">
        <v>71</v>
      </c>
      <c r="C239" s="96" t="s">
        <v>300</v>
      </c>
      <c r="D239" s="41"/>
      <c r="E239" s="89"/>
      <c r="I239" s="99"/>
    </row>
    <row r="240" customFormat="false" ht="14.4" hidden="true" customHeight="false" outlineLevel="0" collapsed="false">
      <c r="B240" s="98" t="s">
        <v>291</v>
      </c>
      <c r="C240" s="96" t="s">
        <v>292</v>
      </c>
      <c r="D240" s="41"/>
      <c r="E240" s="89"/>
      <c r="I240" s="99"/>
    </row>
    <row r="241" customFormat="false" ht="14.4" hidden="true" customHeight="false" outlineLevel="0" collapsed="false">
      <c r="B241" s="98" t="s">
        <v>301</v>
      </c>
      <c r="C241" s="96" t="s">
        <v>302</v>
      </c>
      <c r="D241" s="41"/>
      <c r="E241" s="91"/>
      <c r="I241" s="99"/>
    </row>
    <row r="242" customFormat="false" ht="14.4" hidden="true" customHeight="false" outlineLevel="0" collapsed="false">
      <c r="B242" s="98" t="s">
        <v>293</v>
      </c>
      <c r="C242" s="96" t="s">
        <v>294</v>
      </c>
      <c r="D242" s="41"/>
      <c r="E242" s="107"/>
      <c r="I242" s="99"/>
    </row>
    <row r="243" customFormat="false" ht="14.4" hidden="true" customHeight="false" outlineLevel="0" collapsed="false">
      <c r="B243" s="98" t="s">
        <v>303</v>
      </c>
      <c r="C243" s="96" t="s">
        <v>304</v>
      </c>
      <c r="D243" s="41"/>
      <c r="E243" s="91"/>
      <c r="I243" s="92"/>
    </row>
    <row r="244" customFormat="false" ht="14.4" hidden="true" customHeight="false" outlineLevel="0" collapsed="false">
      <c r="B244" s="98" t="s">
        <v>295</v>
      </c>
      <c r="C244" s="96" t="s">
        <v>296</v>
      </c>
      <c r="D244" s="41"/>
      <c r="E244" s="107"/>
      <c r="I244" s="99"/>
      <c r="K244" s="41"/>
    </row>
    <row r="245" customFormat="false" ht="14.4" hidden="true" customHeight="false" outlineLevel="0" collapsed="false">
      <c r="B245" s="98" t="s">
        <v>305</v>
      </c>
      <c r="C245" s="96" t="s">
        <v>306</v>
      </c>
      <c r="D245" s="41"/>
      <c r="E245" s="89"/>
      <c r="I245" s="41"/>
      <c r="K245" s="41"/>
    </row>
    <row r="246" customFormat="false" ht="14.4" hidden="true" customHeight="false" outlineLevel="0" collapsed="false">
      <c r="B246" s="98" t="s">
        <v>40</v>
      </c>
      <c r="C246" s="96" t="s">
        <v>297</v>
      </c>
      <c r="D246" s="41"/>
      <c r="E246" s="107"/>
      <c r="I246" s="99"/>
    </row>
    <row r="247" customFormat="false" ht="14.4" hidden="true" customHeight="false" outlineLevel="0" collapsed="false">
      <c r="B247" s="105" t="s">
        <v>307</v>
      </c>
      <c r="C247" s="106" t="s">
        <v>308</v>
      </c>
      <c r="D247" s="66"/>
      <c r="E247" s="108"/>
      <c r="I247" s="99"/>
    </row>
    <row r="248" customFormat="false" ht="14.4" hidden="true" customHeight="false" outlineLevel="0" collapsed="false">
      <c r="B248" s="105" t="s">
        <v>298</v>
      </c>
      <c r="C248" s="106" t="s">
        <v>299</v>
      </c>
      <c r="D248" s="66"/>
      <c r="E248" s="107"/>
      <c r="I248" s="99"/>
    </row>
    <row r="249" customFormat="false" ht="14.4" hidden="true" customHeight="false" outlineLevel="0" collapsed="false">
      <c r="B249" s="98" t="s">
        <v>309</v>
      </c>
      <c r="C249" s="96" t="s">
        <v>310</v>
      </c>
      <c r="D249" s="41"/>
      <c r="E249" s="108"/>
      <c r="I249" s="99"/>
    </row>
    <row r="250" customFormat="false" ht="14.4" hidden="true" customHeight="false" outlineLevel="0" collapsed="false">
      <c r="B250" s="100" t="s">
        <v>29</v>
      </c>
      <c r="C250" s="101" t="s">
        <v>89</v>
      </c>
      <c r="D250" s="102"/>
      <c r="E250" s="107"/>
      <c r="I250" s="92"/>
    </row>
    <row r="251" customFormat="false" ht="14.4" hidden="true" customHeight="false" outlineLevel="0" collapsed="false">
      <c r="A251" s="104" t="s">
        <v>45</v>
      </c>
      <c r="B251" s="98" t="s">
        <v>262</v>
      </c>
      <c r="C251" s="96" t="s">
        <v>263</v>
      </c>
      <c r="D251" s="41"/>
      <c r="E251" s="108"/>
      <c r="I251" s="99"/>
    </row>
    <row r="252" customFormat="false" ht="14.4" hidden="true" customHeight="false" outlineLevel="0" collapsed="false">
      <c r="B252" s="98" t="s">
        <v>156</v>
      </c>
      <c r="C252" s="96" t="s">
        <v>157</v>
      </c>
      <c r="D252" s="41"/>
      <c r="E252" s="107"/>
      <c r="I252" s="99"/>
    </row>
    <row r="253" customFormat="false" ht="14.4" hidden="true" customHeight="false" outlineLevel="0" collapsed="false">
      <c r="B253" s="98" t="s">
        <v>264</v>
      </c>
      <c r="C253" s="96" t="s">
        <v>265</v>
      </c>
      <c r="D253" s="41"/>
      <c r="E253" s="108"/>
      <c r="I253" s="99"/>
    </row>
    <row r="254" customFormat="false" ht="14.4" hidden="true" customHeight="false" outlineLevel="0" collapsed="false">
      <c r="B254" s="98" t="s">
        <v>171</v>
      </c>
      <c r="C254" s="96" t="s">
        <v>172</v>
      </c>
      <c r="D254" s="41"/>
      <c r="E254" s="107"/>
      <c r="I254" s="99"/>
    </row>
    <row r="255" customFormat="false" ht="14.4" hidden="true" customHeight="false" outlineLevel="0" collapsed="false">
      <c r="B255" s="98" t="s">
        <v>266</v>
      </c>
      <c r="C255" s="96" t="s">
        <v>267</v>
      </c>
      <c r="D255" s="41"/>
      <c r="E255" s="108"/>
      <c r="I255" s="99"/>
    </row>
    <row r="256" customFormat="false" ht="14.4" hidden="true" customHeight="false" outlineLevel="0" collapsed="false">
      <c r="B256" s="98" t="s">
        <v>46</v>
      </c>
      <c r="C256" s="96" t="s">
        <v>158</v>
      </c>
      <c r="D256" s="41"/>
      <c r="E256" s="107"/>
      <c r="I256" s="99"/>
    </row>
    <row r="257" customFormat="false" ht="14.4" hidden="true" customHeight="false" outlineLevel="0" collapsed="false">
      <c r="B257" s="98" t="s">
        <v>268</v>
      </c>
      <c r="C257" s="96" t="s">
        <v>269</v>
      </c>
      <c r="D257" s="41"/>
      <c r="E257" s="108"/>
      <c r="I257" s="99"/>
    </row>
    <row r="258" customFormat="false" ht="14.4" hidden="true" customHeight="false" outlineLevel="0" collapsed="false">
      <c r="B258" s="98" t="s">
        <v>173</v>
      </c>
      <c r="C258" s="96" t="s">
        <v>174</v>
      </c>
      <c r="D258" s="41"/>
      <c r="E258" s="107"/>
    </row>
    <row r="259" customFormat="false" ht="14.4" hidden="true" customHeight="false" outlineLevel="0" collapsed="false">
      <c r="B259" s="98" t="s">
        <v>270</v>
      </c>
      <c r="C259" s="96" t="s">
        <v>271</v>
      </c>
      <c r="D259" s="41"/>
      <c r="E259" s="108"/>
    </row>
    <row r="260" customFormat="false" ht="14.4" hidden="true" customHeight="false" outlineLevel="0" collapsed="false">
      <c r="B260" s="98" t="s">
        <v>159</v>
      </c>
      <c r="C260" s="96" t="s">
        <v>160</v>
      </c>
      <c r="D260" s="41"/>
      <c r="E260" s="107"/>
      <c r="I260" s="99"/>
    </row>
    <row r="261" customFormat="false" ht="14.4" hidden="true" customHeight="false" outlineLevel="0" collapsed="false">
      <c r="B261" s="98" t="s">
        <v>272</v>
      </c>
      <c r="C261" s="96" t="s">
        <v>273</v>
      </c>
      <c r="D261" s="41"/>
      <c r="E261" s="108"/>
      <c r="I261" s="99"/>
    </row>
    <row r="262" customFormat="false" ht="14.4" hidden="true" customHeight="false" outlineLevel="0" collapsed="false">
      <c r="B262" s="98" t="s">
        <v>175</v>
      </c>
      <c r="C262" s="96" t="s">
        <v>176</v>
      </c>
      <c r="D262" s="41"/>
      <c r="E262" s="107"/>
      <c r="I262" s="99"/>
    </row>
    <row r="263" customFormat="false" ht="14.4" hidden="true" customHeight="false" outlineLevel="0" collapsed="false">
      <c r="B263" s="98" t="s">
        <v>274</v>
      </c>
      <c r="C263" s="96" t="s">
        <v>275</v>
      </c>
      <c r="D263" s="41"/>
      <c r="E263" s="108"/>
      <c r="I263" s="99"/>
    </row>
    <row r="264" customFormat="false" ht="14.4" hidden="true" customHeight="false" outlineLevel="0" collapsed="false">
      <c r="B264" s="98" t="s">
        <v>161</v>
      </c>
      <c r="C264" s="96" t="s">
        <v>162</v>
      </c>
      <c r="D264" s="41"/>
      <c r="E264" s="107"/>
      <c r="I264" s="99"/>
    </row>
    <row r="265" customFormat="false" ht="14.4" hidden="true" customHeight="false" outlineLevel="0" collapsed="false">
      <c r="B265" s="98" t="s">
        <v>177</v>
      </c>
      <c r="C265" s="96" t="s">
        <v>178</v>
      </c>
      <c r="D265" s="41"/>
      <c r="E265" s="108"/>
      <c r="I265" s="99"/>
    </row>
    <row r="266" customFormat="false" ht="14.4" hidden="true" customHeight="false" outlineLevel="0" collapsed="false">
      <c r="B266" s="98" t="s">
        <v>163</v>
      </c>
      <c r="C266" s="96" t="s">
        <v>164</v>
      </c>
      <c r="D266" s="41"/>
      <c r="E266" s="107"/>
      <c r="I266" s="99"/>
    </row>
    <row r="267" customFormat="false" ht="14.4" hidden="true" customHeight="false" outlineLevel="0" collapsed="false">
      <c r="B267" s="98" t="s">
        <v>179</v>
      </c>
      <c r="C267" s="96" t="s">
        <v>180</v>
      </c>
      <c r="D267" s="41"/>
      <c r="E267" s="108"/>
      <c r="I267" s="99"/>
    </row>
    <row r="268" customFormat="false" ht="14.4" hidden="true" customHeight="false" outlineLevel="0" collapsed="false">
      <c r="B268" s="98" t="s">
        <v>69</v>
      </c>
      <c r="C268" s="96" t="s">
        <v>165</v>
      </c>
      <c r="D268" s="41"/>
      <c r="E268" s="107"/>
      <c r="I268" s="99"/>
    </row>
    <row r="269" customFormat="false" ht="14.4" hidden="true" customHeight="false" outlineLevel="0" collapsed="false">
      <c r="B269" s="98" t="s">
        <v>166</v>
      </c>
      <c r="C269" s="96" t="s">
        <v>167</v>
      </c>
      <c r="D269" s="41"/>
      <c r="E269" s="108"/>
      <c r="I269" s="99"/>
    </row>
    <row r="270" customFormat="false" ht="14.4" hidden="true" customHeight="false" outlineLevel="0" collapsed="false">
      <c r="B270" s="98" t="s">
        <v>168</v>
      </c>
      <c r="C270" s="96" t="s">
        <v>169</v>
      </c>
      <c r="D270" s="41"/>
      <c r="E270" s="107"/>
      <c r="I270" s="99"/>
    </row>
    <row r="271" customFormat="false" ht="14.4" hidden="true" customHeight="false" outlineLevel="0" collapsed="false">
      <c r="B271" s="98"/>
      <c r="C271" s="96"/>
      <c r="D271" s="41"/>
      <c r="E271" s="107"/>
      <c r="I271" s="99"/>
    </row>
    <row r="272" customFormat="false" ht="14.4" hidden="true" customHeight="false" outlineLevel="0" collapsed="false">
      <c r="B272" s="100" t="s">
        <v>29</v>
      </c>
      <c r="C272" s="101" t="s">
        <v>89</v>
      </c>
      <c r="D272" s="102"/>
      <c r="E272" s="108"/>
      <c r="I272" s="99"/>
    </row>
    <row r="273" customFormat="false" ht="14.4" hidden="true" customHeight="false" outlineLevel="0" collapsed="false">
      <c r="A273" s="104" t="s">
        <v>312</v>
      </c>
      <c r="B273" s="98" t="s">
        <v>132</v>
      </c>
      <c r="C273" s="96" t="s">
        <v>133</v>
      </c>
      <c r="D273" s="41"/>
      <c r="E273" s="107"/>
      <c r="I273" s="41"/>
    </row>
    <row r="274" customFormat="false" ht="14.4" hidden="true" customHeight="false" outlineLevel="0" collapsed="false">
      <c r="B274" s="98" t="s">
        <v>139</v>
      </c>
      <c r="C274" s="96" t="s">
        <v>140</v>
      </c>
      <c r="D274" s="41"/>
      <c r="E274" s="108"/>
      <c r="I274" s="99"/>
    </row>
    <row r="275" customFormat="false" ht="14.4" hidden="true" customHeight="false" outlineLevel="0" collapsed="false">
      <c r="B275" s="98" t="s">
        <v>134</v>
      </c>
      <c r="C275" s="96" t="s">
        <v>135</v>
      </c>
      <c r="D275" s="41"/>
      <c r="E275" s="107"/>
      <c r="I275" s="99"/>
    </row>
    <row r="276" customFormat="false" ht="14.4" hidden="true" customHeight="false" outlineLevel="0" collapsed="false">
      <c r="B276" s="98" t="s">
        <v>141</v>
      </c>
      <c r="C276" s="96" t="s">
        <v>142</v>
      </c>
      <c r="D276" s="41"/>
      <c r="E276" s="89"/>
      <c r="I276" s="99"/>
    </row>
    <row r="277" customFormat="false" ht="14.4" hidden="true" customHeight="false" outlineLevel="0" collapsed="false">
      <c r="B277" s="98" t="s">
        <v>76</v>
      </c>
      <c r="C277" s="96" t="s">
        <v>136</v>
      </c>
      <c r="D277" s="41"/>
      <c r="E277" s="89"/>
      <c r="I277" s="99"/>
    </row>
    <row r="278" customFormat="false" ht="14.4" hidden="true" customHeight="false" outlineLevel="0" collapsed="false">
      <c r="B278" s="98" t="s">
        <v>143</v>
      </c>
      <c r="C278" s="96" t="s">
        <v>144</v>
      </c>
      <c r="D278" s="41"/>
      <c r="E278" s="107"/>
      <c r="I278" s="41"/>
      <c r="K278" s="41"/>
    </row>
    <row r="279" customFormat="false" ht="14.4" hidden="true" customHeight="false" outlineLevel="0" collapsed="false">
      <c r="B279" s="98" t="s">
        <v>137</v>
      </c>
      <c r="C279" s="96" t="s">
        <v>138</v>
      </c>
      <c r="D279" s="41"/>
      <c r="E279" s="107"/>
      <c r="I279" s="99"/>
      <c r="K279" s="41"/>
    </row>
    <row r="280" customFormat="false" ht="14.4" hidden="true" customHeight="false" outlineLevel="0" collapsed="false">
      <c r="B280" s="98" t="s">
        <v>54</v>
      </c>
      <c r="C280" s="96" t="s">
        <v>145</v>
      </c>
      <c r="D280" s="41"/>
      <c r="E280" s="107"/>
      <c r="I280" s="99"/>
    </row>
    <row r="281" customFormat="false" ht="14.4" hidden="true" customHeight="false" outlineLevel="0" collapsed="false">
      <c r="B281" s="98" t="s">
        <v>146</v>
      </c>
      <c r="C281" s="96" t="s">
        <v>147</v>
      </c>
      <c r="D281" s="41"/>
      <c r="E281" s="107"/>
      <c r="I281" s="99"/>
    </row>
    <row r="283" customFormat="false" ht="14.4" hidden="true" customHeight="false" outlineLevel="0" collapsed="false">
      <c r="B283" s="103" t="s">
        <v>313</v>
      </c>
      <c r="C283" s="103" t="s">
        <v>314</v>
      </c>
      <c r="D283" s="103" t="s">
        <v>315</v>
      </c>
      <c r="E283" s="103" t="s">
        <v>316</v>
      </c>
    </row>
    <row r="284" customFormat="false" ht="14.4" hidden="true" customHeight="false" outlineLevel="0" collapsed="false">
      <c r="B284" s="0" t="s">
        <v>55</v>
      </c>
      <c r="C284" s="41" t="s">
        <v>55</v>
      </c>
      <c r="D284" s="41" t="s">
        <v>317</v>
      </c>
      <c r="E284" s="41" t="str">
        <f aca="false">CONCATENATE(Table_Name52[[#This Row],[Table name]],"[Link]")</f>
        <v>Abs[Link]</v>
      </c>
    </row>
    <row r="285" customFormat="false" ht="14.4" hidden="true" customHeight="false" outlineLevel="0" collapsed="false">
      <c r="B285" s="0" t="s">
        <v>66</v>
      </c>
      <c r="C285" s="41" t="s">
        <v>66</v>
      </c>
      <c r="D285" s="41" t="s">
        <v>318</v>
      </c>
      <c r="E285" s="41" t="str">
        <f aca="false">CONCATENATE(Table_Name52[[#This Row],[Table name]],"[Link]")</f>
        <v>Calves[Link]</v>
      </c>
    </row>
    <row r="286" customFormat="false" ht="14.4" hidden="true" customHeight="false" outlineLevel="0" collapsed="false">
      <c r="B286" s="0" t="s">
        <v>83</v>
      </c>
      <c r="C286" s="41" t="s">
        <v>83</v>
      </c>
      <c r="D286" s="41" t="s">
        <v>319</v>
      </c>
      <c r="E286" s="41" t="str">
        <f aca="false">CONCATENATE(Table_Name52[[#This Row],[Table name]],"[Link]")</f>
        <v>Biceps[Link]</v>
      </c>
    </row>
    <row r="287" customFormat="false" ht="14.4" hidden="true" customHeight="false" outlineLevel="0" collapsed="false">
      <c r="B287" s="0" t="s">
        <v>131</v>
      </c>
      <c r="C287" s="41" t="s">
        <v>320</v>
      </c>
      <c r="D287" s="41" t="s">
        <v>321</v>
      </c>
      <c r="E287" s="41" t="str">
        <f aca="false">CONCATENATE(Table_Name52[[#This Row],[Table name]],"[Link]")</f>
        <v>Rear_Delts[Link]</v>
      </c>
    </row>
    <row r="288" customFormat="false" ht="14.4" hidden="true" customHeight="false" outlineLevel="0" collapsed="false">
      <c r="B288" s="0" t="s">
        <v>53</v>
      </c>
      <c r="C288" s="41" t="s">
        <v>322</v>
      </c>
      <c r="D288" s="41" t="s">
        <v>323</v>
      </c>
      <c r="E288" s="41" t="str">
        <f aca="false">CONCATENATE(Table_Name52[[#This Row],[Table name]],"[Link]")</f>
        <v>Side_Delts[Link]</v>
      </c>
    </row>
    <row r="289" customFormat="false" ht="14.4" hidden="true" customHeight="false" outlineLevel="0" collapsed="false">
      <c r="B289" s="0" t="s">
        <v>85</v>
      </c>
      <c r="C289" s="41" t="s">
        <v>85</v>
      </c>
      <c r="D289" s="41" t="s">
        <v>324</v>
      </c>
      <c r="E289" s="41" t="str">
        <f aca="false">CONCATENATE(Table_Name52[[#This Row],[Table name]],"[Link]")</f>
        <v>Traps[Link]</v>
      </c>
    </row>
    <row r="290" customFormat="false" ht="14.4" hidden="true" customHeight="false" outlineLevel="0" collapsed="false">
      <c r="B290" s="0" t="s">
        <v>155</v>
      </c>
      <c r="C290" s="41" t="s">
        <v>325</v>
      </c>
      <c r="D290" s="41" t="s">
        <v>326</v>
      </c>
      <c r="E290" s="41" t="str">
        <f aca="false">CONCATENATE(Table_Name52[[#This Row],[Table name]],"[Link]")</f>
        <v>Horizontal_Triceps[Link]</v>
      </c>
    </row>
    <row r="291" customFormat="false" ht="14.4" hidden="true" customHeight="false" outlineLevel="0" collapsed="false">
      <c r="B291" s="0" t="s">
        <v>170</v>
      </c>
      <c r="C291" s="41" t="s">
        <v>327</v>
      </c>
      <c r="D291" s="41" t="s">
        <v>328</v>
      </c>
      <c r="E291" s="41" t="str">
        <f aca="false">CONCATENATE(Table_Name52[[#This Row],[Table name]],"[Link]")</f>
        <v>Vertical_Triceps[Link]</v>
      </c>
    </row>
    <row r="292" customFormat="false" ht="14.4" hidden="true" customHeight="false" outlineLevel="0" collapsed="false">
      <c r="B292" s="0" t="s">
        <v>49</v>
      </c>
      <c r="C292" s="41" t="s">
        <v>329</v>
      </c>
      <c r="D292" s="41" t="s">
        <v>330</v>
      </c>
      <c r="E292" s="41" t="str">
        <f aca="false">CONCATENATE(Table_Name52[[#This Row],[Table name]],"[Link]")</f>
        <v>Horizonal_Back[Link]</v>
      </c>
    </row>
    <row r="293" customFormat="false" ht="14.4" hidden="true" customHeight="false" outlineLevel="0" collapsed="false">
      <c r="B293" s="0" t="s">
        <v>51</v>
      </c>
      <c r="C293" s="41" t="s">
        <v>331</v>
      </c>
      <c r="D293" s="41" t="s">
        <v>332</v>
      </c>
      <c r="E293" s="41" t="str">
        <f aca="false">CONCATENATE(Table_Name52[[#This Row],[Table name]],"[Link]")</f>
        <v>Vertical_Back[Link]</v>
      </c>
    </row>
    <row r="294" customFormat="false" ht="14.4" hidden="true" customHeight="false" outlineLevel="0" collapsed="false">
      <c r="B294" s="0" t="s">
        <v>61</v>
      </c>
      <c r="C294" s="41" t="s">
        <v>61</v>
      </c>
      <c r="D294" s="41" t="s">
        <v>333</v>
      </c>
      <c r="E294" s="41" t="str">
        <f aca="false">CONCATENATE(Table_Name52[[#This Row],[Table name]],"[Link]")</f>
        <v>Quads[Link]</v>
      </c>
    </row>
    <row r="295" customFormat="false" ht="14.4" hidden="true" customHeight="false" outlineLevel="0" collapsed="false">
      <c r="B295" s="0" t="s">
        <v>79</v>
      </c>
      <c r="C295" s="41" t="s">
        <v>79</v>
      </c>
      <c r="D295" s="41" t="s">
        <v>334</v>
      </c>
      <c r="E295" s="41" t="str">
        <f aca="false">CONCATENATE(Table_Name52[[#This Row],[Table name]],"[Link]")</f>
        <v>Glutes[Link]</v>
      </c>
    </row>
    <row r="296" customFormat="false" ht="14.4" hidden="true" customHeight="false" outlineLevel="0" collapsed="false">
      <c r="B296" s="0" t="s">
        <v>81</v>
      </c>
      <c r="C296" s="41" t="s">
        <v>335</v>
      </c>
      <c r="D296" s="41" t="s">
        <v>336</v>
      </c>
      <c r="E296" s="41" t="str">
        <f aca="false">CONCATENATE(Table_Name52[[#This Row],[Table name]],"[Link]")</f>
        <v>Hamstrings_Hip_Hinge[Link]</v>
      </c>
    </row>
    <row r="297" customFormat="false" ht="14.4" hidden="true" customHeight="false" outlineLevel="0" collapsed="false">
      <c r="B297" s="0" t="s">
        <v>64</v>
      </c>
      <c r="C297" s="41" t="s">
        <v>337</v>
      </c>
      <c r="D297" s="41" t="s">
        <v>338</v>
      </c>
      <c r="E297" s="41" t="str">
        <f aca="false">CONCATENATE(Table_Name52[[#This Row],[Table name]],"[Link]")</f>
        <v>Hamstrings_Isolation[Link]</v>
      </c>
    </row>
    <row r="298" customFormat="false" ht="14.4" hidden="true" customHeight="false" outlineLevel="0" collapsed="false">
      <c r="B298" s="0" t="s">
        <v>261</v>
      </c>
      <c r="C298" s="41" t="s">
        <v>339</v>
      </c>
      <c r="D298" s="41" t="s">
        <v>340</v>
      </c>
      <c r="E298" s="41" t="str">
        <f aca="false">CONCATENATE(Table_Name52[[#This Row],[Table name]],"[Link]")</f>
        <v>Chest_Isolation[Link]</v>
      </c>
    </row>
    <row r="299" customFormat="false" ht="14.4" hidden="true" customHeight="false" outlineLevel="0" collapsed="false">
      <c r="B299" s="0" t="s">
        <v>47</v>
      </c>
      <c r="C299" s="41" t="s">
        <v>341</v>
      </c>
      <c r="D299" s="41" t="s">
        <v>342</v>
      </c>
      <c r="E299" s="41" t="str">
        <f aca="false">CONCATENATE(Table_Name52[[#This Row],[Table name]],"[Link]")</f>
        <v>Horizontal_Push[Link]</v>
      </c>
    </row>
    <row r="300" customFormat="false" ht="14.4" hidden="true" customHeight="false" outlineLevel="0" collapsed="false">
      <c r="B300" s="0" t="s">
        <v>39</v>
      </c>
      <c r="C300" s="41" t="s">
        <v>343</v>
      </c>
      <c r="D300" s="41" t="s">
        <v>344</v>
      </c>
      <c r="E300" s="41" t="str">
        <f aca="false">CONCATENATE(Table_Name52[[#This Row],[Table name]],"[Link]")</f>
        <v>Incline_Push[Link]</v>
      </c>
    </row>
    <row r="301" customFormat="false" ht="14.4" hidden="true" customHeight="false" outlineLevel="0" collapsed="false">
      <c r="B301" s="0" t="s">
        <v>70</v>
      </c>
      <c r="C301" s="41" t="s">
        <v>345</v>
      </c>
      <c r="D301" s="41" t="s">
        <v>346</v>
      </c>
      <c r="E301" s="41" t="str">
        <f aca="false">CONCATENATE(Table_Name52[[#This Row],[Table name]],"[Link]")</f>
        <v>Front_Delts[Link]</v>
      </c>
    </row>
    <row r="302" customFormat="false" ht="14.4" hidden="true" customHeight="false" outlineLevel="0" collapsed="false">
      <c r="B302" s="0" t="s">
        <v>68</v>
      </c>
      <c r="C302" s="41" t="s">
        <v>68</v>
      </c>
      <c r="D302" s="41" t="s">
        <v>347</v>
      </c>
      <c r="E302" s="41" t="str">
        <f aca="false">CONCATENATE(Table_Name52[[#This Row],[Table name]],"[Link]")</f>
        <v>Triceps[Link]</v>
      </c>
    </row>
    <row r="303" customFormat="false" ht="14.4" hidden="true" customHeight="false" outlineLevel="0" collapsed="false">
      <c r="B303" s="0" t="s">
        <v>311</v>
      </c>
      <c r="C303" s="41" t="s">
        <v>348</v>
      </c>
      <c r="D303" s="41" t="s">
        <v>349</v>
      </c>
      <c r="E303" s="41" t="str">
        <f aca="false">CONCATENATE(Table_Name52[[#This Row],[Table name]],"[Link]")</f>
        <v>Incline_Push_or_Front_Delts[Link]</v>
      </c>
    </row>
    <row r="304" customFormat="false" ht="14.4" hidden="true" customHeight="false" outlineLevel="0" collapsed="false">
      <c r="B304" s="0" t="s">
        <v>45</v>
      </c>
      <c r="C304" s="41" t="s">
        <v>350</v>
      </c>
      <c r="D304" s="41" t="s">
        <v>351</v>
      </c>
      <c r="E304" s="41" t="str">
        <f aca="false">CONCATENATE(Table_Name52[[#This Row],[Table name]],"[Link]")</f>
        <v>Chest_Isolation_or_Triceps[Link]</v>
      </c>
    </row>
    <row r="305" customFormat="false" ht="14.4" hidden="true" customHeight="false" outlineLevel="0" collapsed="false">
      <c r="B305" s="0" t="s">
        <v>75</v>
      </c>
      <c r="C305" s="41" t="s">
        <v>352</v>
      </c>
      <c r="D305" s="41" t="s">
        <v>353</v>
      </c>
      <c r="E305" s="41" t="str">
        <f aca="false">CONCATENATE(Table_Name52[[#This Row],[Table name]],"[Link]")</f>
        <v>Rear_or_Side_Delts[Link]</v>
      </c>
    </row>
    <row r="307" customFormat="false" ht="14.4" hidden="true" customHeight="false" outlineLevel="0" collapsed="false">
      <c r="B307" s="109" t="s">
        <v>29</v>
      </c>
      <c r="C307" s="103" t="s">
        <v>89</v>
      </c>
      <c r="D307" s="109" t="s">
        <v>313</v>
      </c>
    </row>
    <row r="308" customFormat="false" ht="14.4" hidden="true" customHeight="false" outlineLevel="0" collapsed="false">
      <c r="B308" s="41" t="s">
        <v>90</v>
      </c>
      <c r="C308" s="0" t="s">
        <v>91</v>
      </c>
      <c r="D308" s="0" t="s">
        <v>55</v>
      </c>
    </row>
    <row r="309" customFormat="false" ht="14.4" hidden="true" customHeight="false" outlineLevel="0" collapsed="false">
      <c r="B309" s="41" t="s">
        <v>92</v>
      </c>
      <c r="C309" s="0" t="s">
        <v>93</v>
      </c>
      <c r="D309" s="0" t="s">
        <v>55</v>
      </c>
    </row>
    <row r="310" customFormat="false" ht="14.4" hidden="true" customHeight="false" outlineLevel="0" collapsed="false">
      <c r="B310" s="41" t="s">
        <v>94</v>
      </c>
      <c r="C310" s="0" t="s">
        <v>95</v>
      </c>
      <c r="D310" s="0" t="s">
        <v>55</v>
      </c>
    </row>
    <row r="311" customFormat="false" ht="14.4" hidden="true" customHeight="false" outlineLevel="0" collapsed="false">
      <c r="B311" s="41" t="s">
        <v>96</v>
      </c>
      <c r="C311" s="0" t="s">
        <v>97</v>
      </c>
      <c r="D311" s="0" t="s">
        <v>55</v>
      </c>
    </row>
    <row r="312" customFormat="false" ht="14.4" hidden="true" customHeight="false" outlineLevel="0" collapsed="false">
      <c r="B312" s="99" t="s">
        <v>98</v>
      </c>
      <c r="C312" s="0" t="s">
        <v>99</v>
      </c>
      <c r="D312" s="0" t="s">
        <v>55</v>
      </c>
    </row>
    <row r="313" customFormat="false" ht="14.4" hidden="true" customHeight="false" outlineLevel="0" collapsed="false">
      <c r="B313" s="41" t="s">
        <v>56</v>
      </c>
      <c r="C313" s="0" t="s">
        <v>100</v>
      </c>
      <c r="D313" s="0" t="s">
        <v>55</v>
      </c>
    </row>
    <row r="314" customFormat="false" ht="14.4" hidden="true" customHeight="false" outlineLevel="0" collapsed="false">
      <c r="B314" s="41" t="s">
        <v>101</v>
      </c>
      <c r="C314" s="0" t="s">
        <v>102</v>
      </c>
      <c r="D314" s="0" t="s">
        <v>55</v>
      </c>
    </row>
    <row r="315" customFormat="false" ht="14.4" hidden="true" customHeight="false" outlineLevel="0" collapsed="false">
      <c r="B315" s="41" t="s">
        <v>110</v>
      </c>
      <c r="C315" s="0" t="s">
        <v>111</v>
      </c>
      <c r="D315" s="0" t="s">
        <v>83</v>
      </c>
    </row>
    <row r="316" customFormat="false" ht="14.4" hidden="true" customHeight="false" outlineLevel="0" collapsed="false">
      <c r="B316" s="41" t="s">
        <v>112</v>
      </c>
      <c r="C316" s="0" t="s">
        <v>113</v>
      </c>
      <c r="D316" s="0" t="s">
        <v>83</v>
      </c>
    </row>
    <row r="317" customFormat="false" ht="14.4" hidden="true" customHeight="false" outlineLevel="0" collapsed="false">
      <c r="B317" s="41" t="s">
        <v>114</v>
      </c>
      <c r="C317" s="0" t="s">
        <v>115</v>
      </c>
      <c r="D317" s="0" t="s">
        <v>83</v>
      </c>
    </row>
    <row r="318" customFormat="false" ht="14.4" hidden="true" customHeight="false" outlineLevel="0" collapsed="false">
      <c r="B318" s="41" t="s">
        <v>116</v>
      </c>
      <c r="C318" s="0" t="s">
        <v>117</v>
      </c>
      <c r="D318" s="0" t="s">
        <v>83</v>
      </c>
    </row>
    <row r="319" customFormat="false" ht="14.4" hidden="true" customHeight="false" outlineLevel="0" collapsed="false">
      <c r="B319" s="41" t="s">
        <v>118</v>
      </c>
      <c r="C319" s="0" t="s">
        <v>119</v>
      </c>
      <c r="D319" s="0" t="s">
        <v>83</v>
      </c>
    </row>
    <row r="320" customFormat="false" ht="14.4" hidden="true" customHeight="false" outlineLevel="0" collapsed="false">
      <c r="B320" s="41" t="s">
        <v>120</v>
      </c>
      <c r="C320" s="0" t="s">
        <v>121</v>
      </c>
      <c r="D320" s="0" t="s">
        <v>83</v>
      </c>
    </row>
    <row r="321" customFormat="false" ht="14.4" hidden="true" customHeight="false" outlineLevel="0" collapsed="false">
      <c r="B321" s="41" t="s">
        <v>122</v>
      </c>
      <c r="C321" s="0" t="s">
        <v>123</v>
      </c>
      <c r="D321" s="0" t="s">
        <v>83</v>
      </c>
    </row>
    <row r="322" customFormat="false" ht="14.4" hidden="true" customHeight="false" outlineLevel="0" collapsed="false">
      <c r="B322" s="41" t="s">
        <v>84</v>
      </c>
      <c r="C322" s="0" t="s">
        <v>124</v>
      </c>
      <c r="D322" s="0" t="s">
        <v>83</v>
      </c>
    </row>
    <row r="323" customFormat="false" ht="14.4" hidden="true" customHeight="false" outlineLevel="0" collapsed="false">
      <c r="B323" s="99" t="s">
        <v>125</v>
      </c>
      <c r="C323" s="0" t="s">
        <v>126</v>
      </c>
      <c r="D323" s="0" t="s">
        <v>83</v>
      </c>
    </row>
    <row r="324" customFormat="false" ht="14.4" hidden="true" customHeight="false" outlineLevel="0" collapsed="false">
      <c r="B324" s="41" t="s">
        <v>127</v>
      </c>
      <c r="C324" s="0" t="s">
        <v>128</v>
      </c>
      <c r="D324" s="0" t="s">
        <v>83</v>
      </c>
    </row>
    <row r="325" customFormat="false" ht="14.4" hidden="true" customHeight="false" outlineLevel="0" collapsed="false">
      <c r="B325" s="41" t="s">
        <v>129</v>
      </c>
      <c r="C325" s="0" t="s">
        <v>130</v>
      </c>
      <c r="D325" s="0" t="s">
        <v>83</v>
      </c>
    </row>
    <row r="326" customFormat="false" ht="14.4" hidden="true" customHeight="false" outlineLevel="0" collapsed="false">
      <c r="B326" s="41" t="s">
        <v>67</v>
      </c>
      <c r="C326" s="0" t="s">
        <v>103</v>
      </c>
      <c r="D326" s="0" t="s">
        <v>66</v>
      </c>
    </row>
    <row r="327" customFormat="false" ht="14.4" hidden="true" customHeight="false" outlineLevel="0" collapsed="false">
      <c r="B327" s="41" t="s">
        <v>104</v>
      </c>
      <c r="C327" s="0" t="s">
        <v>105</v>
      </c>
      <c r="D327" s="0" t="s">
        <v>66</v>
      </c>
    </row>
    <row r="328" customFormat="false" ht="14.4" hidden="true" customHeight="false" outlineLevel="0" collapsed="false">
      <c r="B328" s="41" t="s">
        <v>106</v>
      </c>
      <c r="C328" s="0" t="s">
        <v>107</v>
      </c>
      <c r="D328" s="0" t="s">
        <v>66</v>
      </c>
    </row>
    <row r="329" customFormat="false" ht="14.4" hidden="true" customHeight="false" outlineLevel="0" collapsed="false">
      <c r="B329" s="41" t="s">
        <v>108</v>
      </c>
      <c r="C329" s="0" t="s">
        <v>109</v>
      </c>
      <c r="D329" s="0" t="s">
        <v>66</v>
      </c>
    </row>
    <row r="330" customFormat="false" ht="14.4" hidden="true" customHeight="false" outlineLevel="0" collapsed="false">
      <c r="B330" s="41" t="s">
        <v>262</v>
      </c>
      <c r="C330" s="0" t="s">
        <v>263</v>
      </c>
      <c r="D330" s="0" t="s">
        <v>261</v>
      </c>
    </row>
    <row r="331" customFormat="false" ht="14.4" hidden="true" customHeight="false" outlineLevel="0" collapsed="false">
      <c r="B331" s="41" t="s">
        <v>264</v>
      </c>
      <c r="C331" s="0" t="s">
        <v>265</v>
      </c>
      <c r="D331" s="0" t="s">
        <v>261</v>
      </c>
    </row>
    <row r="332" customFormat="false" ht="14.4" hidden="true" customHeight="false" outlineLevel="0" collapsed="false">
      <c r="B332" s="41" t="s">
        <v>266</v>
      </c>
      <c r="C332" s="0" t="s">
        <v>267</v>
      </c>
      <c r="D332" s="0" t="s">
        <v>261</v>
      </c>
    </row>
    <row r="333" customFormat="false" ht="14.4" hidden="true" customHeight="false" outlineLevel="0" collapsed="false">
      <c r="B333" s="41" t="s">
        <v>268</v>
      </c>
      <c r="C333" s="0" t="s">
        <v>269</v>
      </c>
      <c r="D333" s="0" t="s">
        <v>261</v>
      </c>
    </row>
    <row r="334" customFormat="false" ht="14.4" hidden="true" customHeight="false" outlineLevel="0" collapsed="false">
      <c r="B334" s="41" t="s">
        <v>270</v>
      </c>
      <c r="C334" s="0" t="s">
        <v>271</v>
      </c>
      <c r="D334" s="0" t="s">
        <v>261</v>
      </c>
    </row>
    <row r="335" customFormat="false" ht="14.4" hidden="true" customHeight="false" outlineLevel="0" collapsed="false">
      <c r="B335" s="41" t="s">
        <v>272</v>
      </c>
      <c r="C335" s="0" t="s">
        <v>273</v>
      </c>
      <c r="D335" s="0" t="s">
        <v>261</v>
      </c>
    </row>
    <row r="336" customFormat="false" ht="14.4" hidden="true" customHeight="false" outlineLevel="0" collapsed="false">
      <c r="B336" s="41" t="s">
        <v>274</v>
      </c>
      <c r="C336" s="0" t="s">
        <v>275</v>
      </c>
      <c r="D336" s="0" t="s">
        <v>261</v>
      </c>
    </row>
    <row r="337" customFormat="false" ht="14.4" hidden="true" customHeight="false" outlineLevel="0" collapsed="false">
      <c r="B337" s="41" t="s">
        <v>262</v>
      </c>
      <c r="C337" s="0" t="s">
        <v>263</v>
      </c>
      <c r="D337" s="0" t="s">
        <v>45</v>
      </c>
    </row>
    <row r="338" customFormat="false" ht="14.4" hidden="true" customHeight="false" outlineLevel="0" collapsed="false">
      <c r="B338" s="41" t="s">
        <v>156</v>
      </c>
      <c r="C338" s="0" t="s">
        <v>157</v>
      </c>
      <c r="D338" s="0" t="s">
        <v>45</v>
      </c>
    </row>
    <row r="339" customFormat="false" ht="14.4" hidden="true" customHeight="false" outlineLevel="0" collapsed="false">
      <c r="B339" s="41" t="s">
        <v>264</v>
      </c>
      <c r="C339" s="0" t="s">
        <v>265</v>
      </c>
      <c r="D339" s="0" t="s">
        <v>45</v>
      </c>
    </row>
    <row r="340" customFormat="false" ht="14.4" hidden="true" customHeight="false" outlineLevel="0" collapsed="false">
      <c r="B340" s="41" t="s">
        <v>171</v>
      </c>
      <c r="C340" s="0" t="s">
        <v>172</v>
      </c>
      <c r="D340" s="0" t="s">
        <v>45</v>
      </c>
    </row>
    <row r="341" customFormat="false" ht="14.4" hidden="true" customHeight="false" outlineLevel="0" collapsed="false">
      <c r="B341" s="41" t="s">
        <v>266</v>
      </c>
      <c r="C341" s="0" t="s">
        <v>267</v>
      </c>
      <c r="D341" s="0" t="s">
        <v>45</v>
      </c>
    </row>
    <row r="342" customFormat="false" ht="14.4" hidden="true" customHeight="false" outlineLevel="0" collapsed="false">
      <c r="B342" s="41" t="s">
        <v>46</v>
      </c>
      <c r="C342" s="0" t="s">
        <v>158</v>
      </c>
      <c r="D342" s="0" t="s">
        <v>45</v>
      </c>
    </row>
    <row r="343" customFormat="false" ht="14.4" hidden="true" customHeight="false" outlineLevel="0" collapsed="false">
      <c r="B343" s="41" t="s">
        <v>268</v>
      </c>
      <c r="C343" s="0" t="s">
        <v>269</v>
      </c>
      <c r="D343" s="0" t="s">
        <v>45</v>
      </c>
    </row>
    <row r="344" customFormat="false" ht="14.4" hidden="true" customHeight="false" outlineLevel="0" collapsed="false">
      <c r="B344" s="41" t="s">
        <v>173</v>
      </c>
      <c r="C344" s="0" t="s">
        <v>174</v>
      </c>
      <c r="D344" s="0" t="s">
        <v>45</v>
      </c>
    </row>
    <row r="345" customFormat="false" ht="14.4" hidden="true" customHeight="false" outlineLevel="0" collapsed="false">
      <c r="B345" s="41" t="s">
        <v>270</v>
      </c>
      <c r="C345" s="0" t="s">
        <v>271</v>
      </c>
      <c r="D345" s="0" t="s">
        <v>45</v>
      </c>
    </row>
    <row r="346" customFormat="false" ht="14.4" hidden="true" customHeight="false" outlineLevel="0" collapsed="false">
      <c r="B346" s="41" t="s">
        <v>159</v>
      </c>
      <c r="C346" s="0" t="s">
        <v>160</v>
      </c>
      <c r="D346" s="0" t="s">
        <v>45</v>
      </c>
    </row>
    <row r="347" customFormat="false" ht="14.4" hidden="true" customHeight="false" outlineLevel="0" collapsed="false">
      <c r="B347" s="41" t="s">
        <v>272</v>
      </c>
      <c r="C347" s="0" t="s">
        <v>273</v>
      </c>
      <c r="D347" s="0" t="s">
        <v>45</v>
      </c>
    </row>
    <row r="348" customFormat="false" ht="14.4" hidden="true" customHeight="false" outlineLevel="0" collapsed="false">
      <c r="B348" s="41" t="s">
        <v>175</v>
      </c>
      <c r="C348" s="0" t="s">
        <v>176</v>
      </c>
      <c r="D348" s="0" t="s">
        <v>45</v>
      </c>
    </row>
    <row r="349" customFormat="false" ht="14.4" hidden="true" customHeight="false" outlineLevel="0" collapsed="false">
      <c r="B349" s="41" t="s">
        <v>274</v>
      </c>
      <c r="C349" s="0" t="s">
        <v>275</v>
      </c>
      <c r="D349" s="0" t="s">
        <v>45</v>
      </c>
    </row>
    <row r="350" customFormat="false" ht="14.4" hidden="true" customHeight="false" outlineLevel="0" collapsed="false">
      <c r="B350" s="41" t="s">
        <v>161</v>
      </c>
      <c r="C350" s="0" t="s">
        <v>162</v>
      </c>
      <c r="D350" s="0" t="s">
        <v>45</v>
      </c>
    </row>
    <row r="351" customFormat="false" ht="14.4" hidden="true" customHeight="false" outlineLevel="0" collapsed="false">
      <c r="B351" s="41" t="s">
        <v>177</v>
      </c>
      <c r="C351" s="0" t="s">
        <v>178</v>
      </c>
      <c r="D351" s="0" t="s">
        <v>45</v>
      </c>
    </row>
    <row r="352" customFormat="false" ht="14.4" hidden="true" customHeight="false" outlineLevel="0" collapsed="false">
      <c r="B352" s="41" t="s">
        <v>163</v>
      </c>
      <c r="C352" s="0" t="s">
        <v>164</v>
      </c>
      <c r="D352" s="0" t="s">
        <v>45</v>
      </c>
    </row>
    <row r="353" customFormat="false" ht="14.4" hidden="true" customHeight="false" outlineLevel="0" collapsed="false">
      <c r="B353" s="41" t="s">
        <v>179</v>
      </c>
      <c r="C353" s="0" t="s">
        <v>180</v>
      </c>
      <c r="D353" s="0" t="s">
        <v>45</v>
      </c>
    </row>
    <row r="354" customFormat="false" ht="14.4" hidden="true" customHeight="false" outlineLevel="0" collapsed="false">
      <c r="B354" s="41" t="s">
        <v>69</v>
      </c>
      <c r="C354" s="0" t="s">
        <v>165</v>
      </c>
      <c r="D354" s="0" t="s">
        <v>45</v>
      </c>
    </row>
    <row r="355" customFormat="false" ht="14.4" hidden="true" customHeight="false" outlineLevel="0" collapsed="false">
      <c r="B355" s="41" t="s">
        <v>166</v>
      </c>
      <c r="C355" s="0" t="s">
        <v>167</v>
      </c>
      <c r="D355" s="0" t="s">
        <v>45</v>
      </c>
    </row>
    <row r="356" customFormat="false" ht="14.4" hidden="true" customHeight="false" outlineLevel="0" collapsed="false">
      <c r="B356" s="41" t="s">
        <v>168</v>
      </c>
      <c r="C356" s="0" t="s">
        <v>169</v>
      </c>
      <c r="D356" s="0" t="s">
        <v>45</v>
      </c>
    </row>
    <row r="357" customFormat="false" ht="14.4" hidden="true" customHeight="false" outlineLevel="0" collapsed="false">
      <c r="B357" s="41" t="s">
        <v>71</v>
      </c>
      <c r="C357" s="0" t="s">
        <v>300</v>
      </c>
      <c r="D357" s="0" t="s">
        <v>70</v>
      </c>
    </row>
    <row r="358" customFormat="false" ht="14.4" hidden="true" customHeight="false" outlineLevel="0" collapsed="false">
      <c r="B358" s="41" t="s">
        <v>301</v>
      </c>
      <c r="C358" s="0" t="s">
        <v>302</v>
      </c>
      <c r="D358" s="0" t="s">
        <v>70</v>
      </c>
    </row>
    <row r="359" customFormat="false" ht="14.4" hidden="true" customHeight="false" outlineLevel="0" collapsed="false">
      <c r="B359" s="41" t="s">
        <v>303</v>
      </c>
      <c r="C359" s="0" t="s">
        <v>304</v>
      </c>
      <c r="D359" s="0" t="s">
        <v>70</v>
      </c>
    </row>
    <row r="360" customFormat="false" ht="14.4" hidden="true" customHeight="false" outlineLevel="0" collapsed="false">
      <c r="B360" s="41" t="s">
        <v>305</v>
      </c>
      <c r="C360" s="0" t="s">
        <v>306</v>
      </c>
      <c r="D360" s="0" t="s">
        <v>70</v>
      </c>
    </row>
    <row r="361" customFormat="false" ht="14.4" hidden="true" customHeight="false" outlineLevel="0" collapsed="false">
      <c r="B361" s="66" t="s">
        <v>307</v>
      </c>
      <c r="C361" s="0" t="s">
        <v>308</v>
      </c>
      <c r="D361" s="0" t="s">
        <v>70</v>
      </c>
    </row>
    <row r="362" customFormat="false" ht="14.4" hidden="true" customHeight="false" outlineLevel="0" collapsed="false">
      <c r="B362" s="41" t="s">
        <v>309</v>
      </c>
      <c r="C362" s="0" t="s">
        <v>310</v>
      </c>
      <c r="D362" s="0" t="s">
        <v>70</v>
      </c>
    </row>
    <row r="363" customFormat="false" ht="14.4" hidden="true" customHeight="false" outlineLevel="0" collapsed="false">
      <c r="B363" s="41" t="s">
        <v>232</v>
      </c>
      <c r="C363" s="0" t="s">
        <v>233</v>
      </c>
      <c r="D363" s="0" t="s">
        <v>79</v>
      </c>
    </row>
    <row r="364" customFormat="false" ht="14.4" hidden="true" customHeight="false" outlineLevel="0" collapsed="false">
      <c r="B364" s="41" t="s">
        <v>234</v>
      </c>
      <c r="C364" s="0" t="s">
        <v>235</v>
      </c>
      <c r="D364" s="0" t="s">
        <v>79</v>
      </c>
    </row>
    <row r="365" customFormat="false" ht="14.4" hidden="true" customHeight="false" outlineLevel="0" collapsed="false">
      <c r="B365" s="41" t="s">
        <v>236</v>
      </c>
      <c r="C365" s="0" t="s">
        <v>237</v>
      </c>
      <c r="D365" s="0" t="s">
        <v>79</v>
      </c>
    </row>
    <row r="366" customFormat="false" ht="14.4" hidden="true" customHeight="false" outlineLevel="0" collapsed="false">
      <c r="B366" s="41" t="s">
        <v>238</v>
      </c>
      <c r="C366" s="0" t="s">
        <v>239</v>
      </c>
      <c r="D366" s="0" t="s">
        <v>79</v>
      </c>
    </row>
    <row r="367" customFormat="false" ht="14.4" hidden="true" customHeight="false" outlineLevel="0" collapsed="false">
      <c r="B367" s="41" t="s">
        <v>240</v>
      </c>
      <c r="C367" s="0" t="s">
        <v>241</v>
      </c>
      <c r="D367" s="0" t="s">
        <v>79</v>
      </c>
    </row>
    <row r="368" customFormat="false" ht="14.4" hidden="true" customHeight="false" outlineLevel="0" collapsed="false">
      <c r="B368" s="41" t="s">
        <v>242</v>
      </c>
      <c r="C368" s="0" t="s">
        <v>243</v>
      </c>
      <c r="D368" s="0" t="s">
        <v>79</v>
      </c>
    </row>
    <row r="369" customFormat="false" ht="14.4" hidden="true" customHeight="false" outlineLevel="0" collapsed="false">
      <c r="B369" s="41" t="s">
        <v>80</v>
      </c>
      <c r="C369" s="0" t="s">
        <v>244</v>
      </c>
      <c r="D369" s="0" t="s">
        <v>79</v>
      </c>
    </row>
    <row r="370" customFormat="false" ht="14.4" hidden="true" customHeight="false" outlineLevel="0" collapsed="false">
      <c r="B370" s="41" t="s">
        <v>245</v>
      </c>
      <c r="C370" s="0" t="s">
        <v>246</v>
      </c>
      <c r="D370" s="0" t="s">
        <v>79</v>
      </c>
    </row>
    <row r="371" customFormat="false" ht="14.4" hidden="true" customHeight="false" outlineLevel="0" collapsed="false">
      <c r="B371" s="41" t="s">
        <v>248</v>
      </c>
      <c r="C371" s="0" t="s">
        <v>249</v>
      </c>
      <c r="D371" s="0" t="s">
        <v>247</v>
      </c>
    </row>
    <row r="372" customFormat="false" ht="14.4" hidden="true" customHeight="false" outlineLevel="0" collapsed="false">
      <c r="B372" s="41" t="s">
        <v>250</v>
      </c>
      <c r="C372" s="0" t="s">
        <v>251</v>
      </c>
      <c r="D372" s="0" t="s">
        <v>247</v>
      </c>
    </row>
    <row r="373" customFormat="false" ht="14.4" hidden="true" customHeight="false" outlineLevel="0" collapsed="false">
      <c r="B373" s="41" t="s">
        <v>252</v>
      </c>
      <c r="C373" s="0" t="s">
        <v>253</v>
      </c>
      <c r="D373" s="0" t="s">
        <v>247</v>
      </c>
    </row>
    <row r="374" customFormat="false" ht="14.4" hidden="true" customHeight="false" outlineLevel="0" collapsed="false">
      <c r="B374" s="41" t="s">
        <v>82</v>
      </c>
      <c r="C374" s="0" t="s">
        <v>254</v>
      </c>
      <c r="D374" s="0" t="s">
        <v>247</v>
      </c>
    </row>
    <row r="375" customFormat="false" ht="14.4" hidden="true" customHeight="false" outlineLevel="0" collapsed="false">
      <c r="B375" s="41" t="s">
        <v>65</v>
      </c>
      <c r="C375" s="0" t="s">
        <v>256</v>
      </c>
      <c r="D375" s="0" t="s">
        <v>255</v>
      </c>
    </row>
    <row r="376" customFormat="false" ht="14.4" hidden="true" customHeight="false" outlineLevel="0" collapsed="false">
      <c r="B376" s="41" t="s">
        <v>257</v>
      </c>
      <c r="C376" s="0" t="s">
        <v>258</v>
      </c>
      <c r="D376" s="0" t="s">
        <v>255</v>
      </c>
    </row>
    <row r="377" customFormat="false" ht="14.4" hidden="true" customHeight="false" outlineLevel="0" collapsed="false">
      <c r="B377" s="41" t="s">
        <v>259</v>
      </c>
      <c r="C377" s="0" t="s">
        <v>260</v>
      </c>
      <c r="D377" s="0" t="s">
        <v>255</v>
      </c>
    </row>
    <row r="378" customFormat="false" ht="14.4" hidden="true" customHeight="false" outlineLevel="0" collapsed="false">
      <c r="B378" s="41" t="s">
        <v>50</v>
      </c>
      <c r="C378" s="0" t="s">
        <v>182</v>
      </c>
      <c r="D378" s="0" t="s">
        <v>181</v>
      </c>
    </row>
    <row r="379" customFormat="false" ht="14.4" hidden="true" customHeight="false" outlineLevel="0" collapsed="false">
      <c r="B379" s="41" t="s">
        <v>183</v>
      </c>
      <c r="C379" s="0" t="s">
        <v>184</v>
      </c>
      <c r="D379" s="0" t="s">
        <v>181</v>
      </c>
    </row>
    <row r="380" customFormat="false" ht="14.4" hidden="true" customHeight="false" outlineLevel="0" collapsed="false">
      <c r="B380" s="41" t="s">
        <v>185</v>
      </c>
      <c r="C380" s="0" t="s">
        <v>186</v>
      </c>
      <c r="D380" s="0" t="s">
        <v>181</v>
      </c>
    </row>
    <row r="381" customFormat="false" ht="14.4" hidden="true" customHeight="false" outlineLevel="0" collapsed="false">
      <c r="B381" s="41" t="s">
        <v>187</v>
      </c>
      <c r="C381" s="0" t="s">
        <v>188</v>
      </c>
      <c r="D381" s="0" t="s">
        <v>181</v>
      </c>
    </row>
    <row r="382" customFormat="false" ht="14.4" hidden="true" customHeight="false" outlineLevel="0" collapsed="false">
      <c r="B382" s="41" t="s">
        <v>189</v>
      </c>
      <c r="C382" s="0" t="s">
        <v>190</v>
      </c>
      <c r="D382" s="0" t="s">
        <v>181</v>
      </c>
    </row>
    <row r="383" customFormat="false" ht="14.4" hidden="true" customHeight="false" outlineLevel="0" collapsed="false">
      <c r="B383" s="41" t="s">
        <v>191</v>
      </c>
      <c r="C383" s="0" t="s">
        <v>192</v>
      </c>
      <c r="D383" s="0" t="s">
        <v>181</v>
      </c>
    </row>
    <row r="384" customFormat="false" ht="14.4" hidden="true" customHeight="false" outlineLevel="0" collapsed="false">
      <c r="B384" s="41" t="s">
        <v>193</v>
      </c>
      <c r="C384" s="0" t="s">
        <v>194</v>
      </c>
      <c r="D384" s="0" t="s">
        <v>181</v>
      </c>
    </row>
    <row r="385" customFormat="false" ht="14.4" hidden="true" customHeight="false" outlineLevel="0" collapsed="false">
      <c r="B385" s="41" t="s">
        <v>195</v>
      </c>
      <c r="C385" s="0" t="s">
        <v>196</v>
      </c>
      <c r="D385" s="0" t="s">
        <v>181</v>
      </c>
    </row>
    <row r="386" customFormat="false" ht="14.4" hidden="true" customHeight="false" outlineLevel="0" collapsed="false">
      <c r="B386" s="41" t="s">
        <v>48</v>
      </c>
      <c r="C386" s="0" t="s">
        <v>276</v>
      </c>
      <c r="D386" s="0" t="s">
        <v>47</v>
      </c>
    </row>
    <row r="387" customFormat="false" ht="14.4" hidden="true" customHeight="false" outlineLevel="0" collapsed="false">
      <c r="B387" s="41" t="s">
        <v>277</v>
      </c>
      <c r="C387" s="0" t="s">
        <v>278</v>
      </c>
      <c r="D387" s="0" t="s">
        <v>47</v>
      </c>
    </row>
    <row r="388" customFormat="false" ht="14.4" hidden="true" customHeight="false" outlineLevel="0" collapsed="false">
      <c r="B388" s="41" t="s">
        <v>279</v>
      </c>
      <c r="C388" s="0" t="s">
        <v>280</v>
      </c>
      <c r="D388" s="0" t="s">
        <v>47</v>
      </c>
    </row>
    <row r="389" customFormat="false" ht="14.4" hidden="true" customHeight="false" outlineLevel="0" collapsed="false">
      <c r="B389" s="41" t="s">
        <v>281</v>
      </c>
      <c r="C389" s="0" t="s">
        <v>282</v>
      </c>
      <c r="D389" s="0" t="s">
        <v>47</v>
      </c>
    </row>
    <row r="390" customFormat="false" ht="14.4" hidden="true" customHeight="false" outlineLevel="0" collapsed="false">
      <c r="B390" s="66" t="s">
        <v>283</v>
      </c>
      <c r="C390" s="0" t="s">
        <v>284</v>
      </c>
      <c r="D390" s="0" t="s">
        <v>47</v>
      </c>
    </row>
    <row r="391" customFormat="false" ht="14.4" hidden="true" customHeight="false" outlineLevel="0" collapsed="false">
      <c r="B391" s="41" t="s">
        <v>285</v>
      </c>
      <c r="C391" s="0" t="s">
        <v>286</v>
      </c>
      <c r="D391" s="0" t="s">
        <v>47</v>
      </c>
    </row>
    <row r="392" customFormat="false" ht="14.4" hidden="true" customHeight="false" outlineLevel="0" collapsed="false">
      <c r="B392" s="41" t="s">
        <v>287</v>
      </c>
      <c r="C392" s="0" t="s">
        <v>288</v>
      </c>
      <c r="D392" s="0" t="s">
        <v>47</v>
      </c>
    </row>
    <row r="393" customFormat="false" ht="14.4" hidden="true" customHeight="false" outlineLevel="0" collapsed="false">
      <c r="B393" s="41" t="s">
        <v>156</v>
      </c>
      <c r="C393" s="0" t="s">
        <v>157</v>
      </c>
      <c r="D393" s="0" t="s">
        <v>155</v>
      </c>
    </row>
    <row r="394" customFormat="false" ht="14.4" hidden="true" customHeight="false" outlineLevel="0" collapsed="false">
      <c r="B394" s="41" t="s">
        <v>46</v>
      </c>
      <c r="C394" s="0" t="s">
        <v>158</v>
      </c>
      <c r="D394" s="0" t="s">
        <v>155</v>
      </c>
    </row>
    <row r="395" customFormat="false" ht="14.4" hidden="true" customHeight="false" outlineLevel="0" collapsed="false">
      <c r="B395" s="41" t="s">
        <v>159</v>
      </c>
      <c r="C395" s="0" t="s">
        <v>160</v>
      </c>
      <c r="D395" s="0" t="s">
        <v>155</v>
      </c>
    </row>
    <row r="396" customFormat="false" ht="14.4" hidden="true" customHeight="false" outlineLevel="0" collapsed="false">
      <c r="B396" s="41" t="s">
        <v>161</v>
      </c>
      <c r="C396" s="0" t="s">
        <v>162</v>
      </c>
      <c r="D396" s="0" t="s">
        <v>155</v>
      </c>
    </row>
    <row r="397" customFormat="false" ht="14.4" hidden="true" customHeight="false" outlineLevel="0" collapsed="false">
      <c r="B397" s="41" t="s">
        <v>163</v>
      </c>
      <c r="C397" s="0" t="s">
        <v>164</v>
      </c>
      <c r="D397" s="0" t="s">
        <v>155</v>
      </c>
    </row>
    <row r="398" customFormat="false" ht="14.4" hidden="true" customHeight="false" outlineLevel="0" collapsed="false">
      <c r="B398" s="41" t="s">
        <v>69</v>
      </c>
      <c r="C398" s="0" t="s">
        <v>165</v>
      </c>
      <c r="D398" s="0" t="s">
        <v>155</v>
      </c>
    </row>
    <row r="399" customFormat="false" ht="14.4" hidden="true" customHeight="false" outlineLevel="0" collapsed="false">
      <c r="B399" s="41" t="s">
        <v>166</v>
      </c>
      <c r="C399" s="0" t="s">
        <v>167</v>
      </c>
      <c r="D399" s="0" t="s">
        <v>155</v>
      </c>
    </row>
    <row r="400" customFormat="false" ht="14.4" hidden="true" customHeight="false" outlineLevel="0" collapsed="false">
      <c r="B400" s="41" t="s">
        <v>168</v>
      </c>
      <c r="C400" s="0" t="s">
        <v>169</v>
      </c>
      <c r="D400" s="0" t="s">
        <v>155</v>
      </c>
    </row>
    <row r="401" customFormat="false" ht="14.4" hidden="true" customHeight="false" outlineLevel="0" collapsed="false">
      <c r="B401" s="99" t="s">
        <v>289</v>
      </c>
      <c r="C401" s="0" t="s">
        <v>290</v>
      </c>
      <c r="D401" s="0" t="s">
        <v>39</v>
      </c>
    </row>
    <row r="402" customFormat="false" ht="14.4" hidden="true" customHeight="false" outlineLevel="0" collapsed="false">
      <c r="B402" s="41" t="s">
        <v>291</v>
      </c>
      <c r="C402" s="0" t="s">
        <v>292</v>
      </c>
      <c r="D402" s="0" t="s">
        <v>39</v>
      </c>
    </row>
    <row r="403" customFormat="false" ht="14.4" hidden="true" customHeight="false" outlineLevel="0" collapsed="false">
      <c r="B403" s="41" t="s">
        <v>293</v>
      </c>
      <c r="C403" s="0" t="s">
        <v>294</v>
      </c>
      <c r="D403" s="0" t="s">
        <v>39</v>
      </c>
    </row>
    <row r="404" customFormat="false" ht="14.4" hidden="true" customHeight="false" outlineLevel="0" collapsed="false">
      <c r="B404" s="41" t="s">
        <v>295</v>
      </c>
      <c r="C404" s="0" t="s">
        <v>296</v>
      </c>
      <c r="D404" s="0" t="s">
        <v>39</v>
      </c>
    </row>
    <row r="405" customFormat="false" ht="14.4" hidden="true" customHeight="false" outlineLevel="0" collapsed="false">
      <c r="B405" s="41" t="s">
        <v>40</v>
      </c>
      <c r="C405" s="0" t="s">
        <v>297</v>
      </c>
      <c r="D405" s="0" t="s">
        <v>39</v>
      </c>
    </row>
    <row r="406" customFormat="false" ht="14.4" hidden="true" customHeight="false" outlineLevel="0" collapsed="false">
      <c r="B406" s="66" t="s">
        <v>298</v>
      </c>
      <c r="C406" s="0" t="s">
        <v>299</v>
      </c>
      <c r="D406" s="0" t="s">
        <v>39</v>
      </c>
    </row>
    <row r="407" customFormat="false" ht="14.4" hidden="true" customHeight="false" outlineLevel="0" collapsed="false">
      <c r="B407" s="99" t="s">
        <v>289</v>
      </c>
      <c r="C407" s="0" t="s">
        <v>290</v>
      </c>
      <c r="D407" s="0" t="s">
        <v>311</v>
      </c>
    </row>
    <row r="408" customFormat="false" ht="14.4" hidden="true" customHeight="false" outlineLevel="0" collapsed="false">
      <c r="B408" s="41" t="s">
        <v>71</v>
      </c>
      <c r="C408" s="0" t="s">
        <v>300</v>
      </c>
      <c r="D408" s="0" t="s">
        <v>311</v>
      </c>
    </row>
    <row r="409" customFormat="false" ht="14.4" hidden="true" customHeight="false" outlineLevel="0" collapsed="false">
      <c r="B409" s="41" t="s">
        <v>291</v>
      </c>
      <c r="C409" s="0" t="s">
        <v>292</v>
      </c>
      <c r="D409" s="0" t="s">
        <v>311</v>
      </c>
    </row>
    <row r="410" customFormat="false" ht="14.4" hidden="true" customHeight="false" outlineLevel="0" collapsed="false">
      <c r="B410" s="41" t="s">
        <v>301</v>
      </c>
      <c r="C410" s="0" t="s">
        <v>302</v>
      </c>
      <c r="D410" s="0" t="s">
        <v>311</v>
      </c>
    </row>
    <row r="411" customFormat="false" ht="14.4" hidden="true" customHeight="false" outlineLevel="0" collapsed="false">
      <c r="B411" s="41" t="s">
        <v>293</v>
      </c>
      <c r="C411" s="0" t="s">
        <v>294</v>
      </c>
      <c r="D411" s="0" t="s">
        <v>311</v>
      </c>
    </row>
    <row r="412" customFormat="false" ht="14.4" hidden="true" customHeight="false" outlineLevel="0" collapsed="false">
      <c r="B412" s="41" t="s">
        <v>303</v>
      </c>
      <c r="C412" s="0" t="s">
        <v>304</v>
      </c>
      <c r="D412" s="0" t="s">
        <v>311</v>
      </c>
    </row>
    <row r="413" customFormat="false" ht="14.4" hidden="true" customHeight="false" outlineLevel="0" collapsed="false">
      <c r="B413" s="41" t="s">
        <v>295</v>
      </c>
      <c r="C413" s="0" t="s">
        <v>296</v>
      </c>
      <c r="D413" s="0" t="s">
        <v>311</v>
      </c>
    </row>
    <row r="414" customFormat="false" ht="14.4" hidden="true" customHeight="false" outlineLevel="0" collapsed="false">
      <c r="B414" s="41" t="s">
        <v>305</v>
      </c>
      <c r="C414" s="0" t="s">
        <v>306</v>
      </c>
      <c r="D414" s="0" t="s">
        <v>311</v>
      </c>
    </row>
    <row r="415" customFormat="false" ht="14.4" hidden="true" customHeight="false" outlineLevel="0" collapsed="false">
      <c r="B415" s="41" t="s">
        <v>40</v>
      </c>
      <c r="C415" s="0" t="s">
        <v>297</v>
      </c>
      <c r="D415" s="0" t="s">
        <v>311</v>
      </c>
    </row>
    <row r="416" customFormat="false" ht="14.4" hidden="true" customHeight="false" outlineLevel="0" collapsed="false">
      <c r="B416" s="66" t="s">
        <v>307</v>
      </c>
      <c r="C416" s="0" t="s">
        <v>308</v>
      </c>
      <c r="D416" s="0" t="s">
        <v>311</v>
      </c>
    </row>
    <row r="417" customFormat="false" ht="14.4" hidden="true" customHeight="false" outlineLevel="0" collapsed="false">
      <c r="B417" s="66" t="s">
        <v>298</v>
      </c>
      <c r="C417" s="0" t="s">
        <v>299</v>
      </c>
      <c r="D417" s="0" t="s">
        <v>311</v>
      </c>
    </row>
    <row r="418" customFormat="false" ht="14.4" hidden="true" customHeight="false" outlineLevel="0" collapsed="false">
      <c r="B418" s="41" t="s">
        <v>309</v>
      </c>
      <c r="C418" s="0" t="s">
        <v>310</v>
      </c>
      <c r="D418" s="0" t="s">
        <v>311</v>
      </c>
    </row>
    <row r="419" customFormat="false" ht="14.4" hidden="true" customHeight="false" outlineLevel="0" collapsed="false">
      <c r="B419" s="41" t="s">
        <v>62</v>
      </c>
      <c r="C419" s="0" t="s">
        <v>220</v>
      </c>
      <c r="D419" s="0" t="s">
        <v>61</v>
      </c>
    </row>
    <row r="420" customFormat="false" ht="14.4" hidden="true" customHeight="false" outlineLevel="0" collapsed="false">
      <c r="B420" s="41" t="s">
        <v>221</v>
      </c>
      <c r="C420" s="0" t="s">
        <v>222</v>
      </c>
      <c r="D420" s="0" t="s">
        <v>61</v>
      </c>
    </row>
    <row r="421" customFormat="false" ht="14.4" hidden="true" customHeight="false" outlineLevel="0" collapsed="false">
      <c r="B421" s="41" t="s">
        <v>223</v>
      </c>
      <c r="C421" s="0" t="s">
        <v>224</v>
      </c>
      <c r="D421" s="0" t="s">
        <v>61</v>
      </c>
    </row>
    <row r="422" customFormat="false" ht="14.4" hidden="true" customHeight="false" outlineLevel="0" collapsed="false">
      <c r="B422" s="41" t="s">
        <v>63</v>
      </c>
      <c r="C422" s="0" t="s">
        <v>225</v>
      </c>
      <c r="D422" s="0" t="s">
        <v>61</v>
      </c>
    </row>
    <row r="423" customFormat="false" ht="14.4" hidden="true" customHeight="false" outlineLevel="0" collapsed="false">
      <c r="B423" s="41" t="s">
        <v>226</v>
      </c>
      <c r="C423" s="0" t="s">
        <v>227</v>
      </c>
      <c r="D423" s="0" t="s">
        <v>61</v>
      </c>
    </row>
    <row r="424" customFormat="false" ht="14.4" hidden="true" customHeight="false" outlineLevel="0" collapsed="false">
      <c r="B424" s="41" t="s">
        <v>228</v>
      </c>
      <c r="C424" s="0" t="s">
        <v>229</v>
      </c>
      <c r="D424" s="0" t="s">
        <v>61</v>
      </c>
    </row>
    <row r="425" customFormat="false" ht="14.4" hidden="true" customHeight="false" outlineLevel="0" collapsed="false">
      <c r="B425" s="41" t="s">
        <v>230</v>
      </c>
      <c r="C425" s="0" t="s">
        <v>231</v>
      </c>
      <c r="D425" s="0" t="s">
        <v>61</v>
      </c>
    </row>
    <row r="426" customFormat="false" ht="14.4" hidden="true" customHeight="false" outlineLevel="0" collapsed="false">
      <c r="B426" s="41" t="s">
        <v>132</v>
      </c>
      <c r="C426" s="0" t="s">
        <v>133</v>
      </c>
      <c r="D426" s="0" t="s">
        <v>131</v>
      </c>
    </row>
    <row r="427" customFormat="false" ht="14.4" hidden="true" customHeight="false" outlineLevel="0" collapsed="false">
      <c r="B427" s="41" t="s">
        <v>134</v>
      </c>
      <c r="C427" s="0" t="s">
        <v>135</v>
      </c>
      <c r="D427" s="0" t="s">
        <v>131</v>
      </c>
    </row>
    <row r="428" customFormat="false" ht="14.4" hidden="true" customHeight="false" outlineLevel="0" collapsed="false">
      <c r="B428" s="41" t="s">
        <v>76</v>
      </c>
      <c r="C428" s="0" t="s">
        <v>136</v>
      </c>
      <c r="D428" s="0" t="s">
        <v>131</v>
      </c>
    </row>
    <row r="429" customFormat="false" ht="14.4" hidden="true" customHeight="false" outlineLevel="0" collapsed="false">
      <c r="B429" s="41" t="s">
        <v>137</v>
      </c>
      <c r="C429" s="0" t="s">
        <v>138</v>
      </c>
      <c r="D429" s="0" t="s">
        <v>131</v>
      </c>
    </row>
    <row r="430" customFormat="false" ht="14.4" hidden="true" customHeight="false" outlineLevel="0" collapsed="false">
      <c r="B430" s="41" t="s">
        <v>132</v>
      </c>
      <c r="C430" s="0" t="s">
        <v>133</v>
      </c>
      <c r="D430" s="0" t="s">
        <v>312</v>
      </c>
    </row>
    <row r="431" customFormat="false" ht="14.4" hidden="true" customHeight="false" outlineLevel="0" collapsed="false">
      <c r="B431" s="41" t="s">
        <v>139</v>
      </c>
      <c r="C431" s="0" t="s">
        <v>140</v>
      </c>
      <c r="D431" s="0" t="s">
        <v>312</v>
      </c>
    </row>
    <row r="432" customFormat="false" ht="14.4" hidden="true" customHeight="false" outlineLevel="0" collapsed="false">
      <c r="B432" s="41" t="s">
        <v>134</v>
      </c>
      <c r="C432" s="0" t="s">
        <v>135</v>
      </c>
      <c r="D432" s="0" t="s">
        <v>312</v>
      </c>
    </row>
    <row r="433" customFormat="false" ht="14.4" hidden="true" customHeight="false" outlineLevel="0" collapsed="false">
      <c r="B433" s="41" t="s">
        <v>141</v>
      </c>
      <c r="C433" s="0" t="s">
        <v>142</v>
      </c>
      <c r="D433" s="0" t="s">
        <v>312</v>
      </c>
    </row>
    <row r="434" customFormat="false" ht="14.4" hidden="true" customHeight="false" outlineLevel="0" collapsed="false">
      <c r="B434" s="41" t="s">
        <v>76</v>
      </c>
      <c r="C434" s="0" t="s">
        <v>136</v>
      </c>
      <c r="D434" s="0" t="s">
        <v>312</v>
      </c>
    </row>
    <row r="435" customFormat="false" ht="14.4" hidden="true" customHeight="false" outlineLevel="0" collapsed="false">
      <c r="B435" s="41" t="s">
        <v>143</v>
      </c>
      <c r="C435" s="0" t="s">
        <v>144</v>
      </c>
      <c r="D435" s="0" t="s">
        <v>312</v>
      </c>
    </row>
    <row r="436" customFormat="false" ht="14.4" hidden="true" customHeight="false" outlineLevel="0" collapsed="false">
      <c r="B436" s="41" t="s">
        <v>137</v>
      </c>
      <c r="C436" s="0" t="s">
        <v>138</v>
      </c>
      <c r="D436" s="0" t="s">
        <v>312</v>
      </c>
    </row>
    <row r="437" customFormat="false" ht="14.4" hidden="true" customHeight="false" outlineLevel="0" collapsed="false">
      <c r="B437" s="41" t="s">
        <v>54</v>
      </c>
      <c r="C437" s="0" t="s">
        <v>145</v>
      </c>
      <c r="D437" s="0" t="s">
        <v>312</v>
      </c>
    </row>
    <row r="438" customFormat="false" ht="14.4" hidden="true" customHeight="false" outlineLevel="0" collapsed="false">
      <c r="B438" s="41" t="s">
        <v>146</v>
      </c>
      <c r="C438" s="0" t="s">
        <v>147</v>
      </c>
      <c r="D438" s="0" t="s">
        <v>312</v>
      </c>
    </row>
    <row r="439" customFormat="false" ht="14.4" hidden="true" customHeight="false" outlineLevel="0" collapsed="false">
      <c r="B439" s="41" t="s">
        <v>139</v>
      </c>
      <c r="C439" s="0" t="s">
        <v>140</v>
      </c>
      <c r="D439" s="104" t="s">
        <v>53</v>
      </c>
    </row>
    <row r="440" customFormat="false" ht="14.4" hidden="true" customHeight="false" outlineLevel="0" collapsed="false">
      <c r="B440" s="41" t="s">
        <v>141</v>
      </c>
      <c r="C440" s="0" t="s">
        <v>142</v>
      </c>
      <c r="D440" s="104" t="s">
        <v>53</v>
      </c>
    </row>
    <row r="441" customFormat="false" ht="14.4" hidden="true" customHeight="false" outlineLevel="0" collapsed="false">
      <c r="B441" s="41" t="s">
        <v>143</v>
      </c>
      <c r="C441" s="0" t="s">
        <v>144</v>
      </c>
      <c r="D441" s="104" t="s">
        <v>53</v>
      </c>
    </row>
    <row r="442" customFormat="false" ht="14.4" hidden="true" customHeight="false" outlineLevel="0" collapsed="false">
      <c r="B442" s="41" t="s">
        <v>54</v>
      </c>
      <c r="C442" s="0" t="s">
        <v>145</v>
      </c>
      <c r="D442" s="104" t="s">
        <v>53</v>
      </c>
    </row>
    <row r="443" customFormat="false" ht="14.4" hidden="true" customHeight="false" outlineLevel="0" collapsed="false">
      <c r="B443" s="41" t="s">
        <v>146</v>
      </c>
      <c r="C443" s="0" t="s">
        <v>147</v>
      </c>
      <c r="D443" s="104" t="s">
        <v>53</v>
      </c>
    </row>
    <row r="444" customFormat="false" ht="14.4" hidden="true" customHeight="false" outlineLevel="0" collapsed="false">
      <c r="B444" s="41" t="s">
        <v>148</v>
      </c>
      <c r="C444" s="0" t="s">
        <v>149</v>
      </c>
      <c r="D444" s="0" t="s">
        <v>85</v>
      </c>
    </row>
    <row r="445" customFormat="false" ht="14.4" hidden="true" customHeight="false" outlineLevel="0" collapsed="false">
      <c r="B445" s="41" t="s">
        <v>150</v>
      </c>
      <c r="C445" s="0" t="s">
        <v>151</v>
      </c>
      <c r="D445" s="0" t="s">
        <v>85</v>
      </c>
    </row>
    <row r="446" customFormat="false" ht="14.4" hidden="true" customHeight="false" outlineLevel="0" collapsed="false">
      <c r="B446" s="41" t="s">
        <v>86</v>
      </c>
      <c r="C446" s="0" t="s">
        <v>152</v>
      </c>
      <c r="D446" s="0" t="s">
        <v>85</v>
      </c>
    </row>
    <row r="447" customFormat="false" ht="14.4" hidden="true" customHeight="false" outlineLevel="0" collapsed="false">
      <c r="B447" s="41" t="s">
        <v>153</v>
      </c>
      <c r="C447" s="0" t="s">
        <v>154</v>
      </c>
      <c r="D447" s="0" t="s">
        <v>85</v>
      </c>
    </row>
    <row r="448" customFormat="false" ht="14.4" hidden="true" customHeight="false" outlineLevel="0" collapsed="false">
      <c r="B448" s="41" t="s">
        <v>156</v>
      </c>
      <c r="C448" s="0" t="s">
        <v>157</v>
      </c>
      <c r="D448" s="0" t="s">
        <v>68</v>
      </c>
    </row>
    <row r="449" customFormat="false" ht="14.4" hidden="true" customHeight="false" outlineLevel="0" collapsed="false">
      <c r="B449" s="41" t="s">
        <v>171</v>
      </c>
      <c r="C449" s="0" t="s">
        <v>172</v>
      </c>
      <c r="D449" s="0" t="s">
        <v>68</v>
      </c>
    </row>
    <row r="450" customFormat="false" ht="14.4" hidden="true" customHeight="false" outlineLevel="0" collapsed="false">
      <c r="B450" s="41" t="s">
        <v>46</v>
      </c>
      <c r="C450" s="0" t="s">
        <v>158</v>
      </c>
      <c r="D450" s="0" t="s">
        <v>68</v>
      </c>
    </row>
    <row r="451" customFormat="false" ht="14.4" hidden="true" customHeight="false" outlineLevel="0" collapsed="false">
      <c r="B451" s="41" t="s">
        <v>173</v>
      </c>
      <c r="C451" s="0" t="s">
        <v>174</v>
      </c>
      <c r="D451" s="0" t="s">
        <v>68</v>
      </c>
    </row>
    <row r="452" customFormat="false" ht="14.4" hidden="true" customHeight="false" outlineLevel="0" collapsed="false">
      <c r="B452" s="41" t="s">
        <v>159</v>
      </c>
      <c r="C452" s="0" t="s">
        <v>160</v>
      </c>
      <c r="D452" s="0" t="s">
        <v>68</v>
      </c>
    </row>
    <row r="453" customFormat="false" ht="14.4" hidden="true" customHeight="false" outlineLevel="0" collapsed="false">
      <c r="B453" s="41" t="s">
        <v>175</v>
      </c>
      <c r="C453" s="0" t="s">
        <v>176</v>
      </c>
      <c r="D453" s="0" t="s">
        <v>68</v>
      </c>
    </row>
    <row r="454" customFormat="false" ht="14.4" hidden="true" customHeight="false" outlineLevel="0" collapsed="false">
      <c r="B454" s="41" t="s">
        <v>161</v>
      </c>
      <c r="C454" s="0" t="s">
        <v>162</v>
      </c>
      <c r="D454" s="0" t="s">
        <v>68</v>
      </c>
    </row>
    <row r="455" customFormat="false" ht="14.4" hidden="true" customHeight="false" outlineLevel="0" collapsed="false">
      <c r="B455" s="41" t="s">
        <v>177</v>
      </c>
      <c r="C455" s="0" t="s">
        <v>178</v>
      </c>
      <c r="D455" s="0" t="s">
        <v>68</v>
      </c>
    </row>
    <row r="456" customFormat="false" ht="14.4" hidden="true" customHeight="false" outlineLevel="0" collapsed="false">
      <c r="B456" s="41" t="s">
        <v>163</v>
      </c>
      <c r="C456" s="0" t="s">
        <v>164</v>
      </c>
      <c r="D456" s="0" t="s">
        <v>68</v>
      </c>
    </row>
    <row r="457" customFormat="false" ht="14.4" hidden="true" customHeight="false" outlineLevel="0" collapsed="false">
      <c r="B457" s="41" t="s">
        <v>179</v>
      </c>
      <c r="C457" s="0" t="s">
        <v>180</v>
      </c>
      <c r="D457" s="0" t="s">
        <v>68</v>
      </c>
    </row>
    <row r="458" customFormat="false" ht="14.4" hidden="true" customHeight="false" outlineLevel="0" collapsed="false">
      <c r="B458" s="41" t="s">
        <v>69</v>
      </c>
      <c r="C458" s="0" t="s">
        <v>165</v>
      </c>
      <c r="D458" s="0" t="s">
        <v>68</v>
      </c>
    </row>
    <row r="459" customFormat="false" ht="14.4" hidden="true" customHeight="false" outlineLevel="0" collapsed="false">
      <c r="B459" s="41" t="s">
        <v>166</v>
      </c>
      <c r="C459" s="0" t="s">
        <v>167</v>
      </c>
      <c r="D459" s="0" t="s">
        <v>68</v>
      </c>
    </row>
    <row r="460" customFormat="false" ht="14.4" hidden="true" customHeight="false" outlineLevel="0" collapsed="false">
      <c r="B460" s="41" t="s">
        <v>168</v>
      </c>
      <c r="C460" s="0" t="s">
        <v>169</v>
      </c>
      <c r="D460" s="0" t="s">
        <v>68</v>
      </c>
    </row>
    <row r="461" customFormat="false" ht="14.4" hidden="true" customHeight="false" outlineLevel="0" collapsed="false">
      <c r="B461" s="41" t="s">
        <v>198</v>
      </c>
      <c r="C461" s="0" t="s">
        <v>199</v>
      </c>
      <c r="D461" s="0" t="s">
        <v>197</v>
      </c>
    </row>
    <row r="462" customFormat="false" ht="14.4" hidden="true" customHeight="false" outlineLevel="0" collapsed="false">
      <c r="B462" s="41" t="s">
        <v>200</v>
      </c>
      <c r="C462" s="0" t="s">
        <v>201</v>
      </c>
      <c r="D462" s="0" t="s">
        <v>197</v>
      </c>
    </row>
    <row r="463" customFormat="false" ht="14.4" hidden="true" customHeight="false" outlineLevel="0" collapsed="false">
      <c r="B463" s="41" t="s">
        <v>202</v>
      </c>
      <c r="C463" s="0" t="s">
        <v>203</v>
      </c>
      <c r="D463" s="0" t="s">
        <v>197</v>
      </c>
    </row>
    <row r="464" customFormat="false" ht="14.4" hidden="true" customHeight="false" outlineLevel="0" collapsed="false">
      <c r="B464" s="41" t="s">
        <v>204</v>
      </c>
      <c r="C464" s="0" t="s">
        <v>205</v>
      </c>
      <c r="D464" s="0" t="s">
        <v>197</v>
      </c>
    </row>
    <row r="465" customFormat="false" ht="14.4" hidden="true" customHeight="false" outlineLevel="0" collapsed="false">
      <c r="B465" s="41" t="s">
        <v>206</v>
      </c>
      <c r="C465" s="0" t="s">
        <v>207</v>
      </c>
      <c r="D465" s="0" t="s">
        <v>197</v>
      </c>
    </row>
    <row r="466" customFormat="false" ht="14.4" hidden="true" customHeight="false" outlineLevel="0" collapsed="false">
      <c r="B466" s="99" t="s">
        <v>208</v>
      </c>
      <c r="C466" s="0" t="s">
        <v>209</v>
      </c>
      <c r="D466" s="0" t="s">
        <v>197</v>
      </c>
    </row>
    <row r="467" customFormat="false" ht="14.4" hidden="true" customHeight="false" outlineLevel="0" collapsed="false">
      <c r="B467" s="99" t="s">
        <v>210</v>
      </c>
      <c r="C467" s="0" t="s">
        <v>211</v>
      </c>
      <c r="D467" s="0" t="s">
        <v>197</v>
      </c>
    </row>
    <row r="468" customFormat="false" ht="14.4" hidden="true" customHeight="false" outlineLevel="0" collapsed="false">
      <c r="B468" s="41" t="s">
        <v>52</v>
      </c>
      <c r="C468" s="0" t="s">
        <v>212</v>
      </c>
      <c r="D468" s="0" t="s">
        <v>197</v>
      </c>
    </row>
    <row r="469" customFormat="false" ht="14.4" hidden="true" customHeight="false" outlineLevel="0" collapsed="false">
      <c r="B469" s="99" t="s">
        <v>213</v>
      </c>
      <c r="C469" s="0" t="s">
        <v>214</v>
      </c>
      <c r="D469" s="0" t="s">
        <v>197</v>
      </c>
    </row>
    <row r="470" customFormat="false" ht="14.4" hidden="true" customHeight="false" outlineLevel="0" collapsed="false">
      <c r="B470" s="99" t="s">
        <v>74</v>
      </c>
      <c r="C470" s="0" t="s">
        <v>215</v>
      </c>
      <c r="D470" s="0" t="s">
        <v>197</v>
      </c>
    </row>
    <row r="471" customFormat="false" ht="14.4" hidden="true" customHeight="false" outlineLevel="0" collapsed="false">
      <c r="B471" s="41" t="s">
        <v>216</v>
      </c>
      <c r="C471" s="0" t="s">
        <v>217</v>
      </c>
      <c r="D471" s="0" t="s">
        <v>197</v>
      </c>
    </row>
    <row r="472" customFormat="false" ht="14.4" hidden="true" customHeight="false" outlineLevel="0" collapsed="false">
      <c r="B472" s="99" t="s">
        <v>218</v>
      </c>
      <c r="C472" s="0" t="s">
        <v>219</v>
      </c>
      <c r="D472" s="0" t="s">
        <v>197</v>
      </c>
    </row>
    <row r="473" customFormat="false" ht="14.4" hidden="true" customHeight="false" outlineLevel="0" collapsed="false">
      <c r="B473" s="41" t="s">
        <v>171</v>
      </c>
      <c r="C473" s="0" t="s">
        <v>172</v>
      </c>
      <c r="D473" s="0" t="s">
        <v>170</v>
      </c>
    </row>
    <row r="474" customFormat="false" ht="14.4" hidden="true" customHeight="false" outlineLevel="0" collapsed="false">
      <c r="B474" s="41" t="s">
        <v>173</v>
      </c>
      <c r="C474" s="0" t="s">
        <v>174</v>
      </c>
      <c r="D474" s="0" t="s">
        <v>170</v>
      </c>
    </row>
    <row r="475" customFormat="false" ht="14.4" hidden="true" customHeight="false" outlineLevel="0" collapsed="false">
      <c r="B475" s="41" t="s">
        <v>175</v>
      </c>
      <c r="C475" s="0" t="s">
        <v>176</v>
      </c>
      <c r="D475" s="0" t="s">
        <v>170</v>
      </c>
    </row>
    <row r="476" customFormat="false" ht="14.4" hidden="true" customHeight="false" outlineLevel="0" collapsed="false">
      <c r="B476" s="41" t="s">
        <v>177</v>
      </c>
      <c r="C476" s="0" t="s">
        <v>178</v>
      </c>
      <c r="D476" s="0" t="s">
        <v>170</v>
      </c>
    </row>
    <row r="477" customFormat="false" ht="14.4" hidden="true" customHeight="false" outlineLevel="0" collapsed="false">
      <c r="B477" s="41" t="s">
        <v>179</v>
      </c>
      <c r="C477" s="0" t="s">
        <v>180</v>
      </c>
      <c r="D477" s="0" t="s">
        <v>170</v>
      </c>
    </row>
  </sheetData>
  <mergeCells count="12">
    <mergeCell ref="H8:M8"/>
    <mergeCell ref="N8:S8"/>
    <mergeCell ref="T8:W8"/>
    <mergeCell ref="H17:M17"/>
    <mergeCell ref="N17:S17"/>
    <mergeCell ref="T17:W17"/>
    <mergeCell ref="H25:M25"/>
    <mergeCell ref="N25:S25"/>
    <mergeCell ref="T25:W25"/>
    <mergeCell ref="H34:M34"/>
    <mergeCell ref="N34:S34"/>
    <mergeCell ref="T34:W34"/>
  </mergeCells>
  <dataValidations count="2">
    <dataValidation allowBlank="true" operator="between" showDropDown="false" showErrorMessage="true" showInputMessage="true" sqref="S11:S16 S20:S24 M28:M33 S28:S33 M37:M42 S37:S42" type="list">
      <formula1>$C$63:$C$65</formula1>
      <formula2>0</formula2>
    </dataValidation>
    <dataValidation allowBlank="true" operator="between" showDropDown="false" showErrorMessage="true" showInputMessage="true" sqref="C11:C16 C20:C24 C28:C33 C37:C42" type="list">
      <formula1>INDIRECT(D28)</formula1>
      <formula2>0</formula2>
    </dataValidation>
  </dataValidations>
  <hyperlinks>
    <hyperlink ref="B71" r:id="rId1" display="Machine Crunch"/>
    <hyperlink ref="B72" r:id="rId2" display="Slant Board Sit-Up"/>
    <hyperlink ref="B73" r:id="rId3" display="Reaching Sit-Up"/>
    <hyperlink ref="B74" r:id="rId4" display="V-Up"/>
    <hyperlink ref="B75" r:id="rId5" display="Modified Candlestick"/>
    <hyperlink ref="C75" r:id="rId6" display="https://youtu.be/sPIBL43Ds48"/>
    <hyperlink ref="B76" r:id="rId7" display="Hanging Knee Raise"/>
    <hyperlink ref="B77" r:id="rId8" display="Hanging Strait Leg Raise"/>
    <hyperlink ref="B80" r:id="rId9" display="Calves on Calf Machine"/>
    <hyperlink ref="B81" r:id="rId10" display="Stair Calves"/>
    <hyperlink ref="B82" r:id="rId11" display="Calves on Leg Press"/>
    <hyperlink ref="B83" r:id="rId12" display="Smith Machine Calves"/>
    <hyperlink ref="B86" r:id="rId13" display="Barbell Curl"/>
    <hyperlink ref="B87" r:id="rId14" display="EZ Curl "/>
    <hyperlink ref="B88" r:id="rId15" display="Close Grip Barbell Curl"/>
    <hyperlink ref="B89" r:id="rId16" display="2-Arm Dumbbell Curl"/>
    <hyperlink ref="B90" r:id="rId17" display="Cable Curl"/>
    <hyperlink ref="B91" r:id="rId18" display="Incline Dumbbell Curl"/>
    <hyperlink ref="B92" r:id="rId19" display="Dummbell Twist Curl"/>
    <hyperlink ref="B93" r:id="rId20" display="Hammer Curl"/>
    <hyperlink ref="B94" r:id="rId21" display="Dumbbell Spider Curl"/>
    <hyperlink ref="C94" r:id="rId22" display="https://youtu.be/y_GK6fn7raU"/>
    <hyperlink ref="B95" r:id="rId23" display="Alternating Dumbbell Curl"/>
    <hyperlink ref="B96" r:id="rId24" display="Cable Rope Twist Curl"/>
    <hyperlink ref="B99" r:id="rId25" display="Barbell Facepull"/>
    <hyperlink ref="B100" r:id="rId26" display="Dumbbell Facepull"/>
    <hyperlink ref="B101" r:id="rId27" display="Cable Facepull"/>
    <hyperlink ref="B102" r:id="rId28" display="Dumbbell Rear Lateral Raise"/>
    <hyperlink ref="B105" r:id="rId29" display="Barbell Upright Row"/>
    <hyperlink ref="B106" r:id="rId30" display="Dumbbell Upright Row"/>
    <hyperlink ref="B107" r:id="rId31" display="Cable Upright Row"/>
    <hyperlink ref="B108" r:id="rId32" display="Dumbbell Side Lateral Raise"/>
    <hyperlink ref="B109" r:id="rId33" display="Thumbs Down Lateral Raise"/>
    <hyperlink ref="B112" r:id="rId34" display="Barbell Shrug"/>
    <hyperlink ref="B113" r:id="rId35" display="Barbell Bent Over Shrug"/>
    <hyperlink ref="B114" r:id="rId36" display="Dumbbell Shrug"/>
    <hyperlink ref="B115" r:id="rId37" display="Dumbbell Bent Over Shrug"/>
    <hyperlink ref="B118" r:id="rId38" display="Skullcrusher"/>
    <hyperlink ref="B119" r:id="rId39" display="JM Press"/>
    <hyperlink ref="B120" r:id="rId40" display="Dips"/>
    <hyperlink ref="B121" r:id="rId41" display="Assisted Dips"/>
    <hyperlink ref="B122" r:id="rId42" display="Dumbbell Skullcrusher"/>
    <hyperlink ref="B123" r:id="rId43" display="Cable Tricep Pushdown"/>
    <hyperlink ref="B124" r:id="rId44" display="Cable Rope Pushdown"/>
    <hyperlink ref="B125" r:id="rId45" display="Bar Skull"/>
    <hyperlink ref="B128" r:id="rId46" display="EZ Bar Overhead Tricep Extension"/>
    <hyperlink ref="B129" r:id="rId47" display="Barbell Overhead Tricep Extension"/>
    <hyperlink ref="B130" r:id="rId48" display="Seated EZ Bar Overhead Tricep Extension"/>
    <hyperlink ref="B131" r:id="rId49" display="Seated Barbell Overhead Tricep Extension"/>
    <hyperlink ref="B132" r:id="rId50" display="Cable Overhead Tricep Extension"/>
    <hyperlink ref="B135" r:id="rId51" display="Barbell Bent Over Row"/>
    <hyperlink ref="B136" r:id="rId52" display="Underhand EZ Bar Row"/>
    <hyperlink ref="B137" r:id="rId53" display="Row to Chest"/>
    <hyperlink ref="B138" r:id="rId54" display="1-Arm Dumbbell Row"/>
    <hyperlink ref="B139" r:id="rId55" display="Chest Supported Row"/>
    <hyperlink ref="B140" r:id="rId56" display="Row Machine"/>
    <hyperlink ref="B141" r:id="rId57" display="2-Arm Dumbbell Row"/>
    <hyperlink ref="B142" r:id="rId58" display="Cable Row"/>
    <hyperlink ref="B145" r:id="rId59" display="Overhand Pullup"/>
    <hyperlink ref="B146" r:id="rId60" display="Parallel Pullup"/>
    <hyperlink ref="B147" r:id="rId61" display="Underhand Pullup"/>
    <hyperlink ref="B148" r:id="rId62" display="Wide Grip Pullup"/>
    <hyperlink ref="B149" r:id="rId63" display="Assisted Overhand Pullup"/>
    <hyperlink ref="B150" r:id="rId64" display="Assisted Parallel Pullup"/>
    <hyperlink ref="C150" r:id="rId65" display="https://youtu.be/UNo4yBbidG4"/>
    <hyperlink ref="B151" r:id="rId66" display="Assisted Underhand Pullup"/>
    <hyperlink ref="C151" r:id="rId67" display="https://youtu.be/2PC8eYTte5w"/>
    <hyperlink ref="B152" r:id="rId68" display="Normal Grip Pulldown"/>
    <hyperlink ref="B153" r:id="rId69" display="Parallel Pulldown"/>
    <hyperlink ref="C153" r:id="rId70" display="https://youtu.be/uMjeHo2_EwM"/>
    <hyperlink ref="B154" r:id="rId71" display="Underhand Pulldown"/>
    <hyperlink ref="C154" r:id="rId72" display="https://youtu.be/bxfHw1LvH24"/>
    <hyperlink ref="B155" r:id="rId73" display="Wide-Grip Pulldown"/>
    <hyperlink ref="B156" r:id="rId74" display="Narrow Grip Pulldown"/>
    <hyperlink ref="C156" r:id="rId75" display="https://youtu.be/QzjjwxZOVdE"/>
    <hyperlink ref="B159" r:id="rId76" display="High Bar Squat"/>
    <hyperlink ref="B160" r:id="rId77" display="Close Stance Feet Forward Squats"/>
    <hyperlink ref="B161" r:id="rId78" display="Machine Feet Forward Squat"/>
    <hyperlink ref="B162" r:id="rId79" display="Leg Press"/>
    <hyperlink ref="B163" r:id="rId80" display="Hack Squat"/>
    <hyperlink ref="B164" r:id="rId81" display="Front Squat "/>
    <hyperlink ref="B165" r:id="rId82" display="Front Squat (Alernate Grip)"/>
    <hyperlink ref="B168" r:id="rId83" display="Barbell Walking Lunge"/>
    <hyperlink ref="B169" r:id="rId84" display="Dumbbell Walking Lunge"/>
    <hyperlink ref="B170" r:id="rId85" display="Sumo Squat"/>
    <hyperlink ref="B171" r:id="rId86" display="Deficit Deadlift "/>
    <hyperlink ref="B172" r:id="rId87" display="25's Deadlift"/>
    <hyperlink ref="B173" r:id="rId88" display="Sumo Deadlift"/>
    <hyperlink ref="B174" r:id="rId89" display="Deadlift"/>
    <hyperlink ref="B175" r:id="rId90" display="Hex Bar Deadlift"/>
    <hyperlink ref="B178" r:id="rId91" display="Stiff-Legged Deadlift"/>
    <hyperlink ref="B179" r:id="rId92" display="Low Bar Good Morning"/>
    <hyperlink ref="B180" r:id="rId93" display="High Bar Good Morning"/>
    <hyperlink ref="B181" r:id="rId94" display="45 Degree Back Raise"/>
    <hyperlink ref="B184" r:id="rId95" display="Lying Leg Curl"/>
    <hyperlink ref="B185" r:id="rId96" display="Seated Leg Curl"/>
    <hyperlink ref="B186" r:id="rId97" display="Single-Leg Leg Curl"/>
    <hyperlink ref="B189" r:id="rId98" display="Flat Dumbbell Flye"/>
    <hyperlink ref="B190" r:id="rId99" display="Incline Dumbbell Flye"/>
    <hyperlink ref="B191" r:id="rId100" display="Cable Flye"/>
    <hyperlink ref="B192" r:id="rId101" display="High Cable Flye"/>
    <hyperlink ref="B193" r:id="rId102" display="Machine Chest Flye"/>
    <hyperlink ref="B194" r:id="rId103" display="Cable Incline Flye"/>
    <hyperlink ref="B195" r:id="rId104" display="Pec Dec Flye"/>
    <hyperlink ref="B198" r:id="rId105" display="Medium Grip Bench Press"/>
    <hyperlink ref="B199" r:id="rId106" display="Wide Grip Bench Press"/>
    <hyperlink ref="B200" r:id="rId107" display="Flat Dumbbell Bench Press"/>
    <hyperlink ref="B201" r:id="rId108" display="Close Grip Bench Press"/>
    <hyperlink ref="B202" r:id="rId109" display="Flat Machine Bench Press"/>
    <hyperlink ref="B203" r:id="rId110" display="Pushup"/>
    <hyperlink ref="B204" r:id="rId111" display="Close Grip Pushup"/>
    <hyperlink ref="B207" r:id="rId112" display="Incline Medium Grip Bench Press"/>
    <hyperlink ref="C207" r:id="rId113" display="https://youtu.be/zWRCV_td3I8"/>
    <hyperlink ref="B208" r:id="rId114" display="Incline Wide Grip Bench Press"/>
    <hyperlink ref="B209" r:id="rId115" display="Low Incline Dumbbell Press"/>
    <hyperlink ref="B210" r:id="rId116" display="Incline Dumbbell Press"/>
    <hyperlink ref="B211" r:id="rId117" display="Incline Close Grip Bench Press"/>
    <hyperlink ref="B212" r:id="rId118" display="Incline Machine Bench Press"/>
    <hyperlink ref="B215" r:id="rId119" display="Standing Barbell Shoulder Press"/>
    <hyperlink ref="B216" r:id="rId120" display="Seated Barbell Shoulder Press"/>
    <hyperlink ref="B217" r:id="rId121" display="Seated Dumbbell Shoulder Press"/>
    <hyperlink ref="B218" r:id="rId122" display="High Incline Dumbbell Press"/>
    <hyperlink ref="B219" r:id="rId123" display="Shoulder Press Machine"/>
    <hyperlink ref="B220" r:id="rId124" display="Standing Dumbbell Shoulder Press"/>
    <hyperlink ref="B224" r:id="rId125" display="Skullcrusher"/>
    <hyperlink ref="B225" r:id="rId126" display="EZ Bar Overhead Tricep Extension"/>
    <hyperlink ref="B226" r:id="rId127" display="JM Press"/>
    <hyperlink ref="B227" r:id="rId128" display="Barbell Overhead Tricep Extension"/>
    <hyperlink ref="B228" r:id="rId129" display="Dips"/>
    <hyperlink ref="B229" r:id="rId130" display="Seated EZ Bar Overhead Tricep Extension"/>
    <hyperlink ref="B230" r:id="rId131" display="Assisted Dips"/>
    <hyperlink ref="B231" r:id="rId132" display="Seated Barbell Overhead Tricep Extension"/>
    <hyperlink ref="B232" r:id="rId133" display="Dumbbell Skullcrusher"/>
    <hyperlink ref="B233" r:id="rId134" display="Cable Overhead Tricep Extension"/>
    <hyperlink ref="B234" r:id="rId135" display="Cable Tricep Pushdown"/>
    <hyperlink ref="B235" r:id="rId136" display="Cable Rope Pushdown"/>
    <hyperlink ref="B236" r:id="rId137" display="Bar Skull"/>
    <hyperlink ref="B238" r:id="rId138" display="Incline Medium Grip Bench Press"/>
    <hyperlink ref="C238" r:id="rId139" display="https://youtu.be/zWRCV_td3I8"/>
    <hyperlink ref="B239" r:id="rId140" display="Standing Barbell Shoulder Press"/>
    <hyperlink ref="B240" r:id="rId141" display="Incline Wide Grip Bench Press"/>
    <hyperlink ref="B241" r:id="rId142" display="Seated Barbell Shoulder Press"/>
    <hyperlink ref="B242" r:id="rId143" display="Low Incline Dumbbell Press"/>
    <hyperlink ref="B243" r:id="rId144" display="Seated Dumbbell Shoulder Press"/>
    <hyperlink ref="B244" r:id="rId145" display="Incline Dumbbell Press"/>
    <hyperlink ref="B245" r:id="rId146" display="High Incline Dumbbell Press"/>
    <hyperlink ref="B246" r:id="rId147" display="Incline Close Grip Bench Press"/>
    <hyperlink ref="B247" r:id="rId148" display="Shoulder Press Machine"/>
    <hyperlink ref="B248" r:id="rId149" display="Incline Machine Bench Press"/>
    <hyperlink ref="B249" r:id="rId150" display="Standing Dumbbell Shoulder Press"/>
    <hyperlink ref="B251" r:id="rId151" display="Flat Dumbbell Flye"/>
    <hyperlink ref="B252" r:id="rId152" display="Skullcrusher"/>
    <hyperlink ref="B253" r:id="rId153" display="Incline Dumbbell Flye"/>
    <hyperlink ref="B254" r:id="rId154" display="EZ Bar Overhead Tricep Extension"/>
    <hyperlink ref="B255" r:id="rId155" display="Cable Flye"/>
    <hyperlink ref="B256" r:id="rId156" display="JM Press"/>
    <hyperlink ref="B257" r:id="rId157" display="High Cable Flye"/>
    <hyperlink ref="B258" r:id="rId158" display="Barbell Overhead Tricep Extension"/>
    <hyperlink ref="B259" r:id="rId159" display="Machine Chest Flye"/>
    <hyperlink ref="B260" r:id="rId160" display="Dips"/>
    <hyperlink ref="B261" r:id="rId161" display="Cable Incline Flye"/>
    <hyperlink ref="B262" r:id="rId162" display="Seated EZ Bar Overhead Tricep Extension"/>
    <hyperlink ref="B263" r:id="rId163" display="Pec Dec Flye"/>
    <hyperlink ref="B264" r:id="rId164" display="Assisted Dips"/>
    <hyperlink ref="B265" r:id="rId165" display="Seated Barbell Overhead Tricep Extension"/>
    <hyperlink ref="B266" r:id="rId166" display="Dumbbell Skullcrusher"/>
    <hyperlink ref="B267" r:id="rId167" display="Cable Overhead Tricep Extension"/>
    <hyperlink ref="B268" r:id="rId168" display="Cable Tricep Pushdown"/>
    <hyperlink ref="B269" r:id="rId169" display="Cable Rope Pushdown"/>
    <hyperlink ref="B270" r:id="rId170" display="Bar Skull"/>
    <hyperlink ref="B273" r:id="rId171" display="Barbell Facepull"/>
    <hyperlink ref="B274" r:id="rId172" display="Barbell Upright Row"/>
    <hyperlink ref="B275" r:id="rId173" display="Dumbbell Facepull"/>
    <hyperlink ref="B276" r:id="rId174" display="Dumbbell Upright Row"/>
    <hyperlink ref="B277" r:id="rId175" display="Cable Facepull"/>
    <hyperlink ref="B278" r:id="rId176" display="Cable Upright Row"/>
    <hyperlink ref="B279" r:id="rId177" display="Dumbbell Rear Lateral Raise"/>
    <hyperlink ref="B280" r:id="rId178" display="Dumbbell Side Lateral Raise"/>
    <hyperlink ref="B281" r:id="rId179" display="Thumbs Down Lateral Raise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80"/>
  <tableParts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LibreOffice/6.1.4.2$Windows_X86_64 LibreOffice_project/9d0f32d1f0b509096fd65e0d4bec26ddd1938fd3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en-GB</dc:language>
  <cp:lastModifiedBy/>
  <dcterms:modified xsi:type="dcterms:W3CDTF">2019-02-19T00:44:37Z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