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io\Downloads\Daivd Laid DUP\"/>
    </mc:Choice>
  </mc:AlternateContent>
  <xr:revisionPtr revIDLastSave="0" documentId="13_ncr:1_{0737B566-0C2D-4E4F-8D0B-79762CC2E7E4}" xr6:coauthVersionLast="46" xr6:coauthVersionMax="46" xr10:uidLastSave="{00000000-0000-0000-0000-000000000000}"/>
  <bookViews>
    <workbookView xWindow="-120" yWindow="-120" windowWidth="20730" windowHeight="11160" xr2:uid="{B05E888A-D881-4C6B-B5DB-24848D9DDC7A}"/>
  </bookViews>
  <sheets>
    <sheet name="Progama DUP David La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43" i="1" l="1"/>
  <c r="AI42" i="1"/>
  <c r="AE43" i="1"/>
  <c r="AE42" i="1"/>
  <c r="AA43" i="1"/>
  <c r="AA42" i="1"/>
  <c r="W43" i="1"/>
  <c r="W42" i="1"/>
  <c r="AI51" i="1"/>
  <c r="AI50" i="1"/>
  <c r="AI27" i="1"/>
  <c r="AI26" i="1"/>
  <c r="AE51" i="1"/>
  <c r="AE50" i="1"/>
  <c r="AE27" i="1"/>
  <c r="AE26" i="1"/>
  <c r="AA51" i="1"/>
  <c r="AA50" i="1"/>
  <c r="AA27" i="1"/>
  <c r="AA26" i="1"/>
  <c r="W51" i="1"/>
  <c r="W50" i="1"/>
  <c r="W27" i="1"/>
  <c r="W26" i="1"/>
  <c r="S51" i="1"/>
  <c r="S50" i="1"/>
  <c r="S27" i="1"/>
  <c r="S26" i="1"/>
  <c r="O51" i="1"/>
  <c r="O50" i="1"/>
  <c r="O27" i="1"/>
  <c r="O26" i="1"/>
  <c r="AI18" i="1"/>
  <c r="AI17" i="1"/>
  <c r="AE18" i="1"/>
  <c r="AE17" i="1"/>
  <c r="AA18" i="1"/>
  <c r="AA17" i="1"/>
  <c r="W18" i="1"/>
  <c r="W17" i="1"/>
  <c r="S43" i="1"/>
  <c r="S42" i="1"/>
  <c r="S18" i="1"/>
  <c r="S17" i="1"/>
  <c r="O43" i="1"/>
  <c r="O42" i="1"/>
  <c r="O18" i="1"/>
  <c r="O17" i="1"/>
  <c r="AI37" i="1"/>
  <c r="AI36" i="1"/>
  <c r="AI12" i="1"/>
  <c r="AI11" i="1"/>
  <c r="AE37" i="1"/>
  <c r="AE36" i="1"/>
  <c r="AE12" i="1"/>
  <c r="AE11" i="1"/>
  <c r="AA37" i="1"/>
  <c r="AA36" i="1"/>
  <c r="AA12" i="1"/>
  <c r="AA11" i="1"/>
  <c r="W37" i="1"/>
  <c r="W36" i="1"/>
  <c r="W12" i="1"/>
  <c r="W11" i="1"/>
  <c r="S37" i="1"/>
  <c r="S36" i="1"/>
  <c r="S12" i="1"/>
  <c r="S11" i="1"/>
  <c r="O37" i="1"/>
  <c r="O36" i="1"/>
  <c r="O12" i="1"/>
  <c r="O11" i="1"/>
  <c r="K51" i="1"/>
  <c r="K50" i="1"/>
  <c r="K43" i="1"/>
  <c r="K42" i="1"/>
  <c r="K37" i="1"/>
  <c r="K36" i="1"/>
  <c r="K27" i="1"/>
  <c r="K26" i="1"/>
  <c r="K18" i="1"/>
  <c r="K17" i="1"/>
  <c r="K12" i="1"/>
  <c r="K11" i="1"/>
  <c r="G51" i="1"/>
  <c r="G50" i="1"/>
  <c r="G43" i="1"/>
  <c r="G42" i="1"/>
  <c r="G37" i="1"/>
  <c r="G36" i="1"/>
  <c r="G27" i="1"/>
  <c r="G26" i="1"/>
  <c r="G18" i="1"/>
  <c r="G17" i="1"/>
  <c r="G12" i="1"/>
  <c r="G11" i="1"/>
  <c r="C51" i="1"/>
  <c r="C50" i="1"/>
  <c r="C43" i="1"/>
  <c r="C42" i="1"/>
  <c r="C37" i="1"/>
  <c r="C36" i="1"/>
  <c r="C27" i="1"/>
  <c r="C26" i="1"/>
  <c r="C18" i="1"/>
  <c r="C17" i="1"/>
  <c r="C12" i="1"/>
  <c r="C11" i="1"/>
</calcChain>
</file>

<file path=xl/sharedStrings.xml><?xml version="1.0" encoding="utf-8"?>
<sst xmlns="http://schemas.openxmlformats.org/spreadsheetml/2006/main" count="1082" uniqueCount="60">
  <si>
    <t>DUP PROGRAM</t>
  </si>
  <si>
    <t>5 rep Max</t>
  </si>
  <si>
    <t>4x12</t>
  </si>
  <si>
    <t>3x10</t>
  </si>
  <si>
    <t>RPE 8-9</t>
  </si>
  <si>
    <t>3x10 each leg</t>
  </si>
  <si>
    <t>Glute Ham Raise or Reverse Hyper</t>
  </si>
  <si>
    <t>PUSH #1</t>
  </si>
  <si>
    <t>1 rep Max</t>
  </si>
  <si>
    <t>4x4</t>
  </si>
  <si>
    <t>Push Press</t>
  </si>
  <si>
    <t>3x4</t>
  </si>
  <si>
    <t>Skull Crusher</t>
  </si>
  <si>
    <t>PULL #1</t>
  </si>
  <si>
    <t>3 rep Max</t>
  </si>
  <si>
    <t>4x6</t>
  </si>
  <si>
    <t>3x8-10</t>
  </si>
  <si>
    <t>4x8</t>
  </si>
  <si>
    <t>PUSH #2</t>
  </si>
  <si>
    <t>3x12</t>
  </si>
  <si>
    <t>PULL #2</t>
  </si>
  <si>
    <t>4x2</t>
  </si>
  <si>
    <t>3x8</t>
  </si>
  <si>
    <t>* Stiff Leg Deads should be done from a 2-3" deficit</t>
  </si>
  <si>
    <t>4x10</t>
  </si>
  <si>
    <t>INTRODUCE TU 1RM</t>
  </si>
  <si>
    <t>WWW.BIBLIOTECADERUTINAS.COM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</si>
  <si>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</si>
  <si>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</si>
  <si>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</si>
  <si>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</si>
  <si>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</si>
  <si>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</si>
  <si>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</si>
  <si>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</si>
  <si>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</si>
  <si>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Piernas #1</t>
  </si>
  <si>
    <t>Piernas #2</t>
  </si>
  <si>
    <t>Sentadilla Max</t>
  </si>
  <si>
    <t>Sentadilla</t>
  </si>
  <si>
    <t>Peso muerto rumano</t>
  </si>
  <si>
    <t>Zancadas</t>
  </si>
  <si>
    <t>Press de banca Max</t>
  </si>
  <si>
    <t>Press de banca</t>
  </si>
  <si>
    <t>Fondos paralelas</t>
  </si>
  <si>
    <t>Aperturas de pecho o pec deck</t>
  </si>
  <si>
    <t>Elevaciones laterales</t>
  </si>
  <si>
    <t>Extensiones de triceps con mancuernas</t>
  </si>
  <si>
    <t>Peso muerto Max</t>
  </si>
  <si>
    <t>Peso muerto</t>
  </si>
  <si>
    <t>Peso muerto piernas rígidas</t>
  </si>
  <si>
    <t>Dominadas</t>
  </si>
  <si>
    <t>* Add weight on Dominadas as needed</t>
  </si>
  <si>
    <t>Remo yates</t>
  </si>
  <si>
    <t>Encogimientos</t>
  </si>
  <si>
    <t>Curl en barra</t>
  </si>
  <si>
    <t>Curl martillo sentado</t>
  </si>
  <si>
    <t>Press de banca inclinado</t>
  </si>
  <si>
    <t>Press militar Max</t>
  </si>
  <si>
    <t>Press militar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</si>
</sst>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3.5"/>
      <color rgb="FF4CABE9"/>
      <name val="Arial"/>
      <family val="2"/>
    </font>
    <font>
      <b/>
      <sz val="11"/>
      <color rgb="FF0E1010"/>
      <name val="Arial"/>
      <family val="2"/>
    </font>
    <font>
      <sz val="11"/>
      <color rgb="FF000000"/>
      <name val="Arial"/>
      <family val="2"/>
    </font>
    <font>
      <b/>
      <sz val="13.5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u/>
      <sz val="22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F8F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/>
      <right/>
      <top style="thick">
        <color rgb="FFEFF1F1"/>
      </top>
      <bottom style="thick">
        <color rgb="FFEFF1F1"/>
      </bottom>
      <diagonal/>
    </border>
    <border>
      <left/>
      <right/>
      <top/>
      <bottom style="thick">
        <color rgb="FFEFF1F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 applyAlignment="1">
      <alignment vertical="center" wrapText="1"/>
    </xf>
    <xf numFmtId="0" fontId="2" fillId="3" borderId="1" xfId="0" applyFont="1" applyFill="1" applyBorder="1" applyAlignment="1">
      <alignment horizontal="left" vertical="top" wrapText="1" indent="1"/>
    </xf>
    <xf numFmtId="0" fontId="3" fillId="3" borderId="1" xfId="0" applyFont="1" applyFill="1" applyBorder="1" applyAlignment="1">
      <alignment horizontal="left" vertical="top" wrapText="1" indent="1"/>
    </xf>
    <xf numFmtId="0" fontId="2" fillId="2" borderId="2" xfId="0" applyFont="1" applyFill="1" applyBorder="1" applyAlignment="1">
      <alignment horizontal="left" vertical="top" wrapText="1" indent="1"/>
    </xf>
    <xf numFmtId="0" fontId="3" fillId="2" borderId="2" xfId="0" applyFont="1" applyFill="1" applyBorder="1" applyAlignment="1">
      <alignment horizontal="left" vertical="top" wrapText="1" indent="1"/>
    </xf>
    <xf numFmtId="0" fontId="2" fillId="3" borderId="2" xfId="0" applyFont="1" applyFill="1" applyBorder="1" applyAlignment="1">
      <alignment horizontal="left" vertical="top" wrapText="1" indent="1"/>
    </xf>
    <xf numFmtId="0" fontId="3" fillId="3" borderId="2" xfId="0" applyFont="1" applyFill="1" applyBorder="1" applyAlignment="1">
      <alignment horizontal="left" vertical="top" wrapText="1" inden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2" borderId="0" xfId="0" applyFont="1" applyFill="1" applyBorder="1" applyAlignment="1">
      <alignment horizontal="left" vertical="top" wrapText="1" indent="1"/>
    </xf>
    <xf numFmtId="0" fontId="3" fillId="2" borderId="0" xfId="0" applyFont="1" applyFill="1" applyBorder="1" applyAlignment="1">
      <alignment horizontal="left" vertical="top" wrapText="1" indent="1"/>
    </xf>
    <xf numFmtId="0" fontId="3" fillId="2" borderId="1" xfId="0" applyFont="1" applyFill="1" applyBorder="1" applyAlignment="1">
      <alignment horizontal="left" vertical="top" wrapText="1" indent="1"/>
    </xf>
    <xf numFmtId="0" fontId="5" fillId="4" borderId="9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5" borderId="3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5" fillId="6" borderId="4" xfId="0" applyFont="1" applyFill="1" applyBorder="1"/>
    <xf numFmtId="0" fontId="5" fillId="6" borderId="6" xfId="0" applyFont="1" applyFill="1" applyBorder="1"/>
    <xf numFmtId="0" fontId="5" fillId="6" borderId="8" xfId="0" applyFont="1" applyFill="1" applyBorder="1"/>
    <xf numFmtId="0" fontId="8" fillId="7" borderId="0" xfId="1" applyFont="1" applyFill="1" applyAlignment="1">
      <alignment horizontal="center"/>
    </xf>
    <xf numFmtId="0" fontId="9" fillId="7" borderId="0" xfId="0" applyFont="1" applyFill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bibliotecaderutina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A9B5D-AC10-4F67-8486-B1C93FF65278}">
  <dimension ref="A1:AI59"/>
  <sheetViews>
    <sheetView tabSelected="1" zoomScale="70" zoomScaleNormal="70" workbookViewId="0">
      <selection activeCell="E44" sqref="E44"/>
    </sheetView>
  </sheetViews>
  <sheetFormatPr baseColWidth="10" defaultColWidth="9.140625" defaultRowHeight="15" x14ac:dyDescent="0.25"/>
  <cols>
    <col min="1" max="1" width="28.85546875" bestFit="1" customWidth="1"/>
    <col min="2" max="3" width="13.7109375" customWidth="1"/>
    <col min="4" max="4" width="4.7109375" customWidth="1"/>
    <col min="5" max="5" width="28.85546875" bestFit="1" customWidth="1"/>
    <col min="6" max="7" width="13.7109375" customWidth="1"/>
    <col min="8" max="8" width="4.7109375" customWidth="1"/>
    <col min="9" max="9" width="28.85546875" bestFit="1" customWidth="1"/>
    <col min="10" max="11" width="13.7109375" customWidth="1"/>
    <col min="12" max="12" width="4.7109375" customWidth="1"/>
    <col min="13" max="13" width="28.85546875" bestFit="1" customWidth="1"/>
    <col min="14" max="15" width="13.7109375" customWidth="1"/>
    <col min="16" max="16" width="4.7109375" customWidth="1"/>
    <col min="17" max="17" width="28.85546875" bestFit="1" customWidth="1"/>
    <col min="18" max="19" width="13.7109375" customWidth="1"/>
    <col min="20" max="20" width="4.7109375" customWidth="1"/>
    <col min="21" max="21" width="28.85546875" bestFit="1" customWidth="1"/>
    <col min="22" max="23" width="13.7109375" customWidth="1"/>
    <col min="24" max="24" width="4.7109375" customWidth="1"/>
    <col min="25" max="25" width="28.85546875" bestFit="1" customWidth="1"/>
    <col min="26" max="27" width="13.7109375" customWidth="1"/>
    <col min="28" max="28" width="4.7109375" customWidth="1"/>
    <col min="29" max="29" width="28.85546875" bestFit="1" customWidth="1"/>
    <col min="30" max="31" width="13.7109375" customWidth="1"/>
    <col min="32" max="32" width="4.7109375" customWidth="1"/>
    <col min="33" max="33" width="28.85546875" bestFit="1" customWidth="1"/>
    <col min="34" max="39" width="13.7109375" customWidth="1"/>
  </cols>
  <sheetData>
    <row r="1" spans="1:35" ht="28.5" x14ac:dyDescent="0.45">
      <c r="A1" s="22" t="s">
        <v>26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</row>
    <row r="2" spans="1:35" ht="15.75" thickBot="1" x14ac:dyDescent="0.3">
      <c r="A2" s="9" t="s">
        <v>0</v>
      </c>
      <c r="B2" s="10"/>
      <c r="C2" s="10"/>
    </row>
    <row r="3" spans="1:35" ht="15.75" thickBot="1" x14ac:dyDescent="0.3">
      <c r="A3" s="14" t="s">
        <v>25</v>
      </c>
      <c r="B3" s="15"/>
      <c r="C3" s="10"/>
    </row>
    <row r="4" spans="1:35" x14ac:dyDescent="0.25">
      <c r="A4" s="16" t="s">
        <v>38</v>
      </c>
      <c r="B4" s="19">
        <v>465</v>
      </c>
      <c r="C4" s="10"/>
    </row>
    <row r="5" spans="1:35" x14ac:dyDescent="0.25">
      <c r="A5" s="17" t="s">
        <v>42</v>
      </c>
      <c r="B5" s="20">
        <v>365</v>
      </c>
      <c r="C5" s="10"/>
    </row>
    <row r="6" spans="1:35" x14ac:dyDescent="0.25">
      <c r="A6" s="17" t="s">
        <v>48</v>
      </c>
      <c r="B6" s="20">
        <v>675</v>
      </c>
      <c r="C6" s="10"/>
    </row>
    <row r="7" spans="1:35" ht="15.75" thickBot="1" x14ac:dyDescent="0.3">
      <c r="A7" s="18" t="s">
        <v>58</v>
      </c>
      <c r="B7" s="21">
        <v>205</v>
      </c>
      <c r="C7" s="10"/>
    </row>
    <row r="9" spans="1:35" ht="17.25" x14ac:dyDescent="0.25">
      <c r="A9" s="8" t="s">
        <v>27</v>
      </c>
      <c r="B9" s="8"/>
      <c r="C9" s="8"/>
      <c r="D9" s="8"/>
      <c r="E9" s="8" t="s">
        <v>28</v>
      </c>
      <c r="F9" s="8"/>
      <c r="G9" s="8"/>
      <c r="H9" s="8"/>
      <c r="I9" s="8" t="s">
        <v>29</v>
      </c>
      <c r="J9" s="8"/>
      <c r="K9" s="8"/>
      <c r="L9" s="8"/>
      <c r="M9" s="8" t="s">
        <v>30</v>
      </c>
      <c r="Q9" s="8" t="s">
        <v>31</v>
      </c>
      <c r="R9" s="8"/>
      <c r="S9" s="8"/>
      <c r="T9" s="8"/>
      <c r="U9" s="8" t="s">
        <v>32</v>
      </c>
      <c r="V9" s="8"/>
      <c r="W9" s="8"/>
      <c r="X9" s="8"/>
      <c r="Y9" s="8" t="s">
        <v>33</v>
      </c>
      <c r="Z9" s="8"/>
      <c r="AA9" s="8"/>
      <c r="AB9" s="8"/>
      <c r="AC9" s="8" t="s">
        <v>34</v>
      </c>
      <c r="AD9" s="8"/>
      <c r="AE9" s="8"/>
      <c r="AF9" s="8"/>
      <c r="AG9" s="8" t="s">
        <v>35</v>
      </c>
    </row>
    <row r="10" spans="1:35" ht="18" thickBot="1" x14ac:dyDescent="0.3">
      <c r="A10" s="1" t="s">
        <v>36</v>
      </c>
      <c r="E10" s="1" t="s">
        <v>36</v>
      </c>
      <c r="I10" s="1" t="s">
        <v>36</v>
      </c>
      <c r="M10" s="1" t="s">
        <v>36</v>
      </c>
      <c r="Q10" s="1" t="s">
        <v>36</v>
      </c>
      <c r="U10" s="1" t="s">
        <v>36</v>
      </c>
      <c r="Y10" s="1" t="s">
        <v>36</v>
      </c>
      <c r="AC10" s="1" t="s">
        <v>36</v>
      </c>
      <c r="AG10" s="1" t="s">
        <v>36</v>
      </c>
    </row>
    <row r="11" spans="1:35" ht="30" customHeight="1" thickTop="1" thickBot="1" x14ac:dyDescent="0.3">
      <c r="A11" s="2" t="s">
        <v>39</v>
      </c>
      <c r="B11" s="3" t="s">
        <v>1</v>
      </c>
      <c r="C11" s="3">
        <f>MROUND(B4*0.85,5)</f>
        <v>395</v>
      </c>
      <c r="E11" s="2" t="s">
        <v>39</v>
      </c>
      <c r="F11" s="3" t="s">
        <v>8</v>
      </c>
      <c r="G11" s="3">
        <f>MROUND(B4*0.95,5)</f>
        <v>440</v>
      </c>
      <c r="I11" s="2" t="s">
        <v>39</v>
      </c>
      <c r="J11" s="3" t="s">
        <v>14</v>
      </c>
      <c r="K11" s="3">
        <f>MROUND(B4*0.9,5)</f>
        <v>420</v>
      </c>
      <c r="M11" s="2" t="s">
        <v>39</v>
      </c>
      <c r="N11" s="3" t="s">
        <v>1</v>
      </c>
      <c r="O11" s="3">
        <f>MROUND(B4*0.865,5)</f>
        <v>400</v>
      </c>
      <c r="Q11" s="2" t="s">
        <v>39</v>
      </c>
      <c r="R11" s="3" t="s">
        <v>8</v>
      </c>
      <c r="S11" s="3">
        <f>MROUND(B4*0.965,5)</f>
        <v>450</v>
      </c>
      <c r="U11" s="2" t="s">
        <v>39</v>
      </c>
      <c r="V11" s="3" t="s">
        <v>14</v>
      </c>
      <c r="W11" s="3">
        <f>MROUND(B4*0.915,5)</f>
        <v>425</v>
      </c>
      <c r="Y11" s="2" t="s">
        <v>39</v>
      </c>
      <c r="Z11" s="3" t="s">
        <v>1</v>
      </c>
      <c r="AA11" s="3">
        <f>MROUND(B4*0.88,5)</f>
        <v>410</v>
      </c>
      <c r="AC11" s="2" t="s">
        <v>39</v>
      </c>
      <c r="AD11" s="3" t="s">
        <v>8</v>
      </c>
      <c r="AE11" s="3">
        <f>MROUND(B4*0.98,5)</f>
        <v>455</v>
      </c>
      <c r="AG11" s="2" t="s">
        <v>39</v>
      </c>
      <c r="AH11" s="3" t="s">
        <v>14</v>
      </c>
      <c r="AI11" s="3">
        <f>MROUND(B4*0.93,5)</f>
        <v>430</v>
      </c>
    </row>
    <row r="12" spans="1:35" ht="16.5" thickTop="1" thickBot="1" x14ac:dyDescent="0.3">
      <c r="A12" s="4" t="s">
        <v>39</v>
      </c>
      <c r="B12" s="5" t="s">
        <v>2</v>
      </c>
      <c r="C12" s="5">
        <f>MROUND(B4*0.65,5)</f>
        <v>300</v>
      </c>
      <c r="E12" s="4" t="s">
        <v>39</v>
      </c>
      <c r="F12" s="5" t="s">
        <v>9</v>
      </c>
      <c r="G12" s="5">
        <f>MROUND(B4*0.85,5)</f>
        <v>395</v>
      </c>
      <c r="I12" s="4" t="s">
        <v>39</v>
      </c>
      <c r="J12" s="5" t="s">
        <v>17</v>
      </c>
      <c r="K12" s="5">
        <f>MROUND(B4*0.75,5)</f>
        <v>350</v>
      </c>
      <c r="M12" s="4" t="s">
        <v>39</v>
      </c>
      <c r="N12" s="5" t="s">
        <v>2</v>
      </c>
      <c r="O12" s="5">
        <f>MROUND(B4*0.66,5)</f>
        <v>305</v>
      </c>
      <c r="Q12" s="4" t="s">
        <v>39</v>
      </c>
      <c r="R12" s="5" t="s">
        <v>9</v>
      </c>
      <c r="S12" s="5">
        <f>MROUND(B4*0.86,5)</f>
        <v>400</v>
      </c>
      <c r="U12" s="4" t="s">
        <v>39</v>
      </c>
      <c r="V12" s="5" t="s">
        <v>17</v>
      </c>
      <c r="W12" s="5">
        <f>MROUND(B4*0.76,5)</f>
        <v>355</v>
      </c>
      <c r="Y12" s="4" t="s">
        <v>39</v>
      </c>
      <c r="Z12" s="5" t="s">
        <v>2</v>
      </c>
      <c r="AA12" s="5">
        <f>MROUND(B4*0.67,5)</f>
        <v>310</v>
      </c>
      <c r="AC12" s="4" t="s">
        <v>39</v>
      </c>
      <c r="AD12" s="5" t="s">
        <v>9</v>
      </c>
      <c r="AE12" s="5">
        <f>MROUND(B4*0.87,5)</f>
        <v>405</v>
      </c>
      <c r="AG12" s="4" t="s">
        <v>39</v>
      </c>
      <c r="AH12" s="5" t="s">
        <v>17</v>
      </c>
      <c r="AI12" s="5">
        <f>MROUND(B4*0.77,5)</f>
        <v>360</v>
      </c>
    </row>
    <row r="13" spans="1:35" ht="30" customHeight="1" thickTop="1" thickBot="1" x14ac:dyDescent="0.3">
      <c r="A13" s="6" t="s">
        <v>40</v>
      </c>
      <c r="B13" s="7" t="s">
        <v>3</v>
      </c>
      <c r="C13" s="7" t="s">
        <v>4</v>
      </c>
      <c r="E13" s="6" t="s">
        <v>40</v>
      </c>
      <c r="F13" s="7" t="s">
        <v>3</v>
      </c>
      <c r="G13" s="7" t="s">
        <v>4</v>
      </c>
      <c r="I13" s="6" t="s">
        <v>40</v>
      </c>
      <c r="J13" s="7" t="s">
        <v>3</v>
      </c>
      <c r="K13" s="7" t="s">
        <v>4</v>
      </c>
      <c r="M13" s="6" t="s">
        <v>40</v>
      </c>
      <c r="N13" s="7" t="s">
        <v>3</v>
      </c>
      <c r="O13" s="7" t="s">
        <v>4</v>
      </c>
      <c r="Q13" s="6" t="s">
        <v>40</v>
      </c>
      <c r="R13" s="7" t="s">
        <v>3</v>
      </c>
      <c r="S13" s="7" t="s">
        <v>4</v>
      </c>
      <c r="U13" s="6" t="s">
        <v>40</v>
      </c>
      <c r="V13" s="7" t="s">
        <v>3</v>
      </c>
      <c r="W13" s="7" t="s">
        <v>4</v>
      </c>
      <c r="Y13" s="6" t="s">
        <v>40</v>
      </c>
      <c r="Z13" s="7" t="s">
        <v>3</v>
      </c>
      <c r="AA13" s="7" t="s">
        <v>4</v>
      </c>
      <c r="AC13" s="6" t="s">
        <v>40</v>
      </c>
      <c r="AD13" s="7" t="s">
        <v>3</v>
      </c>
      <c r="AE13" s="7" t="s">
        <v>4</v>
      </c>
      <c r="AG13" s="6" t="s">
        <v>40</v>
      </c>
      <c r="AH13" s="7" t="s">
        <v>3</v>
      </c>
      <c r="AI13" s="7" t="s">
        <v>4</v>
      </c>
    </row>
    <row r="14" spans="1:35" ht="44.25" customHeight="1" thickTop="1" thickBot="1" x14ac:dyDescent="0.3">
      <c r="A14" s="4" t="s">
        <v>41</v>
      </c>
      <c r="B14" s="5" t="s">
        <v>5</v>
      </c>
      <c r="C14" s="5" t="s">
        <v>4</v>
      </c>
      <c r="E14" s="4" t="s">
        <v>41</v>
      </c>
      <c r="F14" s="5" t="s">
        <v>5</v>
      </c>
      <c r="G14" s="5" t="s">
        <v>4</v>
      </c>
      <c r="I14" s="4" t="s">
        <v>41</v>
      </c>
      <c r="J14" s="5" t="s">
        <v>5</v>
      </c>
      <c r="K14" s="5" t="s">
        <v>4</v>
      </c>
      <c r="M14" s="4" t="s">
        <v>41</v>
      </c>
      <c r="N14" s="5" t="s">
        <v>5</v>
      </c>
      <c r="O14" s="5" t="s">
        <v>4</v>
      </c>
      <c r="Q14" s="4" t="s">
        <v>41</v>
      </c>
      <c r="R14" s="5" t="s">
        <v>5</v>
      </c>
      <c r="S14" s="5" t="s">
        <v>4</v>
      </c>
      <c r="U14" s="4" t="s">
        <v>41</v>
      </c>
      <c r="V14" s="5" t="s">
        <v>5</v>
      </c>
      <c r="W14" s="5" t="s">
        <v>4</v>
      </c>
      <c r="Y14" s="4" t="s">
        <v>41</v>
      </c>
      <c r="Z14" s="5" t="s">
        <v>5</v>
      </c>
      <c r="AA14" s="5" t="s">
        <v>4</v>
      </c>
      <c r="AC14" s="4" t="s">
        <v>41</v>
      </c>
      <c r="AD14" s="5" t="s">
        <v>5</v>
      </c>
      <c r="AE14" s="5" t="s">
        <v>4</v>
      </c>
      <c r="AG14" s="4" t="s">
        <v>41</v>
      </c>
      <c r="AH14" s="5" t="s">
        <v>5</v>
      </c>
      <c r="AI14" s="5" t="s">
        <v>4</v>
      </c>
    </row>
    <row r="15" spans="1:35" ht="61.5" thickTop="1" thickBot="1" x14ac:dyDescent="0.3">
      <c r="A15" s="6" t="s">
        <v>6</v>
      </c>
      <c r="B15" s="7" t="s">
        <v>3</v>
      </c>
      <c r="C15" s="7" t="s">
        <v>4</v>
      </c>
      <c r="E15" s="6" t="s">
        <v>6</v>
      </c>
      <c r="F15" s="7" t="s">
        <v>3</v>
      </c>
      <c r="G15" s="7" t="s">
        <v>4</v>
      </c>
      <c r="I15" s="6" t="s">
        <v>6</v>
      </c>
      <c r="J15" s="7" t="s">
        <v>3</v>
      </c>
      <c r="K15" s="7" t="s">
        <v>4</v>
      </c>
      <c r="M15" s="6" t="s">
        <v>6</v>
      </c>
      <c r="N15" s="7" t="s">
        <v>3</v>
      </c>
      <c r="O15" s="7" t="s">
        <v>4</v>
      </c>
      <c r="Q15" s="6" t="s">
        <v>6</v>
      </c>
      <c r="R15" s="7" t="s">
        <v>3</v>
      </c>
      <c r="S15" s="7" t="s">
        <v>4</v>
      </c>
      <c r="U15" s="6" t="s">
        <v>6</v>
      </c>
      <c r="V15" s="7" t="s">
        <v>3</v>
      </c>
      <c r="W15" s="7" t="s">
        <v>4</v>
      </c>
      <c r="Y15" s="6" t="s">
        <v>6</v>
      </c>
      <c r="Z15" s="7" t="s">
        <v>3</v>
      </c>
      <c r="AA15" s="7" t="s">
        <v>4</v>
      </c>
      <c r="AC15" s="6" t="s">
        <v>6</v>
      </c>
      <c r="AD15" s="7" t="s">
        <v>3</v>
      </c>
      <c r="AE15" s="7" t="s">
        <v>4</v>
      </c>
      <c r="AG15" s="6" t="s">
        <v>6</v>
      </c>
      <c r="AH15" s="7" t="s">
        <v>3</v>
      </c>
      <c r="AI15" s="7" t="s">
        <v>4</v>
      </c>
    </row>
    <row r="16" spans="1:35" ht="18.75" thickTop="1" thickBot="1" x14ac:dyDescent="0.3">
      <c r="A16" s="1" t="s">
        <v>7</v>
      </c>
      <c r="E16" s="1" t="s">
        <v>7</v>
      </c>
      <c r="I16" s="1" t="s">
        <v>7</v>
      </c>
      <c r="M16" s="1" t="s">
        <v>7</v>
      </c>
      <c r="Q16" s="1" t="s">
        <v>7</v>
      </c>
      <c r="U16" s="1" t="s">
        <v>7</v>
      </c>
      <c r="Y16" s="1" t="s">
        <v>7</v>
      </c>
      <c r="AC16" s="1" t="s">
        <v>7</v>
      </c>
      <c r="AG16" s="1" t="s">
        <v>7</v>
      </c>
    </row>
    <row r="17" spans="1:35" ht="30" customHeight="1" thickTop="1" thickBot="1" x14ac:dyDescent="0.3">
      <c r="A17" s="2" t="s">
        <v>43</v>
      </c>
      <c r="B17" s="3" t="s">
        <v>8</v>
      </c>
      <c r="C17" s="3">
        <f>MROUND(B5*0.95,5)</f>
        <v>345</v>
      </c>
      <c r="E17" s="2" t="s">
        <v>43</v>
      </c>
      <c r="F17" s="3" t="s">
        <v>14</v>
      </c>
      <c r="G17" s="3">
        <f>MROUND(B5*0.9,5)</f>
        <v>330</v>
      </c>
      <c r="I17" s="2" t="s">
        <v>43</v>
      </c>
      <c r="J17" s="3" t="s">
        <v>1</v>
      </c>
      <c r="K17" s="3">
        <f>MROUND(B5*0.85,5)</f>
        <v>310</v>
      </c>
      <c r="M17" s="2" t="s">
        <v>43</v>
      </c>
      <c r="N17" s="3" t="s">
        <v>8</v>
      </c>
      <c r="O17" s="3">
        <f>MROUND(B5*0.965,5)</f>
        <v>350</v>
      </c>
      <c r="Q17" s="2" t="s">
        <v>43</v>
      </c>
      <c r="R17" s="3" t="s">
        <v>14</v>
      </c>
      <c r="S17" s="3">
        <f>MROUND(B5*0.915,5)</f>
        <v>335</v>
      </c>
      <c r="U17" s="2" t="s">
        <v>43</v>
      </c>
      <c r="V17" s="3" t="s">
        <v>1</v>
      </c>
      <c r="W17" s="3">
        <f>MROUND(B5*0.865,5)</f>
        <v>315</v>
      </c>
      <c r="Y17" s="2" t="s">
        <v>43</v>
      </c>
      <c r="Z17" s="3" t="s">
        <v>8</v>
      </c>
      <c r="AA17" s="3">
        <f>MROUND(B5*0.98,5)</f>
        <v>360</v>
      </c>
      <c r="AC17" s="2" t="s">
        <v>43</v>
      </c>
      <c r="AD17" s="3" t="s">
        <v>14</v>
      </c>
      <c r="AE17" s="3">
        <f>MROUND(B5*0.93,5)</f>
        <v>340</v>
      </c>
      <c r="AG17" s="2" t="s">
        <v>43</v>
      </c>
      <c r="AH17" s="3" t="s">
        <v>1</v>
      </c>
      <c r="AI17" s="3">
        <f>MROUND(B5*0.88,5)</f>
        <v>320</v>
      </c>
    </row>
    <row r="18" spans="1:35" ht="16.5" thickTop="1" thickBot="1" x14ac:dyDescent="0.3">
      <c r="A18" s="4" t="s">
        <v>43</v>
      </c>
      <c r="B18" s="5" t="s">
        <v>9</v>
      </c>
      <c r="C18" s="5">
        <f>MROUND(B5*0.85,5)</f>
        <v>310</v>
      </c>
      <c r="E18" s="4" t="s">
        <v>43</v>
      </c>
      <c r="F18" s="5" t="s">
        <v>17</v>
      </c>
      <c r="G18" s="5">
        <f>MROUND(B5*0.75,5)</f>
        <v>275</v>
      </c>
      <c r="I18" s="4" t="s">
        <v>43</v>
      </c>
      <c r="J18" s="5" t="s">
        <v>2</v>
      </c>
      <c r="K18" s="5">
        <f>MROUND(B5*0.65,5)</f>
        <v>235</v>
      </c>
      <c r="M18" s="4" t="s">
        <v>43</v>
      </c>
      <c r="N18" s="5" t="s">
        <v>9</v>
      </c>
      <c r="O18" s="5">
        <f>MROUND(B5*0.85,5)</f>
        <v>310</v>
      </c>
      <c r="Q18" s="4" t="s">
        <v>43</v>
      </c>
      <c r="R18" s="5" t="s">
        <v>17</v>
      </c>
      <c r="S18" s="5">
        <f>MROUND(B5*0.75,5)</f>
        <v>275</v>
      </c>
      <c r="U18" s="4" t="s">
        <v>43</v>
      </c>
      <c r="V18" s="5" t="s">
        <v>2</v>
      </c>
      <c r="W18" s="5">
        <f>MROUND(B5*0.65,5)</f>
        <v>235</v>
      </c>
      <c r="Y18" s="4" t="s">
        <v>43</v>
      </c>
      <c r="Z18" s="5" t="s">
        <v>9</v>
      </c>
      <c r="AA18" s="5">
        <f>MROUND(B5*0.87,5)</f>
        <v>320</v>
      </c>
      <c r="AC18" s="4" t="s">
        <v>43</v>
      </c>
      <c r="AD18" s="5" t="s">
        <v>17</v>
      </c>
      <c r="AE18" s="5">
        <f>MROUND(B5*0.77,5)</f>
        <v>280</v>
      </c>
      <c r="AG18" s="4" t="s">
        <v>43</v>
      </c>
      <c r="AH18" s="5" t="s">
        <v>2</v>
      </c>
      <c r="AI18" s="5">
        <f>MROUND(B5*0.67,5)</f>
        <v>245</v>
      </c>
    </row>
    <row r="19" spans="1:35" ht="30" customHeight="1" thickTop="1" thickBot="1" x14ac:dyDescent="0.3">
      <c r="A19" s="6" t="s">
        <v>10</v>
      </c>
      <c r="B19" s="7" t="s">
        <v>11</v>
      </c>
      <c r="C19" s="7" t="s">
        <v>4</v>
      </c>
      <c r="E19" s="6" t="s">
        <v>10</v>
      </c>
      <c r="F19" s="7" t="s">
        <v>22</v>
      </c>
      <c r="G19" s="7" t="s">
        <v>4</v>
      </c>
      <c r="I19" s="6" t="s">
        <v>10</v>
      </c>
      <c r="J19" s="7" t="s">
        <v>19</v>
      </c>
      <c r="K19" s="7" t="s">
        <v>4</v>
      </c>
      <c r="M19" s="6" t="s">
        <v>10</v>
      </c>
      <c r="N19" s="7" t="s">
        <v>11</v>
      </c>
      <c r="O19" s="7" t="s">
        <v>4</v>
      </c>
      <c r="Q19" s="6" t="s">
        <v>10</v>
      </c>
      <c r="R19" s="7" t="s">
        <v>22</v>
      </c>
      <c r="S19" s="7" t="s">
        <v>4</v>
      </c>
      <c r="U19" s="6" t="s">
        <v>10</v>
      </c>
      <c r="V19" s="7" t="s">
        <v>19</v>
      </c>
      <c r="W19" s="7" t="s">
        <v>4</v>
      </c>
      <c r="Y19" s="6" t="s">
        <v>10</v>
      </c>
      <c r="Z19" s="7" t="s">
        <v>11</v>
      </c>
      <c r="AA19" s="7" t="s">
        <v>4</v>
      </c>
      <c r="AC19" s="6" t="s">
        <v>10</v>
      </c>
      <c r="AD19" s="7" t="s">
        <v>22</v>
      </c>
      <c r="AE19" s="7" t="s">
        <v>4</v>
      </c>
      <c r="AG19" s="6" t="s">
        <v>10</v>
      </c>
      <c r="AH19" s="7" t="s">
        <v>19</v>
      </c>
      <c r="AI19" s="7" t="s">
        <v>4</v>
      </c>
    </row>
    <row r="20" spans="1:35" ht="30" customHeight="1" thickTop="1" thickBot="1" x14ac:dyDescent="0.3">
      <c r="A20" s="4" t="s">
        <v>44</v>
      </c>
      <c r="B20" s="5" t="s">
        <v>3</v>
      </c>
      <c r="C20" s="5" t="s">
        <v>4</v>
      </c>
      <c r="E20" s="4" t="s">
        <v>44</v>
      </c>
      <c r="F20" s="5" t="s">
        <v>3</v>
      </c>
      <c r="G20" s="5" t="s">
        <v>4</v>
      </c>
      <c r="I20" s="4" t="s">
        <v>44</v>
      </c>
      <c r="J20" s="5" t="s">
        <v>3</v>
      </c>
      <c r="K20" s="5" t="s">
        <v>4</v>
      </c>
      <c r="M20" s="4" t="s">
        <v>44</v>
      </c>
      <c r="N20" s="5" t="s">
        <v>3</v>
      </c>
      <c r="O20" s="5" t="s">
        <v>4</v>
      </c>
      <c r="Q20" s="4" t="s">
        <v>44</v>
      </c>
      <c r="R20" s="5" t="s">
        <v>3</v>
      </c>
      <c r="S20" s="5" t="s">
        <v>4</v>
      </c>
      <c r="U20" s="4" t="s">
        <v>44</v>
      </c>
      <c r="V20" s="5" t="s">
        <v>3</v>
      </c>
      <c r="W20" s="5" t="s">
        <v>4</v>
      </c>
      <c r="Y20" s="4" t="s">
        <v>44</v>
      </c>
      <c r="Z20" s="5" t="s">
        <v>3</v>
      </c>
      <c r="AA20" s="5" t="s">
        <v>4</v>
      </c>
      <c r="AC20" s="4" t="s">
        <v>44</v>
      </c>
      <c r="AD20" s="5" t="s">
        <v>3</v>
      </c>
      <c r="AE20" s="5" t="s">
        <v>4</v>
      </c>
      <c r="AG20" s="4" t="s">
        <v>44</v>
      </c>
      <c r="AH20" s="5" t="s">
        <v>3</v>
      </c>
      <c r="AI20" s="5" t="s">
        <v>4</v>
      </c>
    </row>
    <row r="21" spans="1:35" ht="31.5" thickTop="1" thickBot="1" x14ac:dyDescent="0.3">
      <c r="A21" s="6" t="s">
        <v>45</v>
      </c>
      <c r="B21" s="7" t="s">
        <v>3</v>
      </c>
      <c r="C21" s="7" t="s">
        <v>4</v>
      </c>
      <c r="E21" s="6" t="s">
        <v>45</v>
      </c>
      <c r="F21" s="7" t="s">
        <v>3</v>
      </c>
      <c r="G21" s="7" t="s">
        <v>4</v>
      </c>
      <c r="I21" s="6" t="s">
        <v>45</v>
      </c>
      <c r="J21" s="7" t="s">
        <v>3</v>
      </c>
      <c r="K21" s="7" t="s">
        <v>4</v>
      </c>
      <c r="M21" s="6" t="s">
        <v>45</v>
      </c>
      <c r="N21" s="7" t="s">
        <v>3</v>
      </c>
      <c r="O21" s="7" t="s">
        <v>4</v>
      </c>
      <c r="Q21" s="6" t="s">
        <v>45</v>
      </c>
      <c r="R21" s="7" t="s">
        <v>3</v>
      </c>
      <c r="S21" s="7" t="s">
        <v>4</v>
      </c>
      <c r="U21" s="6" t="s">
        <v>45</v>
      </c>
      <c r="V21" s="7" t="s">
        <v>3</v>
      </c>
      <c r="W21" s="7" t="s">
        <v>4</v>
      </c>
      <c r="Y21" s="6" t="s">
        <v>45</v>
      </c>
      <c r="Z21" s="7" t="s">
        <v>3</v>
      </c>
      <c r="AA21" s="7" t="s">
        <v>4</v>
      </c>
      <c r="AC21" s="6" t="s">
        <v>45</v>
      </c>
      <c r="AD21" s="7" t="s">
        <v>3</v>
      </c>
      <c r="AE21" s="7" t="s">
        <v>4</v>
      </c>
      <c r="AG21" s="6" t="s">
        <v>45</v>
      </c>
      <c r="AH21" s="7" t="s">
        <v>3</v>
      </c>
      <c r="AI21" s="7" t="s">
        <v>4</v>
      </c>
    </row>
    <row r="22" spans="1:35" ht="30" customHeight="1" thickTop="1" thickBot="1" x14ac:dyDescent="0.3">
      <c r="A22" s="4" t="s">
        <v>46</v>
      </c>
      <c r="B22" s="5" t="s">
        <v>3</v>
      </c>
      <c r="C22" s="5" t="s">
        <v>4</v>
      </c>
      <c r="E22" s="4" t="s">
        <v>46</v>
      </c>
      <c r="F22" s="5" t="s">
        <v>3</v>
      </c>
      <c r="G22" s="5" t="s">
        <v>4</v>
      </c>
      <c r="I22" s="4" t="s">
        <v>46</v>
      </c>
      <c r="J22" s="5" t="s">
        <v>3</v>
      </c>
      <c r="K22" s="5" t="s">
        <v>4</v>
      </c>
      <c r="M22" s="4" t="s">
        <v>46</v>
      </c>
      <c r="N22" s="5" t="s">
        <v>3</v>
      </c>
      <c r="O22" s="5" t="s">
        <v>4</v>
      </c>
      <c r="Q22" s="4" t="s">
        <v>46</v>
      </c>
      <c r="R22" s="5" t="s">
        <v>3</v>
      </c>
      <c r="S22" s="5" t="s">
        <v>4</v>
      </c>
      <c r="U22" s="4" t="s">
        <v>46</v>
      </c>
      <c r="V22" s="5" t="s">
        <v>3</v>
      </c>
      <c r="W22" s="5" t="s">
        <v>4</v>
      </c>
      <c r="Y22" s="4" t="s">
        <v>46</v>
      </c>
      <c r="Z22" s="5" t="s">
        <v>3</v>
      </c>
      <c r="AA22" s="5" t="s">
        <v>4</v>
      </c>
      <c r="AC22" s="4" t="s">
        <v>46</v>
      </c>
      <c r="AD22" s="5" t="s">
        <v>3</v>
      </c>
      <c r="AE22" s="5" t="s">
        <v>4</v>
      </c>
      <c r="AG22" s="4" t="s">
        <v>46</v>
      </c>
      <c r="AH22" s="5" t="s">
        <v>3</v>
      </c>
      <c r="AI22" s="5" t="s">
        <v>4</v>
      </c>
    </row>
    <row r="23" spans="1:35" ht="30" customHeight="1" thickTop="1" thickBot="1" x14ac:dyDescent="0.3">
      <c r="A23" s="6" t="s">
        <v>12</v>
      </c>
      <c r="B23" s="7" t="s">
        <v>3</v>
      </c>
      <c r="C23" s="7" t="s">
        <v>4</v>
      </c>
      <c r="E23" s="6" t="s">
        <v>12</v>
      </c>
      <c r="F23" s="7" t="s">
        <v>3</v>
      </c>
      <c r="G23" s="7" t="s">
        <v>4</v>
      </c>
      <c r="I23" s="6" t="s">
        <v>12</v>
      </c>
      <c r="J23" s="7" t="s">
        <v>3</v>
      </c>
      <c r="K23" s="7" t="s">
        <v>4</v>
      </c>
      <c r="M23" s="6" t="s">
        <v>12</v>
      </c>
      <c r="N23" s="7" t="s">
        <v>3</v>
      </c>
      <c r="O23" s="7" t="s">
        <v>4</v>
      </c>
      <c r="Q23" s="6" t="s">
        <v>12</v>
      </c>
      <c r="R23" s="7" t="s">
        <v>3</v>
      </c>
      <c r="S23" s="7" t="s">
        <v>4</v>
      </c>
      <c r="U23" s="6" t="s">
        <v>12</v>
      </c>
      <c r="V23" s="7" t="s">
        <v>3</v>
      </c>
      <c r="W23" s="7" t="s">
        <v>4</v>
      </c>
      <c r="Y23" s="6" t="s">
        <v>12</v>
      </c>
      <c r="Z23" s="7" t="s">
        <v>3</v>
      </c>
      <c r="AA23" s="7" t="s">
        <v>4</v>
      </c>
      <c r="AC23" s="6" t="s">
        <v>12</v>
      </c>
      <c r="AD23" s="7" t="s">
        <v>3</v>
      </c>
      <c r="AE23" s="7" t="s">
        <v>4</v>
      </c>
      <c r="AG23" s="6" t="s">
        <v>12</v>
      </c>
      <c r="AH23" s="7" t="s">
        <v>3</v>
      </c>
      <c r="AI23" s="7" t="s">
        <v>4</v>
      </c>
    </row>
    <row r="24" spans="1:35" ht="31.5" thickTop="1" thickBot="1" x14ac:dyDescent="0.3">
      <c r="A24" s="4" t="s">
        <v>47</v>
      </c>
      <c r="B24" s="5" t="s">
        <v>3</v>
      </c>
      <c r="C24" s="5" t="s">
        <v>4</v>
      </c>
      <c r="E24" s="4" t="s">
        <v>47</v>
      </c>
      <c r="F24" s="5" t="s">
        <v>3</v>
      </c>
      <c r="G24" s="5" t="s">
        <v>4</v>
      </c>
      <c r="I24" s="4" t="s">
        <v>47</v>
      </c>
      <c r="J24" s="5" t="s">
        <v>3</v>
      </c>
      <c r="K24" s="5" t="s">
        <v>4</v>
      </c>
      <c r="M24" s="4" t="s">
        <v>47</v>
      </c>
      <c r="N24" s="5" t="s">
        <v>3</v>
      </c>
      <c r="O24" s="5" t="s">
        <v>4</v>
      </c>
      <c r="Q24" s="4" t="s">
        <v>47</v>
      </c>
      <c r="R24" s="5" t="s">
        <v>3</v>
      </c>
      <c r="S24" s="5" t="s">
        <v>4</v>
      </c>
      <c r="U24" s="4" t="s">
        <v>47</v>
      </c>
      <c r="V24" s="5" t="s">
        <v>3</v>
      </c>
      <c r="W24" s="5" t="s">
        <v>4</v>
      </c>
      <c r="Y24" s="4" t="s">
        <v>47</v>
      </c>
      <c r="Z24" s="5" t="s">
        <v>3</v>
      </c>
      <c r="AA24" s="5" t="s">
        <v>4</v>
      </c>
      <c r="AC24" s="4" t="s">
        <v>47</v>
      </c>
      <c r="AD24" s="5" t="s">
        <v>3</v>
      </c>
      <c r="AE24" s="5" t="s">
        <v>4</v>
      </c>
      <c r="AG24" s="4" t="s">
        <v>47</v>
      </c>
      <c r="AH24" s="5" t="s">
        <v>3</v>
      </c>
      <c r="AI24" s="5" t="s">
        <v>4</v>
      </c>
    </row>
    <row r="25" spans="1:35" ht="18.75" thickTop="1" thickBot="1" x14ac:dyDescent="0.3">
      <c r="A25" s="1" t="s">
        <v>13</v>
      </c>
      <c r="E25" s="1" t="s">
        <v>13</v>
      </c>
      <c r="I25" s="1" t="s">
        <v>13</v>
      </c>
      <c r="M25" s="1" t="s">
        <v>13</v>
      </c>
      <c r="Q25" s="1" t="s">
        <v>13</v>
      </c>
      <c r="U25" s="1" t="s">
        <v>13</v>
      </c>
      <c r="Y25" s="1" t="s">
        <v>13</v>
      </c>
      <c r="AC25" s="1" t="s">
        <v>13</v>
      </c>
      <c r="AG25" s="1" t="s">
        <v>13</v>
      </c>
    </row>
    <row r="26" spans="1:35" ht="30" customHeight="1" thickTop="1" thickBot="1" x14ac:dyDescent="0.3">
      <c r="A26" s="2" t="s">
        <v>49</v>
      </c>
      <c r="B26" s="3" t="s">
        <v>14</v>
      </c>
      <c r="C26" s="3">
        <f>MROUND(B6*0.9,5)</f>
        <v>610</v>
      </c>
      <c r="E26" s="2" t="s">
        <v>49</v>
      </c>
      <c r="F26" s="3" t="s">
        <v>8</v>
      </c>
      <c r="G26" s="3">
        <f>MROUND(B6*0.95,5)</f>
        <v>640</v>
      </c>
      <c r="I26" s="2" t="s">
        <v>49</v>
      </c>
      <c r="J26" s="3" t="s">
        <v>1</v>
      </c>
      <c r="K26" s="3">
        <f>MROUND(B6*0.85,5)</f>
        <v>575</v>
      </c>
      <c r="M26" s="2" t="s">
        <v>49</v>
      </c>
      <c r="N26" s="3" t="s">
        <v>14</v>
      </c>
      <c r="O26" s="3">
        <f>MROUND(B6*0.915,5)</f>
        <v>620</v>
      </c>
      <c r="Q26" s="2" t="s">
        <v>49</v>
      </c>
      <c r="R26" s="3" t="s">
        <v>8</v>
      </c>
      <c r="S26" s="3">
        <f>MROUND(B6*0.965,5)</f>
        <v>650</v>
      </c>
      <c r="U26" s="2" t="s">
        <v>49</v>
      </c>
      <c r="V26" s="3" t="s">
        <v>1</v>
      </c>
      <c r="W26" s="3">
        <f>MROUND(B6*0.865,5)</f>
        <v>585</v>
      </c>
      <c r="Y26" s="2" t="s">
        <v>49</v>
      </c>
      <c r="Z26" s="3" t="s">
        <v>14</v>
      </c>
      <c r="AA26" s="3">
        <f>MROUND(B6*0.93,5)</f>
        <v>630</v>
      </c>
      <c r="AC26" s="2" t="s">
        <v>49</v>
      </c>
      <c r="AD26" s="3" t="s">
        <v>8</v>
      </c>
      <c r="AE26" s="3">
        <f>MROUND(B6*0.98,5)</f>
        <v>660</v>
      </c>
      <c r="AG26" s="2" t="s">
        <v>49</v>
      </c>
      <c r="AH26" s="3" t="s">
        <v>1</v>
      </c>
      <c r="AI26" s="3">
        <f>MROUND(B6*0.88,5)</f>
        <v>595</v>
      </c>
    </row>
    <row r="27" spans="1:35" ht="16.5" thickTop="1" thickBot="1" x14ac:dyDescent="0.3">
      <c r="A27" s="4" t="s">
        <v>49</v>
      </c>
      <c r="B27" s="5" t="s">
        <v>15</v>
      </c>
      <c r="C27" s="5">
        <f>MROUND(B6*0.8,5)</f>
        <v>540</v>
      </c>
      <c r="E27" s="4" t="s">
        <v>49</v>
      </c>
      <c r="F27" s="5" t="s">
        <v>21</v>
      </c>
      <c r="G27" s="5">
        <f>MROUND(B6*0.9,5)</f>
        <v>610</v>
      </c>
      <c r="I27" s="4" t="s">
        <v>49</v>
      </c>
      <c r="J27" s="5" t="s">
        <v>24</v>
      </c>
      <c r="K27" s="5">
        <f>MROUND(B6*0.7,5)</f>
        <v>470</v>
      </c>
      <c r="M27" s="4" t="s">
        <v>49</v>
      </c>
      <c r="N27" s="5" t="s">
        <v>15</v>
      </c>
      <c r="O27" s="5">
        <f>MROUND(B6*0.81,5)</f>
        <v>545</v>
      </c>
      <c r="Q27" s="4" t="s">
        <v>49</v>
      </c>
      <c r="R27" s="5" t="s">
        <v>21</v>
      </c>
      <c r="S27" s="5">
        <f>MROUND(B6*0.91,5)</f>
        <v>615</v>
      </c>
      <c r="U27" s="4" t="s">
        <v>49</v>
      </c>
      <c r="V27" s="5" t="s">
        <v>24</v>
      </c>
      <c r="W27" s="5">
        <f>MROUND(B6*0.71,5)</f>
        <v>480</v>
      </c>
      <c r="Y27" s="4" t="s">
        <v>49</v>
      </c>
      <c r="Z27" s="5" t="s">
        <v>15</v>
      </c>
      <c r="AA27" s="5">
        <f>MROUND(B6*0.82,5)</f>
        <v>555</v>
      </c>
      <c r="AC27" s="4" t="s">
        <v>49</v>
      </c>
      <c r="AD27" s="5" t="s">
        <v>21</v>
      </c>
      <c r="AE27" s="5">
        <f>MROUND(B6*0.93,5)</f>
        <v>630</v>
      </c>
      <c r="AG27" s="4" t="s">
        <v>49</v>
      </c>
      <c r="AH27" s="5" t="s">
        <v>24</v>
      </c>
      <c r="AI27" s="5">
        <f>MROUND(B6*0.72,5)</f>
        <v>485</v>
      </c>
    </row>
    <row r="28" spans="1:35" ht="30" customHeight="1" thickTop="1" thickBot="1" x14ac:dyDescent="0.3">
      <c r="A28" s="6" t="s">
        <v>50</v>
      </c>
      <c r="B28" s="7" t="s">
        <v>3</v>
      </c>
      <c r="C28" s="7" t="s">
        <v>4</v>
      </c>
      <c r="E28" s="6" t="s">
        <v>50</v>
      </c>
      <c r="F28" s="7" t="s">
        <v>3</v>
      </c>
      <c r="G28" s="7" t="s">
        <v>4</v>
      </c>
      <c r="I28" s="6" t="s">
        <v>50</v>
      </c>
      <c r="J28" s="7" t="s">
        <v>3</v>
      </c>
      <c r="K28" s="7" t="s">
        <v>4</v>
      </c>
      <c r="M28" s="6" t="s">
        <v>50</v>
      </c>
      <c r="N28" s="7" t="s">
        <v>3</v>
      </c>
      <c r="O28" s="7" t="s">
        <v>4</v>
      </c>
      <c r="Q28" s="6" t="s">
        <v>50</v>
      </c>
      <c r="R28" s="7" t="s">
        <v>3</v>
      </c>
      <c r="S28" s="7" t="s">
        <v>4</v>
      </c>
      <c r="U28" s="6" t="s">
        <v>50</v>
      </c>
      <c r="V28" s="7" t="s">
        <v>3</v>
      </c>
      <c r="W28" s="7" t="s">
        <v>4</v>
      </c>
      <c r="Y28" s="6" t="s">
        <v>50</v>
      </c>
      <c r="Z28" s="7" t="s">
        <v>3</v>
      </c>
      <c r="AA28" s="7" t="s">
        <v>4</v>
      </c>
      <c r="AC28" s="6" t="s">
        <v>50</v>
      </c>
      <c r="AD28" s="7" t="s">
        <v>3</v>
      </c>
      <c r="AE28" s="7" t="s">
        <v>4</v>
      </c>
      <c r="AG28" s="6" t="s">
        <v>50</v>
      </c>
      <c r="AH28" s="7" t="s">
        <v>3</v>
      </c>
      <c r="AI28" s="7" t="s">
        <v>4</v>
      </c>
    </row>
    <row r="29" spans="1:35" ht="30" customHeight="1" thickTop="1" thickBot="1" x14ac:dyDescent="0.3">
      <c r="A29" s="4" t="s">
        <v>51</v>
      </c>
      <c r="B29" s="5" t="s">
        <v>16</v>
      </c>
      <c r="C29" s="5" t="s">
        <v>4</v>
      </c>
      <c r="E29" s="4" t="s">
        <v>51</v>
      </c>
      <c r="F29" s="5" t="s">
        <v>16</v>
      </c>
      <c r="G29" s="5" t="s">
        <v>4</v>
      </c>
      <c r="I29" s="4" t="s">
        <v>51</v>
      </c>
      <c r="J29" s="5" t="s">
        <v>16</v>
      </c>
      <c r="K29" s="5" t="s">
        <v>4</v>
      </c>
      <c r="M29" s="4" t="s">
        <v>51</v>
      </c>
      <c r="N29" s="5" t="s">
        <v>16</v>
      </c>
      <c r="O29" s="5" t="s">
        <v>4</v>
      </c>
      <c r="Q29" s="4" t="s">
        <v>51</v>
      </c>
      <c r="R29" s="5" t="s">
        <v>16</v>
      </c>
      <c r="S29" s="5" t="s">
        <v>4</v>
      </c>
      <c r="U29" s="4" t="s">
        <v>51</v>
      </c>
      <c r="V29" s="5" t="s">
        <v>16</v>
      </c>
      <c r="W29" s="5" t="s">
        <v>4</v>
      </c>
      <c r="Y29" s="4" t="s">
        <v>51</v>
      </c>
      <c r="Z29" s="5" t="s">
        <v>16</v>
      </c>
      <c r="AA29" s="5" t="s">
        <v>4</v>
      </c>
      <c r="AC29" s="4" t="s">
        <v>51</v>
      </c>
      <c r="AD29" s="5" t="s">
        <v>16</v>
      </c>
      <c r="AE29" s="5" t="s">
        <v>4</v>
      </c>
      <c r="AG29" s="4" t="s">
        <v>51</v>
      </c>
      <c r="AH29" s="5" t="s">
        <v>16</v>
      </c>
      <c r="AI29" s="5" t="s">
        <v>4</v>
      </c>
    </row>
    <row r="30" spans="1:35" ht="30" customHeight="1" thickTop="1" thickBot="1" x14ac:dyDescent="0.3">
      <c r="A30" s="6" t="s">
        <v>53</v>
      </c>
      <c r="B30" s="7" t="s">
        <v>3</v>
      </c>
      <c r="C30" s="7" t="s">
        <v>4</v>
      </c>
      <c r="E30" s="6" t="s">
        <v>53</v>
      </c>
      <c r="F30" s="7" t="s">
        <v>3</v>
      </c>
      <c r="G30" s="7" t="s">
        <v>4</v>
      </c>
      <c r="I30" s="6" t="s">
        <v>53</v>
      </c>
      <c r="J30" s="7" t="s">
        <v>3</v>
      </c>
      <c r="K30" s="7" t="s">
        <v>4</v>
      </c>
      <c r="M30" s="6" t="s">
        <v>53</v>
      </c>
      <c r="N30" s="7" t="s">
        <v>3</v>
      </c>
      <c r="O30" s="7" t="s">
        <v>4</v>
      </c>
      <c r="Q30" s="6" t="s">
        <v>53</v>
      </c>
      <c r="R30" s="7" t="s">
        <v>3</v>
      </c>
      <c r="S30" s="7" t="s">
        <v>4</v>
      </c>
      <c r="U30" s="6" t="s">
        <v>53</v>
      </c>
      <c r="V30" s="7" t="s">
        <v>3</v>
      </c>
      <c r="W30" s="7" t="s">
        <v>4</v>
      </c>
      <c r="Y30" s="6" t="s">
        <v>53</v>
      </c>
      <c r="Z30" s="7" t="s">
        <v>3</v>
      </c>
      <c r="AA30" s="7" t="s">
        <v>4</v>
      </c>
      <c r="AC30" s="6" t="s">
        <v>53</v>
      </c>
      <c r="AD30" s="7" t="s">
        <v>3</v>
      </c>
      <c r="AE30" s="7" t="s">
        <v>4</v>
      </c>
      <c r="AG30" s="6" t="s">
        <v>53</v>
      </c>
      <c r="AH30" s="7" t="s">
        <v>3</v>
      </c>
      <c r="AI30" s="7" t="s">
        <v>4</v>
      </c>
    </row>
    <row r="31" spans="1:35" ht="30" customHeight="1" thickTop="1" thickBot="1" x14ac:dyDescent="0.3">
      <c r="A31" s="4" t="s">
        <v>54</v>
      </c>
      <c r="B31" s="5" t="s">
        <v>3</v>
      </c>
      <c r="C31" s="5" t="s">
        <v>4</v>
      </c>
      <c r="E31" s="4" t="s">
        <v>54</v>
      </c>
      <c r="F31" s="5" t="s">
        <v>3</v>
      </c>
      <c r="G31" s="5" t="s">
        <v>4</v>
      </c>
      <c r="I31" s="4" t="s">
        <v>54</v>
      </c>
      <c r="J31" s="5" t="s">
        <v>3</v>
      </c>
      <c r="K31" s="5" t="s">
        <v>4</v>
      </c>
      <c r="M31" s="4" t="s">
        <v>54</v>
      </c>
      <c r="N31" s="5" t="s">
        <v>3</v>
      </c>
      <c r="O31" s="5" t="s">
        <v>4</v>
      </c>
      <c r="Q31" s="4" t="s">
        <v>54</v>
      </c>
      <c r="R31" s="5" t="s">
        <v>3</v>
      </c>
      <c r="S31" s="5" t="s">
        <v>4</v>
      </c>
      <c r="U31" s="4" t="s">
        <v>54</v>
      </c>
      <c r="V31" s="5" t="s">
        <v>3</v>
      </c>
      <c r="W31" s="5" t="s">
        <v>4</v>
      </c>
      <c r="Y31" s="4" t="s">
        <v>54</v>
      </c>
      <c r="Z31" s="5" t="s">
        <v>3</v>
      </c>
      <c r="AA31" s="5" t="s">
        <v>4</v>
      </c>
      <c r="AC31" s="4" t="s">
        <v>54</v>
      </c>
      <c r="AD31" s="5" t="s">
        <v>3</v>
      </c>
      <c r="AE31" s="5" t="s">
        <v>4</v>
      </c>
      <c r="AG31" s="4" t="s">
        <v>54</v>
      </c>
      <c r="AH31" s="5" t="s">
        <v>3</v>
      </c>
      <c r="AI31" s="5" t="s">
        <v>4</v>
      </c>
    </row>
    <row r="32" spans="1:35" ht="30" customHeight="1" thickTop="1" thickBot="1" x14ac:dyDescent="0.3">
      <c r="A32" s="6" t="s">
        <v>55</v>
      </c>
      <c r="B32" s="7" t="s">
        <v>3</v>
      </c>
      <c r="C32" s="7" t="s">
        <v>4</v>
      </c>
      <c r="E32" s="6" t="s">
        <v>55</v>
      </c>
      <c r="F32" s="7" t="s">
        <v>3</v>
      </c>
      <c r="G32" s="7" t="s">
        <v>4</v>
      </c>
      <c r="I32" s="6" t="s">
        <v>55</v>
      </c>
      <c r="J32" s="7" t="s">
        <v>3</v>
      </c>
      <c r="K32" s="7" t="s">
        <v>4</v>
      </c>
      <c r="M32" s="6" t="s">
        <v>55</v>
      </c>
      <c r="N32" s="7" t="s">
        <v>3</v>
      </c>
      <c r="O32" s="7" t="s">
        <v>4</v>
      </c>
      <c r="Q32" s="6" t="s">
        <v>55</v>
      </c>
      <c r="R32" s="7" t="s">
        <v>3</v>
      </c>
      <c r="S32" s="7" t="s">
        <v>4</v>
      </c>
      <c r="U32" s="6" t="s">
        <v>55</v>
      </c>
      <c r="V32" s="7" t="s">
        <v>3</v>
      </c>
      <c r="W32" s="7" t="s">
        <v>4</v>
      </c>
      <c r="Y32" s="6" t="s">
        <v>55</v>
      </c>
      <c r="Z32" s="7" t="s">
        <v>3</v>
      </c>
      <c r="AA32" s="7" t="s">
        <v>4</v>
      </c>
      <c r="AC32" s="6" t="s">
        <v>55</v>
      </c>
      <c r="AD32" s="7" t="s">
        <v>3</v>
      </c>
      <c r="AE32" s="7" t="s">
        <v>4</v>
      </c>
      <c r="AG32" s="6" t="s">
        <v>55</v>
      </c>
      <c r="AH32" s="7" t="s">
        <v>3</v>
      </c>
      <c r="AI32" s="7" t="s">
        <v>4</v>
      </c>
    </row>
    <row r="33" spans="1:35" ht="46.5" thickTop="1" thickBot="1" x14ac:dyDescent="0.3">
      <c r="A33" s="4" t="s">
        <v>56</v>
      </c>
      <c r="B33" s="5" t="s">
        <v>3</v>
      </c>
      <c r="C33" s="5" t="s">
        <v>4</v>
      </c>
      <c r="E33" s="4" t="s">
        <v>56</v>
      </c>
      <c r="F33" s="5" t="s">
        <v>3</v>
      </c>
      <c r="G33" s="5" t="s">
        <v>4</v>
      </c>
      <c r="I33" s="4" t="s">
        <v>56</v>
      </c>
      <c r="J33" s="5" t="s">
        <v>3</v>
      </c>
      <c r="K33" s="5" t="s">
        <v>4</v>
      </c>
      <c r="M33" s="4" t="s">
        <v>56</v>
      </c>
      <c r="N33" s="5" t="s">
        <v>3</v>
      </c>
      <c r="O33" s="5" t="s">
        <v>4</v>
      </c>
      <c r="Q33" s="4" t="s">
        <v>56</v>
      </c>
      <c r="R33" s="5" t="s">
        <v>3</v>
      </c>
      <c r="S33" s="5" t="s">
        <v>4</v>
      </c>
      <c r="U33" s="4" t="s">
        <v>56</v>
      </c>
      <c r="V33" s="5" t="s">
        <v>3</v>
      </c>
      <c r="W33" s="5" t="s">
        <v>4</v>
      </c>
      <c r="Y33" s="4" t="s">
        <v>56</v>
      </c>
      <c r="Z33" s="5" t="s">
        <v>3</v>
      </c>
      <c r="AA33" s="5" t="s">
        <v>4</v>
      </c>
      <c r="AC33" s="4" t="s">
        <v>56</v>
      </c>
      <c r="AD33" s="5" t="s">
        <v>3</v>
      </c>
      <c r="AE33" s="5" t="s">
        <v>4</v>
      </c>
      <c r="AG33" s="4" t="s">
        <v>56</v>
      </c>
      <c r="AH33" s="5" t="s">
        <v>3</v>
      </c>
      <c r="AI33" s="5" t="s">
        <v>4</v>
      </c>
    </row>
    <row r="34" spans="1:35" ht="28.5" customHeight="1" thickTop="1" thickBot="1" x14ac:dyDescent="0.3">
      <c r="A34" s="13" t="s">
        <v>52</v>
      </c>
      <c r="B34" s="13"/>
      <c r="C34" s="13"/>
      <c r="E34" s="13" t="s">
        <v>23</v>
      </c>
      <c r="F34" s="13"/>
      <c r="G34" s="13"/>
      <c r="I34" s="13" t="s">
        <v>23</v>
      </c>
      <c r="J34" s="13"/>
      <c r="K34" s="13"/>
      <c r="M34" s="13" t="s">
        <v>52</v>
      </c>
      <c r="N34" s="13"/>
      <c r="O34" s="13"/>
      <c r="Q34" s="13" t="s">
        <v>23</v>
      </c>
      <c r="R34" s="13"/>
      <c r="S34" s="13"/>
      <c r="U34" s="11"/>
      <c r="V34" s="12"/>
      <c r="W34" s="12"/>
      <c r="Y34" s="13" t="s">
        <v>52</v>
      </c>
      <c r="Z34" s="13"/>
      <c r="AA34" s="13"/>
      <c r="AC34" s="13" t="s">
        <v>23</v>
      </c>
      <c r="AD34" s="13"/>
      <c r="AE34" s="13"/>
      <c r="AG34" s="11"/>
      <c r="AH34" s="12"/>
      <c r="AI34" s="12"/>
    </row>
    <row r="35" spans="1:35" ht="18.75" thickTop="1" thickBot="1" x14ac:dyDescent="0.3">
      <c r="A35" s="1" t="s">
        <v>37</v>
      </c>
      <c r="E35" s="1" t="s">
        <v>37</v>
      </c>
      <c r="I35" s="1" t="s">
        <v>37</v>
      </c>
      <c r="M35" s="1" t="s">
        <v>37</v>
      </c>
      <c r="Q35" s="1" t="s">
        <v>37</v>
      </c>
      <c r="U35" s="1" t="s">
        <v>37</v>
      </c>
      <c r="Y35" s="1" t="s">
        <v>37</v>
      </c>
      <c r="AC35" s="1" t="s">
        <v>37</v>
      </c>
      <c r="AG35" s="1" t="s">
        <v>37</v>
      </c>
    </row>
    <row r="36" spans="1:35" ht="30" customHeight="1" thickTop="1" thickBot="1" x14ac:dyDescent="0.3">
      <c r="A36" s="2" t="s">
        <v>39</v>
      </c>
      <c r="B36" s="3" t="s">
        <v>14</v>
      </c>
      <c r="C36" s="3">
        <f>MROUND(B4*0.9,5)</f>
        <v>420</v>
      </c>
      <c r="E36" s="2" t="s">
        <v>39</v>
      </c>
      <c r="F36" s="3" t="s">
        <v>1</v>
      </c>
      <c r="G36" s="3">
        <f>MROUND(B4*0.85,5)</f>
        <v>395</v>
      </c>
      <c r="I36" s="2" t="s">
        <v>39</v>
      </c>
      <c r="J36" s="3" t="s">
        <v>8</v>
      </c>
      <c r="K36" s="3">
        <f>MROUND(B4*0.95,5)</f>
        <v>440</v>
      </c>
      <c r="M36" s="2" t="s">
        <v>39</v>
      </c>
      <c r="N36" s="3" t="s">
        <v>14</v>
      </c>
      <c r="O36" s="3">
        <f>MROUND(B4*0.915,5)</f>
        <v>425</v>
      </c>
      <c r="Q36" s="2" t="s">
        <v>39</v>
      </c>
      <c r="R36" s="3" t="s">
        <v>1</v>
      </c>
      <c r="S36" s="3">
        <f>MROUND(B4*0.865,5)</f>
        <v>400</v>
      </c>
      <c r="U36" s="2" t="s">
        <v>39</v>
      </c>
      <c r="V36" s="3" t="s">
        <v>8</v>
      </c>
      <c r="W36" s="3">
        <f>MROUND(B4*0.965,5)</f>
        <v>450</v>
      </c>
      <c r="Y36" s="2" t="s">
        <v>39</v>
      </c>
      <c r="Z36" s="3" t="s">
        <v>14</v>
      </c>
      <c r="AA36" s="3">
        <f>MROUND(B4*0.93,5)</f>
        <v>430</v>
      </c>
      <c r="AC36" s="2" t="s">
        <v>39</v>
      </c>
      <c r="AD36" s="3" t="s">
        <v>1</v>
      </c>
      <c r="AE36" s="3">
        <f>MROUND(B4*0.88,5)</f>
        <v>410</v>
      </c>
      <c r="AG36" s="2" t="s">
        <v>39</v>
      </c>
      <c r="AH36" s="3" t="s">
        <v>8</v>
      </c>
      <c r="AI36" s="3">
        <f>MROUND(B4*0.98,5)</f>
        <v>455</v>
      </c>
    </row>
    <row r="37" spans="1:35" ht="16.5" thickTop="1" thickBot="1" x14ac:dyDescent="0.3">
      <c r="A37" s="4" t="s">
        <v>39</v>
      </c>
      <c r="B37" s="5" t="s">
        <v>17</v>
      </c>
      <c r="C37" s="5">
        <f>MROUND(B4*0.75,5)</f>
        <v>350</v>
      </c>
      <c r="E37" s="4" t="s">
        <v>39</v>
      </c>
      <c r="F37" s="5" t="s">
        <v>2</v>
      </c>
      <c r="G37" s="5">
        <f>MROUND(B4*0.65,5)</f>
        <v>300</v>
      </c>
      <c r="I37" s="4" t="s">
        <v>39</v>
      </c>
      <c r="J37" s="5" t="s">
        <v>9</v>
      </c>
      <c r="K37" s="5">
        <f>MROUND(B4*0.85,5)</f>
        <v>395</v>
      </c>
      <c r="M37" s="4" t="s">
        <v>39</v>
      </c>
      <c r="N37" s="5" t="s">
        <v>17</v>
      </c>
      <c r="O37" s="5">
        <f>MROUND(B4*0.76,5)</f>
        <v>355</v>
      </c>
      <c r="Q37" s="4" t="s">
        <v>39</v>
      </c>
      <c r="R37" s="5" t="s">
        <v>2</v>
      </c>
      <c r="S37" s="5">
        <f>MROUND(B4*0.66,5)</f>
        <v>305</v>
      </c>
      <c r="U37" s="4" t="s">
        <v>39</v>
      </c>
      <c r="V37" s="5" t="s">
        <v>9</v>
      </c>
      <c r="W37" s="5">
        <f>MROUND(B4*0.86,5)</f>
        <v>400</v>
      </c>
      <c r="Y37" s="4" t="s">
        <v>39</v>
      </c>
      <c r="Z37" s="5" t="s">
        <v>17</v>
      </c>
      <c r="AA37" s="5">
        <f>MROUND(B4*0.77,5)</f>
        <v>360</v>
      </c>
      <c r="AC37" s="4" t="s">
        <v>39</v>
      </c>
      <c r="AD37" s="5" t="s">
        <v>2</v>
      </c>
      <c r="AE37" s="5">
        <f>MROUND(B4*0.67,5)</f>
        <v>310</v>
      </c>
      <c r="AG37" s="4" t="s">
        <v>39</v>
      </c>
      <c r="AH37" s="5" t="s">
        <v>9</v>
      </c>
      <c r="AI37" s="5">
        <f>MROUND(B4*0.87,5)</f>
        <v>405</v>
      </c>
    </row>
    <row r="38" spans="1:35" ht="30" customHeight="1" thickTop="1" thickBot="1" x14ac:dyDescent="0.3">
      <c r="A38" s="6" t="s">
        <v>40</v>
      </c>
      <c r="B38" s="7" t="s">
        <v>3</v>
      </c>
      <c r="C38" s="7" t="s">
        <v>4</v>
      </c>
      <c r="E38" s="6" t="s">
        <v>40</v>
      </c>
      <c r="F38" s="7" t="s">
        <v>3</v>
      </c>
      <c r="G38" s="7" t="s">
        <v>4</v>
      </c>
      <c r="I38" s="6" t="s">
        <v>40</v>
      </c>
      <c r="J38" s="7" t="s">
        <v>3</v>
      </c>
      <c r="K38" s="7" t="s">
        <v>4</v>
      </c>
      <c r="M38" s="6" t="s">
        <v>40</v>
      </c>
      <c r="N38" s="7" t="s">
        <v>3</v>
      </c>
      <c r="O38" s="7" t="s">
        <v>4</v>
      </c>
      <c r="Q38" s="6" t="s">
        <v>40</v>
      </c>
      <c r="R38" s="7" t="s">
        <v>3</v>
      </c>
      <c r="S38" s="7" t="s">
        <v>4</v>
      </c>
      <c r="U38" s="6" t="s">
        <v>40</v>
      </c>
      <c r="V38" s="7" t="s">
        <v>3</v>
      </c>
      <c r="W38" s="7" t="s">
        <v>4</v>
      </c>
      <c r="Y38" s="6" t="s">
        <v>40</v>
      </c>
      <c r="Z38" s="7" t="s">
        <v>3</v>
      </c>
      <c r="AA38" s="7" t="s">
        <v>4</v>
      </c>
      <c r="AC38" s="6" t="s">
        <v>40</v>
      </c>
      <c r="AD38" s="7" t="s">
        <v>3</v>
      </c>
      <c r="AE38" s="7" t="s">
        <v>4</v>
      </c>
      <c r="AG38" s="6" t="s">
        <v>40</v>
      </c>
      <c r="AH38" s="7" t="s">
        <v>3</v>
      </c>
      <c r="AI38" s="7" t="s">
        <v>4</v>
      </c>
    </row>
    <row r="39" spans="1:35" ht="44.25" customHeight="1" thickTop="1" thickBot="1" x14ac:dyDescent="0.3">
      <c r="A39" s="4" t="s">
        <v>41</v>
      </c>
      <c r="B39" s="5" t="s">
        <v>5</v>
      </c>
      <c r="C39" s="5" t="s">
        <v>4</v>
      </c>
      <c r="E39" s="4" t="s">
        <v>41</v>
      </c>
      <c r="F39" s="5" t="s">
        <v>5</v>
      </c>
      <c r="G39" s="5" t="s">
        <v>4</v>
      </c>
      <c r="I39" s="4" t="s">
        <v>41</v>
      </c>
      <c r="J39" s="5" t="s">
        <v>5</v>
      </c>
      <c r="K39" s="5" t="s">
        <v>4</v>
      </c>
      <c r="M39" s="4" t="s">
        <v>41</v>
      </c>
      <c r="N39" s="5" t="s">
        <v>5</v>
      </c>
      <c r="O39" s="5" t="s">
        <v>4</v>
      </c>
      <c r="Q39" s="4" t="s">
        <v>41</v>
      </c>
      <c r="R39" s="5" t="s">
        <v>5</v>
      </c>
      <c r="S39" s="5" t="s">
        <v>4</v>
      </c>
      <c r="U39" s="4" t="s">
        <v>41</v>
      </c>
      <c r="V39" s="5" t="s">
        <v>5</v>
      </c>
      <c r="W39" s="5" t="s">
        <v>4</v>
      </c>
      <c r="Y39" s="4" t="s">
        <v>41</v>
      </c>
      <c r="Z39" s="5" t="s">
        <v>5</v>
      </c>
      <c r="AA39" s="5" t="s">
        <v>4</v>
      </c>
      <c r="AC39" s="4" t="s">
        <v>41</v>
      </c>
      <c r="AD39" s="5" t="s">
        <v>5</v>
      </c>
      <c r="AE39" s="5" t="s">
        <v>4</v>
      </c>
      <c r="AG39" s="4" t="s">
        <v>41</v>
      </c>
      <c r="AH39" s="5" t="s">
        <v>5</v>
      </c>
      <c r="AI39" s="5" t="s">
        <v>4</v>
      </c>
    </row>
    <row r="40" spans="1:35" ht="61.5" thickTop="1" thickBot="1" x14ac:dyDescent="0.3">
      <c r="A40" s="6" t="s">
        <v>6</v>
      </c>
      <c r="B40" s="7" t="s">
        <v>3</v>
      </c>
      <c r="C40" s="7" t="s">
        <v>4</v>
      </c>
      <c r="E40" s="6" t="s">
        <v>6</v>
      </c>
      <c r="F40" s="7" t="s">
        <v>3</v>
      </c>
      <c r="G40" s="7" t="s">
        <v>4</v>
      </c>
      <c r="I40" s="6" t="s">
        <v>6</v>
      </c>
      <c r="J40" s="7" t="s">
        <v>3</v>
      </c>
      <c r="K40" s="7" t="s">
        <v>4</v>
      </c>
      <c r="M40" s="6" t="s">
        <v>6</v>
      </c>
      <c r="N40" s="7" t="s">
        <v>3</v>
      </c>
      <c r="O40" s="7" t="s">
        <v>4</v>
      </c>
      <c r="Q40" s="6" t="s">
        <v>6</v>
      </c>
      <c r="R40" s="7" t="s">
        <v>3</v>
      </c>
      <c r="S40" s="7" t="s">
        <v>4</v>
      </c>
      <c r="U40" s="6" t="s">
        <v>6</v>
      </c>
      <c r="V40" s="7" t="s">
        <v>3</v>
      </c>
      <c r="W40" s="7" t="s">
        <v>4</v>
      </c>
      <c r="Y40" s="6" t="s">
        <v>6</v>
      </c>
      <c r="Z40" s="7" t="s">
        <v>3</v>
      </c>
      <c r="AA40" s="7" t="s">
        <v>4</v>
      </c>
      <c r="AC40" s="6" t="s">
        <v>6</v>
      </c>
      <c r="AD40" s="7" t="s">
        <v>3</v>
      </c>
      <c r="AE40" s="7" t="s">
        <v>4</v>
      </c>
      <c r="AG40" s="6" t="s">
        <v>6</v>
      </c>
      <c r="AH40" s="7" t="s">
        <v>3</v>
      </c>
      <c r="AI40" s="7" t="s">
        <v>4</v>
      </c>
    </row>
    <row r="41" spans="1:35" ht="18.75" thickTop="1" thickBot="1" x14ac:dyDescent="0.3">
      <c r="A41" s="1" t="s">
        <v>18</v>
      </c>
      <c r="E41" s="1" t="s">
        <v>18</v>
      </c>
      <c r="I41" s="1" t="s">
        <v>18</v>
      </c>
      <c r="M41" s="1" t="s">
        <v>18</v>
      </c>
      <c r="Q41" s="1" t="s">
        <v>18</v>
      </c>
      <c r="U41" s="1" t="s">
        <v>18</v>
      </c>
      <c r="Y41" s="1" t="s">
        <v>18</v>
      </c>
      <c r="AC41" s="1" t="s">
        <v>18</v>
      </c>
      <c r="AG41" s="1" t="s">
        <v>18</v>
      </c>
    </row>
    <row r="42" spans="1:35" ht="30" customHeight="1" thickTop="1" thickBot="1" x14ac:dyDescent="0.3">
      <c r="A42" s="2" t="s">
        <v>59</v>
      </c>
      <c r="B42" s="3" t="s">
        <v>1</v>
      </c>
      <c r="C42" s="3">
        <f>MROUND(B7*0.85,5)</f>
        <v>175</v>
      </c>
      <c r="E42" s="2" t="s">
        <v>59</v>
      </c>
      <c r="F42" s="3" t="s">
        <v>8</v>
      </c>
      <c r="G42" s="3">
        <f>MROUND(B7*0.95,5)</f>
        <v>195</v>
      </c>
      <c r="I42" s="2" t="s">
        <v>59</v>
      </c>
      <c r="J42" s="3" t="s">
        <v>14</v>
      </c>
      <c r="K42" s="3">
        <f>MROUND(B7*0.9,5)</f>
        <v>185</v>
      </c>
      <c r="M42" s="2" t="s">
        <v>59</v>
      </c>
      <c r="N42" s="3" t="s">
        <v>1</v>
      </c>
      <c r="O42" s="3">
        <f>MROUND(B7*0.865,5)</f>
        <v>175</v>
      </c>
      <c r="Q42" s="2" t="s">
        <v>59</v>
      </c>
      <c r="R42" s="3" t="s">
        <v>8</v>
      </c>
      <c r="S42" s="3">
        <f>MROUND(B7*0.965,5)</f>
        <v>200</v>
      </c>
      <c r="U42" s="2" t="s">
        <v>59</v>
      </c>
      <c r="V42" s="3" t="s">
        <v>14</v>
      </c>
      <c r="W42" s="3">
        <f>MROUND(B7*0.915,5)</f>
        <v>190</v>
      </c>
      <c r="Y42" s="2" t="s">
        <v>59</v>
      </c>
      <c r="Z42" s="3" t="s">
        <v>1</v>
      </c>
      <c r="AA42" s="3">
        <f>MROUND(B7*0.88,5)</f>
        <v>180</v>
      </c>
      <c r="AC42" s="2" t="s">
        <v>59</v>
      </c>
      <c r="AD42" s="3" t="s">
        <v>8</v>
      </c>
      <c r="AE42" s="3">
        <f>MROUND(B7*0.98,5)</f>
        <v>200</v>
      </c>
      <c r="AG42" s="2" t="s">
        <v>59</v>
      </c>
      <c r="AH42" s="3" t="s">
        <v>14</v>
      </c>
      <c r="AI42" s="3">
        <f>MROUND(B7*0.93,5)</f>
        <v>190</v>
      </c>
    </row>
    <row r="43" spans="1:35" ht="16.5" thickTop="1" thickBot="1" x14ac:dyDescent="0.3">
      <c r="A43" s="4" t="s">
        <v>59</v>
      </c>
      <c r="B43" s="5" t="s">
        <v>2</v>
      </c>
      <c r="C43" s="5">
        <f>MROUND(B7*0.675,5)</f>
        <v>140</v>
      </c>
      <c r="E43" s="4" t="s">
        <v>59</v>
      </c>
      <c r="F43" s="5" t="s">
        <v>9</v>
      </c>
      <c r="G43" s="5">
        <f>MROUND(B7*0.875,5)</f>
        <v>180</v>
      </c>
      <c r="I43" s="4" t="s">
        <v>59</v>
      </c>
      <c r="J43" s="5" t="s">
        <v>17</v>
      </c>
      <c r="K43" s="5">
        <f>MROUND(B7*0.775,5)</f>
        <v>160</v>
      </c>
      <c r="M43" s="4" t="s">
        <v>59</v>
      </c>
      <c r="N43" s="5" t="s">
        <v>2</v>
      </c>
      <c r="O43" s="5">
        <f>MROUND(B7*0.685,5)</f>
        <v>140</v>
      </c>
      <c r="Q43" s="4" t="s">
        <v>59</v>
      </c>
      <c r="R43" s="5" t="s">
        <v>9</v>
      </c>
      <c r="S43" s="5">
        <f>MROUND(B7*0.885,5)</f>
        <v>180</v>
      </c>
      <c r="U43" s="4" t="s">
        <v>59</v>
      </c>
      <c r="V43" s="5" t="s">
        <v>17</v>
      </c>
      <c r="W43" s="5">
        <f>MROUND(B7*0.785,5)</f>
        <v>160</v>
      </c>
      <c r="Y43" s="4" t="s">
        <v>59</v>
      </c>
      <c r="Z43" s="5" t="s">
        <v>2</v>
      </c>
      <c r="AA43" s="5">
        <f>MROUND(B7*0.695,5)</f>
        <v>140</v>
      </c>
      <c r="AC43" s="4" t="s">
        <v>59</v>
      </c>
      <c r="AD43" s="5" t="s">
        <v>9</v>
      </c>
      <c r="AE43" s="5">
        <f>MROUND(B7*0.895,5)</f>
        <v>185</v>
      </c>
      <c r="AG43" s="4" t="s">
        <v>59</v>
      </c>
      <c r="AH43" s="5" t="s">
        <v>17</v>
      </c>
      <c r="AI43" s="5">
        <f>MROUND(B7*0.795,5)</f>
        <v>165</v>
      </c>
    </row>
    <row r="44" spans="1:35" ht="30" customHeight="1" thickTop="1" thickBot="1" x14ac:dyDescent="0.3">
      <c r="A44" s="6" t="s">
        <v>57</v>
      </c>
      <c r="B44" s="7" t="s">
        <v>19</v>
      </c>
      <c r="C44" s="7" t="s">
        <v>4</v>
      </c>
      <c r="E44" s="6" t="s">
        <v>57</v>
      </c>
      <c r="F44" s="7" t="s">
        <v>11</v>
      </c>
      <c r="G44" s="7" t="s">
        <v>4</v>
      </c>
      <c r="I44" s="6" t="s">
        <v>57</v>
      </c>
      <c r="J44" s="7" t="s">
        <v>22</v>
      </c>
      <c r="K44" s="7" t="s">
        <v>4</v>
      </c>
      <c r="M44" s="6" t="s">
        <v>57</v>
      </c>
      <c r="N44" s="7" t="s">
        <v>19</v>
      </c>
      <c r="O44" s="7" t="s">
        <v>4</v>
      </c>
      <c r="Q44" s="6" t="s">
        <v>57</v>
      </c>
      <c r="R44" s="7" t="s">
        <v>11</v>
      </c>
      <c r="S44" s="7" t="s">
        <v>4</v>
      </c>
      <c r="U44" s="6" t="s">
        <v>57</v>
      </c>
      <c r="V44" s="7" t="s">
        <v>22</v>
      </c>
      <c r="W44" s="7" t="s">
        <v>4</v>
      </c>
      <c r="Y44" s="6" t="s">
        <v>57</v>
      </c>
      <c r="Z44" s="7" t="s">
        <v>19</v>
      </c>
      <c r="AA44" s="7" t="s">
        <v>4</v>
      </c>
      <c r="AC44" s="6" t="s">
        <v>57</v>
      </c>
      <c r="AD44" s="7" t="s">
        <v>11</v>
      </c>
      <c r="AE44" s="7" t="s">
        <v>4</v>
      </c>
      <c r="AG44" s="6" t="s">
        <v>57</v>
      </c>
      <c r="AH44" s="7" t="s">
        <v>22</v>
      </c>
      <c r="AI44" s="7" t="s">
        <v>4</v>
      </c>
    </row>
    <row r="45" spans="1:35" ht="30" customHeight="1" thickTop="1" thickBot="1" x14ac:dyDescent="0.3">
      <c r="A45" s="4" t="s">
        <v>46</v>
      </c>
      <c r="B45" s="5" t="s">
        <v>3</v>
      </c>
      <c r="C45" s="5" t="s">
        <v>4</v>
      </c>
      <c r="E45" s="4" t="s">
        <v>46</v>
      </c>
      <c r="F45" s="5" t="s">
        <v>3</v>
      </c>
      <c r="G45" s="5" t="s">
        <v>4</v>
      </c>
      <c r="I45" s="4" t="s">
        <v>46</v>
      </c>
      <c r="J45" s="5" t="s">
        <v>3</v>
      </c>
      <c r="K45" s="5" t="s">
        <v>4</v>
      </c>
      <c r="M45" s="4" t="s">
        <v>46</v>
      </c>
      <c r="N45" s="5" t="s">
        <v>3</v>
      </c>
      <c r="O45" s="5" t="s">
        <v>4</v>
      </c>
      <c r="Q45" s="4" t="s">
        <v>46</v>
      </c>
      <c r="R45" s="5" t="s">
        <v>3</v>
      </c>
      <c r="S45" s="5" t="s">
        <v>4</v>
      </c>
      <c r="U45" s="4" t="s">
        <v>46</v>
      </c>
      <c r="V45" s="5" t="s">
        <v>3</v>
      </c>
      <c r="W45" s="5" t="s">
        <v>4</v>
      </c>
      <c r="Y45" s="4" t="s">
        <v>46</v>
      </c>
      <c r="Z45" s="5" t="s">
        <v>3</v>
      </c>
      <c r="AA45" s="5" t="s">
        <v>4</v>
      </c>
      <c r="AC45" s="4" t="s">
        <v>46</v>
      </c>
      <c r="AD45" s="5" t="s">
        <v>3</v>
      </c>
      <c r="AE45" s="5" t="s">
        <v>4</v>
      </c>
      <c r="AG45" s="4" t="s">
        <v>46</v>
      </c>
      <c r="AH45" s="5" t="s">
        <v>3</v>
      </c>
      <c r="AI45" s="5" t="s">
        <v>4</v>
      </c>
    </row>
    <row r="46" spans="1:35" ht="30" customHeight="1" thickTop="1" thickBot="1" x14ac:dyDescent="0.3">
      <c r="A46" s="6" t="s">
        <v>44</v>
      </c>
      <c r="B46" s="7" t="s">
        <v>3</v>
      </c>
      <c r="C46" s="7" t="s">
        <v>4</v>
      </c>
      <c r="E46" s="6" t="s">
        <v>44</v>
      </c>
      <c r="F46" s="7" t="s">
        <v>3</v>
      </c>
      <c r="G46" s="7" t="s">
        <v>4</v>
      </c>
      <c r="I46" s="6" t="s">
        <v>44</v>
      </c>
      <c r="J46" s="7" t="s">
        <v>3</v>
      </c>
      <c r="K46" s="7" t="s">
        <v>4</v>
      </c>
      <c r="M46" s="6" t="s">
        <v>44</v>
      </c>
      <c r="N46" s="7" t="s">
        <v>3</v>
      </c>
      <c r="O46" s="7" t="s">
        <v>4</v>
      </c>
      <c r="Q46" s="6" t="s">
        <v>44</v>
      </c>
      <c r="R46" s="7" t="s">
        <v>3</v>
      </c>
      <c r="S46" s="7" t="s">
        <v>4</v>
      </c>
      <c r="U46" s="6" t="s">
        <v>44</v>
      </c>
      <c r="V46" s="7" t="s">
        <v>3</v>
      </c>
      <c r="W46" s="7" t="s">
        <v>4</v>
      </c>
      <c r="Y46" s="6" t="s">
        <v>44</v>
      </c>
      <c r="Z46" s="7" t="s">
        <v>3</v>
      </c>
      <c r="AA46" s="7" t="s">
        <v>4</v>
      </c>
      <c r="AC46" s="6" t="s">
        <v>44</v>
      </c>
      <c r="AD46" s="7" t="s">
        <v>3</v>
      </c>
      <c r="AE46" s="7" t="s">
        <v>4</v>
      </c>
      <c r="AG46" s="6" t="s">
        <v>44</v>
      </c>
      <c r="AH46" s="7" t="s">
        <v>3</v>
      </c>
      <c r="AI46" s="7" t="s">
        <v>4</v>
      </c>
    </row>
    <row r="47" spans="1:35" ht="31.5" thickTop="1" thickBot="1" x14ac:dyDescent="0.3">
      <c r="A47" s="4" t="s">
        <v>47</v>
      </c>
      <c r="B47" s="5" t="s">
        <v>3</v>
      </c>
      <c r="C47" s="5" t="s">
        <v>4</v>
      </c>
      <c r="E47" s="4" t="s">
        <v>47</v>
      </c>
      <c r="F47" s="5" t="s">
        <v>3</v>
      </c>
      <c r="G47" s="5" t="s">
        <v>4</v>
      </c>
      <c r="I47" s="4" t="s">
        <v>47</v>
      </c>
      <c r="J47" s="5" t="s">
        <v>3</v>
      </c>
      <c r="K47" s="5" t="s">
        <v>4</v>
      </c>
      <c r="M47" s="4" t="s">
        <v>47</v>
      </c>
      <c r="N47" s="5" t="s">
        <v>3</v>
      </c>
      <c r="O47" s="5" t="s">
        <v>4</v>
      </c>
      <c r="Q47" s="4" t="s">
        <v>47</v>
      </c>
      <c r="R47" s="5" t="s">
        <v>3</v>
      </c>
      <c r="S47" s="5" t="s">
        <v>4</v>
      </c>
      <c r="U47" s="4" t="s">
        <v>47</v>
      </c>
      <c r="V47" s="5" t="s">
        <v>3</v>
      </c>
      <c r="W47" s="5" t="s">
        <v>4</v>
      </c>
      <c r="Y47" s="4" t="s">
        <v>47</v>
      </c>
      <c r="Z47" s="5" t="s">
        <v>3</v>
      </c>
      <c r="AA47" s="5" t="s">
        <v>4</v>
      </c>
      <c r="AC47" s="4" t="s">
        <v>47</v>
      </c>
      <c r="AD47" s="5" t="s">
        <v>3</v>
      </c>
      <c r="AE47" s="5" t="s">
        <v>4</v>
      </c>
      <c r="AG47" s="4" t="s">
        <v>47</v>
      </c>
      <c r="AH47" s="5" t="s">
        <v>3</v>
      </c>
      <c r="AI47" s="5" t="s">
        <v>4</v>
      </c>
    </row>
    <row r="48" spans="1:35" ht="30" customHeight="1" thickTop="1" thickBot="1" x14ac:dyDescent="0.3">
      <c r="A48" s="6" t="s">
        <v>12</v>
      </c>
      <c r="B48" s="7" t="s">
        <v>3</v>
      </c>
      <c r="C48" s="7" t="s">
        <v>4</v>
      </c>
      <c r="E48" s="6" t="s">
        <v>12</v>
      </c>
      <c r="F48" s="7" t="s">
        <v>3</v>
      </c>
      <c r="G48" s="7" t="s">
        <v>4</v>
      </c>
      <c r="I48" s="6" t="s">
        <v>12</v>
      </c>
      <c r="J48" s="7" t="s">
        <v>3</v>
      </c>
      <c r="K48" s="7" t="s">
        <v>4</v>
      </c>
      <c r="M48" s="6" t="s">
        <v>12</v>
      </c>
      <c r="N48" s="7" t="s">
        <v>3</v>
      </c>
      <c r="O48" s="7" t="s">
        <v>4</v>
      </c>
      <c r="Q48" s="6" t="s">
        <v>12</v>
      </c>
      <c r="R48" s="7" t="s">
        <v>3</v>
      </c>
      <c r="S48" s="7" t="s">
        <v>4</v>
      </c>
      <c r="U48" s="6" t="s">
        <v>12</v>
      </c>
      <c r="V48" s="7" t="s">
        <v>3</v>
      </c>
      <c r="W48" s="7" t="s">
        <v>4</v>
      </c>
      <c r="Y48" s="6" t="s">
        <v>12</v>
      </c>
      <c r="Z48" s="7" t="s">
        <v>3</v>
      </c>
      <c r="AA48" s="7" t="s">
        <v>4</v>
      </c>
      <c r="AC48" s="6" t="s">
        <v>12</v>
      </c>
      <c r="AD48" s="7" t="s">
        <v>3</v>
      </c>
      <c r="AE48" s="7" t="s">
        <v>4</v>
      </c>
      <c r="AG48" s="6" t="s">
        <v>12</v>
      </c>
      <c r="AH48" s="7" t="s">
        <v>3</v>
      </c>
      <c r="AI48" s="7" t="s">
        <v>4</v>
      </c>
    </row>
    <row r="49" spans="1:35" ht="18.75" thickTop="1" thickBot="1" x14ac:dyDescent="0.3">
      <c r="A49" s="1" t="s">
        <v>20</v>
      </c>
      <c r="E49" s="1" t="s">
        <v>20</v>
      </c>
      <c r="I49" s="1" t="s">
        <v>20</v>
      </c>
      <c r="M49" s="1" t="s">
        <v>20</v>
      </c>
      <c r="Q49" s="1" t="s">
        <v>20</v>
      </c>
      <c r="U49" s="1" t="s">
        <v>20</v>
      </c>
      <c r="Y49" s="1" t="s">
        <v>20</v>
      </c>
      <c r="AC49" s="1" t="s">
        <v>20</v>
      </c>
      <c r="AG49" s="1" t="s">
        <v>20</v>
      </c>
    </row>
    <row r="50" spans="1:35" ht="30" customHeight="1" thickTop="1" thickBot="1" x14ac:dyDescent="0.3">
      <c r="A50" s="2" t="s">
        <v>49</v>
      </c>
      <c r="B50" s="3" t="s">
        <v>8</v>
      </c>
      <c r="C50" s="3">
        <f>MROUND(B6*0.95,5)</f>
        <v>640</v>
      </c>
      <c r="E50" s="2" t="s">
        <v>49</v>
      </c>
      <c r="F50" s="3" t="s">
        <v>1</v>
      </c>
      <c r="G50" s="3">
        <f>MROUND(B6*0.85,5)</f>
        <v>575</v>
      </c>
      <c r="I50" s="2" t="s">
        <v>49</v>
      </c>
      <c r="J50" s="3" t="s">
        <v>14</v>
      </c>
      <c r="K50" s="3">
        <f>MROUND(B6*0.9,5)</f>
        <v>610</v>
      </c>
      <c r="M50" s="2" t="s">
        <v>49</v>
      </c>
      <c r="N50" s="3" t="s">
        <v>8</v>
      </c>
      <c r="O50" s="3">
        <f>MROUND(B6*0.965,5)</f>
        <v>650</v>
      </c>
      <c r="Q50" s="2" t="s">
        <v>49</v>
      </c>
      <c r="R50" s="3" t="s">
        <v>1</v>
      </c>
      <c r="S50" s="3">
        <f>MROUND(B6*0.865,5)</f>
        <v>585</v>
      </c>
      <c r="U50" s="2" t="s">
        <v>49</v>
      </c>
      <c r="V50" s="3" t="s">
        <v>14</v>
      </c>
      <c r="W50" s="3">
        <f>MROUND(B6*0.925,5)</f>
        <v>625</v>
      </c>
      <c r="Y50" s="2" t="s">
        <v>49</v>
      </c>
      <c r="Z50" s="3" t="s">
        <v>8</v>
      </c>
      <c r="AA50" s="3">
        <f>MROUND(B6*0.98,5)</f>
        <v>660</v>
      </c>
      <c r="AC50" s="2" t="s">
        <v>49</v>
      </c>
      <c r="AD50" s="3" t="s">
        <v>1</v>
      </c>
      <c r="AE50" s="3">
        <f>MROUND(B6*0.88,5)</f>
        <v>595</v>
      </c>
      <c r="AG50" s="2" t="s">
        <v>49</v>
      </c>
      <c r="AH50" s="3" t="s">
        <v>14</v>
      </c>
      <c r="AI50" s="3">
        <f>MROUND(B6*0.93,5)</f>
        <v>630</v>
      </c>
    </row>
    <row r="51" spans="1:35" ht="16.5" thickTop="1" thickBot="1" x14ac:dyDescent="0.3">
      <c r="A51" s="4" t="s">
        <v>49</v>
      </c>
      <c r="B51" s="5" t="s">
        <v>21</v>
      </c>
      <c r="C51" s="5">
        <f>MROUND(B6*0.925,5)</f>
        <v>625</v>
      </c>
      <c r="E51" s="4" t="s">
        <v>49</v>
      </c>
      <c r="F51" s="5" t="s">
        <v>24</v>
      </c>
      <c r="G51" s="5">
        <f>MROUND(B6*0.75,5)</f>
        <v>505</v>
      </c>
      <c r="I51" s="4" t="s">
        <v>49</v>
      </c>
      <c r="J51" s="5" t="s">
        <v>15</v>
      </c>
      <c r="K51" s="5">
        <f>MROUND(B6*0.825,5)</f>
        <v>555</v>
      </c>
      <c r="M51" s="4" t="s">
        <v>49</v>
      </c>
      <c r="N51" s="5" t="s">
        <v>21</v>
      </c>
      <c r="O51" s="5">
        <f>MROUND(B6*0.935,5)</f>
        <v>630</v>
      </c>
      <c r="Q51" s="4" t="s">
        <v>49</v>
      </c>
      <c r="R51" s="5" t="s">
        <v>24</v>
      </c>
      <c r="S51" s="5">
        <f>MROUND(B6*0.76,5)</f>
        <v>515</v>
      </c>
      <c r="U51" s="4" t="s">
        <v>49</v>
      </c>
      <c r="V51" s="5" t="s">
        <v>15</v>
      </c>
      <c r="W51" s="5">
        <f>MROUND(B6*0.835,5)</f>
        <v>565</v>
      </c>
      <c r="Y51" s="4" t="s">
        <v>49</v>
      </c>
      <c r="Z51" s="5" t="s">
        <v>21</v>
      </c>
      <c r="AA51" s="5">
        <f>MROUND(B6*0.93,5)</f>
        <v>630</v>
      </c>
      <c r="AC51" s="4" t="s">
        <v>49</v>
      </c>
      <c r="AD51" s="5" t="s">
        <v>24</v>
      </c>
      <c r="AE51" s="5">
        <f>MROUND(B6*0.77,5)</f>
        <v>520</v>
      </c>
      <c r="AG51" s="4" t="s">
        <v>49</v>
      </c>
      <c r="AH51" s="5" t="s">
        <v>15</v>
      </c>
      <c r="AI51" s="5">
        <f>MROUND(B6*0.845,5)</f>
        <v>570</v>
      </c>
    </row>
    <row r="52" spans="1:35" ht="30" customHeight="1" thickTop="1" thickBot="1" x14ac:dyDescent="0.3">
      <c r="A52" s="6" t="s">
        <v>50</v>
      </c>
      <c r="B52" s="7" t="s">
        <v>3</v>
      </c>
      <c r="C52" s="7" t="s">
        <v>4</v>
      </c>
      <c r="E52" s="6" t="s">
        <v>50</v>
      </c>
      <c r="F52" s="7" t="s">
        <v>3</v>
      </c>
      <c r="G52" s="7" t="s">
        <v>4</v>
      </c>
      <c r="I52" s="6" t="s">
        <v>50</v>
      </c>
      <c r="J52" s="7" t="s">
        <v>3</v>
      </c>
      <c r="K52" s="7" t="s">
        <v>4</v>
      </c>
      <c r="M52" s="6" t="s">
        <v>50</v>
      </c>
      <c r="N52" s="7" t="s">
        <v>3</v>
      </c>
      <c r="O52" s="7" t="s">
        <v>4</v>
      </c>
      <c r="Q52" s="6" t="s">
        <v>50</v>
      </c>
      <c r="R52" s="7" t="s">
        <v>3</v>
      </c>
      <c r="S52" s="7" t="s">
        <v>4</v>
      </c>
      <c r="U52" s="6" t="s">
        <v>50</v>
      </c>
      <c r="V52" s="7" t="s">
        <v>3</v>
      </c>
      <c r="W52" s="7" t="s">
        <v>4</v>
      </c>
      <c r="Y52" s="6" t="s">
        <v>50</v>
      </c>
      <c r="Z52" s="7" t="s">
        <v>3</v>
      </c>
      <c r="AA52" s="7" t="s">
        <v>4</v>
      </c>
      <c r="AC52" s="6" t="s">
        <v>50</v>
      </c>
      <c r="AD52" s="7" t="s">
        <v>3</v>
      </c>
      <c r="AE52" s="7" t="s">
        <v>4</v>
      </c>
      <c r="AG52" s="6" t="s">
        <v>50</v>
      </c>
      <c r="AH52" s="7" t="s">
        <v>3</v>
      </c>
      <c r="AI52" s="7" t="s">
        <v>4</v>
      </c>
    </row>
    <row r="53" spans="1:35" ht="30" customHeight="1" thickTop="1" thickBot="1" x14ac:dyDescent="0.3">
      <c r="A53" s="4" t="s">
        <v>51</v>
      </c>
      <c r="B53" s="5" t="s">
        <v>16</v>
      </c>
      <c r="C53" s="5" t="s">
        <v>4</v>
      </c>
      <c r="E53" s="4" t="s">
        <v>51</v>
      </c>
      <c r="F53" s="5" t="s">
        <v>16</v>
      </c>
      <c r="G53" s="5" t="s">
        <v>4</v>
      </c>
      <c r="I53" s="4" t="s">
        <v>51</v>
      </c>
      <c r="J53" s="5" t="s">
        <v>16</v>
      </c>
      <c r="K53" s="5" t="s">
        <v>4</v>
      </c>
      <c r="M53" s="4" t="s">
        <v>51</v>
      </c>
      <c r="N53" s="5" t="s">
        <v>16</v>
      </c>
      <c r="O53" s="5" t="s">
        <v>4</v>
      </c>
      <c r="Q53" s="4" t="s">
        <v>51</v>
      </c>
      <c r="R53" s="5" t="s">
        <v>16</v>
      </c>
      <c r="S53" s="5" t="s">
        <v>4</v>
      </c>
      <c r="U53" s="4" t="s">
        <v>51</v>
      </c>
      <c r="V53" s="5" t="s">
        <v>16</v>
      </c>
      <c r="W53" s="5" t="s">
        <v>4</v>
      </c>
      <c r="Y53" s="4" t="s">
        <v>51</v>
      </c>
      <c r="Z53" s="5" t="s">
        <v>16</v>
      </c>
      <c r="AA53" s="5" t="s">
        <v>4</v>
      </c>
      <c r="AC53" s="4" t="s">
        <v>51</v>
      </c>
      <c r="AD53" s="5" t="s">
        <v>16</v>
      </c>
      <c r="AE53" s="5" t="s">
        <v>4</v>
      </c>
      <c r="AG53" s="4" t="s">
        <v>51</v>
      </c>
      <c r="AH53" s="5" t="s">
        <v>16</v>
      </c>
      <c r="AI53" s="5" t="s">
        <v>4</v>
      </c>
    </row>
    <row r="54" spans="1:35" ht="30" customHeight="1" thickTop="1" thickBot="1" x14ac:dyDescent="0.3">
      <c r="A54" s="6" t="s">
        <v>53</v>
      </c>
      <c r="B54" s="7" t="s">
        <v>3</v>
      </c>
      <c r="C54" s="7" t="s">
        <v>4</v>
      </c>
      <c r="E54" s="6" t="s">
        <v>53</v>
      </c>
      <c r="F54" s="7" t="s">
        <v>3</v>
      </c>
      <c r="G54" s="7" t="s">
        <v>4</v>
      </c>
      <c r="I54" s="6" t="s">
        <v>53</v>
      </c>
      <c r="J54" s="7" t="s">
        <v>3</v>
      </c>
      <c r="K54" s="7" t="s">
        <v>4</v>
      </c>
      <c r="M54" s="6" t="s">
        <v>53</v>
      </c>
      <c r="N54" s="7" t="s">
        <v>3</v>
      </c>
      <c r="O54" s="7" t="s">
        <v>4</v>
      </c>
      <c r="Q54" s="6" t="s">
        <v>53</v>
      </c>
      <c r="R54" s="7" t="s">
        <v>3</v>
      </c>
      <c r="S54" s="7" t="s">
        <v>4</v>
      </c>
      <c r="U54" s="6" t="s">
        <v>53</v>
      </c>
      <c r="V54" s="7" t="s">
        <v>3</v>
      </c>
      <c r="W54" s="7" t="s">
        <v>4</v>
      </c>
      <c r="Y54" s="6" t="s">
        <v>53</v>
      </c>
      <c r="Z54" s="7" t="s">
        <v>3</v>
      </c>
      <c r="AA54" s="7" t="s">
        <v>4</v>
      </c>
      <c r="AC54" s="6" t="s">
        <v>53</v>
      </c>
      <c r="AD54" s="7" t="s">
        <v>3</v>
      </c>
      <c r="AE54" s="7" t="s">
        <v>4</v>
      </c>
      <c r="AG54" s="6" t="s">
        <v>53</v>
      </c>
      <c r="AH54" s="7" t="s">
        <v>3</v>
      </c>
      <c r="AI54" s="7" t="s">
        <v>4</v>
      </c>
    </row>
    <row r="55" spans="1:35" ht="30" customHeight="1" thickTop="1" thickBot="1" x14ac:dyDescent="0.3">
      <c r="A55" s="4" t="s">
        <v>54</v>
      </c>
      <c r="B55" s="5" t="s">
        <v>3</v>
      </c>
      <c r="C55" s="5" t="s">
        <v>4</v>
      </c>
      <c r="E55" s="4" t="s">
        <v>54</v>
      </c>
      <c r="F55" s="5" t="s">
        <v>3</v>
      </c>
      <c r="G55" s="5" t="s">
        <v>4</v>
      </c>
      <c r="I55" s="4" t="s">
        <v>54</v>
      </c>
      <c r="J55" s="5" t="s">
        <v>3</v>
      </c>
      <c r="K55" s="5" t="s">
        <v>4</v>
      </c>
      <c r="M55" s="4" t="s">
        <v>54</v>
      </c>
      <c r="N55" s="5" t="s">
        <v>3</v>
      </c>
      <c r="O55" s="5" t="s">
        <v>4</v>
      </c>
      <c r="Q55" s="4" t="s">
        <v>54</v>
      </c>
      <c r="R55" s="5" t="s">
        <v>3</v>
      </c>
      <c r="S55" s="5" t="s">
        <v>4</v>
      </c>
      <c r="U55" s="4" t="s">
        <v>54</v>
      </c>
      <c r="V55" s="5" t="s">
        <v>3</v>
      </c>
      <c r="W55" s="5" t="s">
        <v>4</v>
      </c>
      <c r="Y55" s="4" t="s">
        <v>54</v>
      </c>
      <c r="Z55" s="5" t="s">
        <v>3</v>
      </c>
      <c r="AA55" s="5" t="s">
        <v>4</v>
      </c>
      <c r="AC55" s="4" t="s">
        <v>54</v>
      </c>
      <c r="AD55" s="5" t="s">
        <v>3</v>
      </c>
      <c r="AE55" s="5" t="s">
        <v>4</v>
      </c>
      <c r="AG55" s="4" t="s">
        <v>54</v>
      </c>
      <c r="AH55" s="5" t="s">
        <v>3</v>
      </c>
      <c r="AI55" s="5" t="s">
        <v>4</v>
      </c>
    </row>
    <row r="56" spans="1:35" ht="30" customHeight="1" thickTop="1" thickBot="1" x14ac:dyDescent="0.3">
      <c r="A56" s="6" t="s">
        <v>55</v>
      </c>
      <c r="B56" s="7" t="s">
        <v>3</v>
      </c>
      <c r="C56" s="7" t="s">
        <v>4</v>
      </c>
      <c r="E56" s="6" t="s">
        <v>55</v>
      </c>
      <c r="F56" s="7" t="s">
        <v>3</v>
      </c>
      <c r="G56" s="7" t="s">
        <v>4</v>
      </c>
      <c r="I56" s="6" t="s">
        <v>55</v>
      </c>
      <c r="J56" s="7" t="s">
        <v>3</v>
      </c>
      <c r="K56" s="7" t="s">
        <v>4</v>
      </c>
      <c r="M56" s="6" t="s">
        <v>55</v>
      </c>
      <c r="N56" s="7" t="s">
        <v>3</v>
      </c>
      <c r="O56" s="7" t="s">
        <v>4</v>
      </c>
      <c r="Q56" s="6" t="s">
        <v>55</v>
      </c>
      <c r="R56" s="7" t="s">
        <v>3</v>
      </c>
      <c r="S56" s="7" t="s">
        <v>4</v>
      </c>
      <c r="U56" s="6" t="s">
        <v>55</v>
      </c>
      <c r="V56" s="7" t="s">
        <v>3</v>
      </c>
      <c r="W56" s="7" t="s">
        <v>4</v>
      </c>
      <c r="Y56" s="6" t="s">
        <v>55</v>
      </c>
      <c r="Z56" s="7" t="s">
        <v>3</v>
      </c>
      <c r="AA56" s="7" t="s">
        <v>4</v>
      </c>
      <c r="AC56" s="6" t="s">
        <v>55</v>
      </c>
      <c r="AD56" s="7" t="s">
        <v>3</v>
      </c>
      <c r="AE56" s="7" t="s">
        <v>4</v>
      </c>
      <c r="AG56" s="6" t="s">
        <v>55</v>
      </c>
      <c r="AH56" s="7" t="s">
        <v>3</v>
      </c>
      <c r="AI56" s="7" t="s">
        <v>4</v>
      </c>
    </row>
    <row r="57" spans="1:35" ht="46.5" thickTop="1" thickBot="1" x14ac:dyDescent="0.3">
      <c r="A57" s="4" t="s">
        <v>56</v>
      </c>
      <c r="B57" s="5" t="s">
        <v>3</v>
      </c>
      <c r="C57" s="5" t="s">
        <v>4</v>
      </c>
      <c r="E57" s="4" t="s">
        <v>56</v>
      </c>
      <c r="F57" s="5" t="s">
        <v>3</v>
      </c>
      <c r="G57" s="5" t="s">
        <v>4</v>
      </c>
      <c r="I57" s="4" t="s">
        <v>56</v>
      </c>
      <c r="J57" s="5" t="s">
        <v>3</v>
      </c>
      <c r="K57" s="5" t="s">
        <v>4</v>
      </c>
      <c r="M57" s="4" t="s">
        <v>56</v>
      </c>
      <c r="N57" s="5" t="s">
        <v>3</v>
      </c>
      <c r="O57" s="5" t="s">
        <v>4</v>
      </c>
      <c r="Q57" s="4" t="s">
        <v>56</v>
      </c>
      <c r="R57" s="5" t="s">
        <v>3</v>
      </c>
      <c r="S57" s="5" t="s">
        <v>4</v>
      </c>
      <c r="U57" s="4" t="s">
        <v>56</v>
      </c>
      <c r="V57" s="5" t="s">
        <v>3</v>
      </c>
      <c r="W57" s="5" t="s">
        <v>4</v>
      </c>
      <c r="Y57" s="4" t="s">
        <v>56</v>
      </c>
      <c r="Z57" s="5" t="s">
        <v>3</v>
      </c>
      <c r="AA57" s="5" t="s">
        <v>4</v>
      </c>
      <c r="AC57" s="4" t="s">
        <v>56</v>
      </c>
      <c r="AD57" s="5" t="s">
        <v>3</v>
      </c>
      <c r="AE57" s="5" t="s">
        <v>4</v>
      </c>
      <c r="AG57" s="4" t="s">
        <v>56</v>
      </c>
      <c r="AH57" s="5" t="s">
        <v>3</v>
      </c>
      <c r="AI57" s="5" t="s">
        <v>4</v>
      </c>
    </row>
    <row r="58" spans="1:35" ht="28.5" customHeight="1" thickTop="1" thickBot="1" x14ac:dyDescent="0.3">
      <c r="A58" s="13" t="s">
        <v>52</v>
      </c>
      <c r="B58" s="13"/>
      <c r="C58" s="13"/>
      <c r="E58" s="13" t="s">
        <v>23</v>
      </c>
      <c r="F58" s="13"/>
      <c r="G58" s="13"/>
      <c r="M58" s="13" t="s">
        <v>52</v>
      </c>
      <c r="N58" s="13"/>
      <c r="O58" s="13"/>
      <c r="Q58" s="13" t="s">
        <v>23</v>
      </c>
      <c r="R58" s="13"/>
      <c r="S58" s="13"/>
      <c r="Y58" s="13" t="s">
        <v>52</v>
      </c>
      <c r="Z58" s="13"/>
      <c r="AA58" s="13"/>
      <c r="AC58" s="13" t="s">
        <v>23</v>
      </c>
      <c r="AD58" s="13"/>
      <c r="AE58" s="13"/>
    </row>
    <row r="59" spans="1:35" ht="15.75" thickTop="1" x14ac:dyDescent="0.25"/>
  </sheetData>
  <mergeCells count="15">
    <mergeCell ref="M34:O34"/>
    <mergeCell ref="M58:O58"/>
    <mergeCell ref="A3:B3"/>
    <mergeCell ref="A1:V1"/>
    <mergeCell ref="A34:C34"/>
    <mergeCell ref="A58:C58"/>
    <mergeCell ref="E34:G34"/>
    <mergeCell ref="E58:G58"/>
    <mergeCell ref="I34:K34"/>
    <mergeCell ref="Q34:S34"/>
    <mergeCell ref="Q58:S58"/>
    <mergeCell ref="Y34:AA34"/>
    <mergeCell ref="Y58:AA58"/>
    <mergeCell ref="AC34:AE34"/>
    <mergeCell ref="AC58:AE58"/>
  </mergeCells>
  <hyperlinks>
    <hyperlink ref="A1" r:id="rId1" xr:uid="{AEED09BE-C318-455A-BDE2-1CB24230675E}"/>
  </hyperlinks>
  <pageMargins left="0.7" right="0.7" top="0.75" bottom="0.75" header="0.3" footer="0.3"/>
  <pageSetup paperSize="9"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Progama DUP David Laid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Kwan</dc:creator>
  <cp:lastModifiedBy>Antonio</cp:lastModifiedBy>
  <dcterms:created xsi:type="dcterms:W3CDTF">2018-02-27T23:40:47Z</dcterms:created>
  <dcterms:modified xsi:type="dcterms:W3CDTF">2021-02-17T17:28:53Z</dcterms:modified>
</cp:coreProperties>
</file>