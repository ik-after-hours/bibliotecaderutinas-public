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x" sheetId="1" r:id="rId4"/>
    <sheet state="visible" name="Prep 1" sheetId="2" r:id="rId5"/>
    <sheet state="visible" name="Prep 2" sheetId="3" r:id="rId6"/>
    <sheet state="visible" name="Prep 3" sheetId="4" r:id="rId7"/>
    <sheet state="visible" name="Comp" sheetId="5" r:id="rId8"/>
  </sheets>
  <definedNames/>
  <calcPr/>
  <extLst>
    <ext uri="GoogleSheetsCustomDataVersion1">
      <go:sheetsCustomData xmlns:go="http://customooxmlschemas.google.com/" r:id="rId9" roundtripDataSignature="AMtx7mg926+tNjtoEcLZ/srCZc/wS2hn+w=="/>
    </ext>
  </extLst>
</workbook>
</file>

<file path=xl/sharedStrings.xml><?xml version="1.0" encoding="utf-8"?>
<sst xmlns="http://schemas.openxmlformats.org/spreadsheetml/2006/main" count="872" uniqueCount="82">
  <si>
    <t>WWW.BIBLIOTECADERUTINAS.COM</t>
  </si>
  <si>
    <t>iNTRODUCIR 1RM</t>
  </si>
  <si>
    <t>Made by ChaseT 2008.05.09</t>
  </si>
  <si>
    <t>SENTADILLA</t>
  </si>
  <si>
    <t>Sheiko Advanced Small Load</t>
  </si>
  <si>
    <t>PRESS DE BANCA</t>
  </si>
  <si>
    <t>PESO MUERTO</t>
  </si>
  <si>
    <t>Download the spreadsheet in order to edit it.</t>
  </si>
  <si>
    <t>Get the official Sheiko mobile app for more.</t>
  </si>
  <si>
    <t>Exclusive /PLG/ content brought to you by trappy-chan ;3</t>
  </si>
  <si>
    <t>How to run the program:</t>
  </si>
  <si>
    <t>Which program to run?</t>
  </si>
  <si>
    <r>
      <rPr>
        <b/>
        <color rgb="FFFF6699"/>
      </rPr>
      <t>Not competing:</t>
    </r>
    <r>
      <t xml:space="preserve"> Run any amount of Prep cycles, then test new 
maxes. Restart.</t>
    </r>
  </si>
  <si>
    <t>Large load:</t>
  </si>
  <si>
    <t>Light to Medium bodyweight (men)
Light to Heavy bodyweight (women)</t>
  </si>
  <si>
    <r>
      <rPr>
        <b/>
        <color rgb="FFFF6699"/>
      </rPr>
      <t>Competing:</t>
    </r>
    <r>
      <t xml:space="preserve"> Run any amount of Prep cycles plus the Comp cycle. 
Adjust the program length so that the last week of the 
Comp cycle ends at the competition.</t>
    </r>
  </si>
  <si>
    <t>Medium load:</t>
  </si>
  <si>
    <t>Medium to Heavy bodyweight (men) 
Heavy to Superheavy bodyweight (women)</t>
  </si>
  <si>
    <t>Small load:</t>
  </si>
  <si>
    <t>Heavy to Superheavy bodyweight (men)</t>
  </si>
  <si>
    <r>
      <rPr>
        <b/>
        <color rgb="FFFF6699"/>
      </rPr>
      <t>Inflating/Deloading:</t>
    </r>
    <r>
      <t xml:space="preserve"> If you feel the weights are too light or heavy, 
adjust your maxes so that you achieve a good moderate difficulty 
that's heavy but allows you to perform every set with perfect technique.
Keep in mind some workouts are intentionally lighter/easier than others.</t>
    </r>
  </si>
  <si>
    <r>
      <rPr>
        <b/>
        <color rgb="FFFF6699"/>
      </rPr>
      <t>Adjusting maxes:</t>
    </r>
    <r>
      <t xml:space="preserve"> If you get a new PR during the program, you can adjust 
your maxes to the new value. However, if the competition is 
in less than 30 days, it is recommended to keep the old maxes instead.</t>
    </r>
  </si>
  <si>
    <t>\/ Click on the sheets below \/</t>
  </si>
  <si>
    <t>Sheiko</t>
  </si>
  <si>
    <t>Prep period 1 (4 weeks)</t>
  </si>
  <si>
    <t>week 1</t>
  </si>
  <si>
    <t>squat</t>
  </si>
  <si>
    <t>bench</t>
  </si>
  <si>
    <t>deadlift</t>
  </si>
  <si>
    <t>week 2</t>
  </si>
  <si>
    <t>week 3</t>
  </si>
  <si>
    <t>week 4</t>
  </si>
  <si>
    <t>1 day (Monday)</t>
  </si>
  <si>
    <t>%</t>
  </si>
  <si>
    <t>reps</t>
  </si>
  <si>
    <t>sets</t>
  </si>
  <si>
    <t>weight</t>
  </si>
  <si>
    <t>50-59</t>
  </si>
  <si>
    <t>60-69</t>
  </si>
  <si>
    <t>70-79</t>
  </si>
  <si>
    <t>80-89</t>
  </si>
  <si>
    <t>90+</t>
  </si>
  <si>
    <t>Squat</t>
  </si>
  <si>
    <t>Bench press</t>
  </si>
  <si>
    <t>Chest muscles</t>
  </si>
  <si>
    <t>Lat Mucles</t>
  </si>
  <si>
    <t>Dips</t>
  </si>
  <si>
    <t>Good morning (standing)</t>
  </si>
  <si>
    <t>Good morning (sitting)</t>
  </si>
  <si>
    <t>3 day (Wednesday)</t>
  </si>
  <si>
    <t>Back Extensions</t>
  </si>
  <si>
    <t>Deadlift (Pause below knees)</t>
  </si>
  <si>
    <t>Deficit deadlift</t>
  </si>
  <si>
    <t>Deadlift up to knees</t>
  </si>
  <si>
    <t>Triceps</t>
  </si>
  <si>
    <t>Deadlift from boxes</t>
  </si>
  <si>
    <t>Leg Ext. + Leg Press (Superset)</t>
  </si>
  <si>
    <t>Lat Muscles</t>
  </si>
  <si>
    <t>5 day (Friday)</t>
  </si>
  <si>
    <t>Abs</t>
  </si>
  <si>
    <t>Lat muscles</t>
  </si>
  <si>
    <t>6 day (Saturday)</t>
  </si>
  <si>
    <t>Deficit Deadlift</t>
  </si>
  <si>
    <t>Board press</t>
  </si>
  <si>
    <t>Incline Bench Press</t>
  </si>
  <si>
    <t>Deadlift (Pause above knees)</t>
  </si>
  <si>
    <t>Closegrip Bench Press</t>
  </si>
  <si>
    <t>Leg Press</t>
  </si>
  <si>
    <t>Prep period 2 (4 weeks)</t>
  </si>
  <si>
    <t>Barbell curls</t>
  </si>
  <si>
    <t>Back extensions</t>
  </si>
  <si>
    <t>Deadlift</t>
  </si>
  <si>
    <t>75% -&gt; 80%</t>
  </si>
  <si>
    <t>Prep period 3 (4 weeks)</t>
  </si>
  <si>
    <t>Press</t>
  </si>
  <si>
    <t>Leg press</t>
  </si>
  <si>
    <t>Comp period (5 weeks)</t>
  </si>
  <si>
    <t>week 5</t>
  </si>
  <si>
    <t>2</t>
  </si>
  <si>
    <t>5-6-7 day</t>
  </si>
  <si>
    <t>Competition</t>
  </si>
  <si>
    <t>Rest</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</si>
</sst>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mo"/>
    </font>
    <font>
      <b/>
      <u/>
      <color rgb="FF1155CC"/>
      <name val="Arial"/>
    </font>
    <font/>
    <font>
      <b/>
      <sz val="10.0"/>
      <color rgb="FFFFFFFF"/>
      <name val="Arimo"/>
    </font>
    <font>
      <sz val="10.0"/>
      <color rgb="FFFFFFFF"/>
      <name val="Arimo"/>
    </font>
    <font>
      <sz val="24.0"/>
      <color rgb="FFFF6699"/>
      <name val="Arimo"/>
    </font>
    <font>
      <b/>
      <color rgb="FFFFFFFF"/>
      <name val="Arimo"/>
    </font>
    <font>
      <color theme="1"/>
      <name val="Arimo"/>
    </font>
    <font>
      <b/>
      <color rgb="FFFF6699"/>
      <name val="Arimo"/>
    </font>
    <font>
      <color theme="1"/>
      <name val="Calibri"/>
    </font>
    <font>
      <b/>
      <sz val="10.0"/>
      <color rgb="FF000000"/>
      <name val="Arimo"/>
    </font>
    <font>
      <sz val="18.0"/>
      <color rgb="FF000000"/>
      <name val="Arial"/>
    </font>
    <font>
      <sz val="10.0"/>
      <color rgb="FF000000"/>
      <name val="Arial"/>
    </font>
    <font>
      <b/>
      <sz val="10.0"/>
      <color rgb="FF000000"/>
      <name val="Arial"/>
    </font>
    <font>
      <b/>
      <sz val="10.0"/>
      <color rgb="FF0000FF"/>
      <name val="Arimo"/>
    </font>
    <font>
      <b/>
      <sz val="12.0"/>
      <color rgb="FF000000"/>
      <name val="Arimo"/>
    </font>
  </fonts>
  <fills count="9">
    <fill>
      <patternFill patternType="none"/>
    </fill>
    <fill>
      <patternFill patternType="lightGray"/>
    </fill>
    <fill>
      <patternFill patternType="solid">
        <fgColor rgb="FFFFFF00"/>
        <bgColor rgb="FFFFFF00"/>
      </patternFill>
    </fill>
    <fill>
      <patternFill patternType="solid">
        <fgColor rgb="FFFF6699"/>
        <bgColor rgb="FFFF6699"/>
      </patternFill>
    </fill>
    <fill>
      <patternFill patternType="solid">
        <fgColor rgb="FF00FF00"/>
        <bgColor rgb="FF00FF00"/>
      </patternFill>
    </fill>
    <fill>
      <patternFill patternType="solid">
        <fgColor rgb="FFCCFFCC"/>
        <bgColor rgb="FFCCFFCC"/>
      </patternFill>
    </fill>
    <fill>
      <patternFill patternType="solid">
        <fgColor rgb="FFFFFF99"/>
        <bgColor rgb="FFFFFF99"/>
      </patternFill>
    </fill>
    <fill>
      <patternFill patternType="solid">
        <fgColor rgb="FFFFCC99"/>
        <bgColor rgb="FFFFCC99"/>
      </patternFill>
    </fill>
    <fill>
      <patternFill patternType="solid">
        <fgColor rgb="FF073763"/>
        <bgColor rgb="FF073763"/>
      </patternFill>
    </fill>
  </fills>
  <borders count="17">
    <border/>
    <border>
      <bottom/>
    </border>
    <border>
      <left/>
      <right/>
      <top/>
      <bottom/>
    </border>
    <border>
      <left/>
      <top/>
      <bottom/>
    </border>
    <border>
      <top/>
      <bottom/>
    </border>
    <border>
      <left style="thin">
        <color rgb="FF3C3C3C"/>
      </left>
      <right style="thin">
        <color rgb="FF3C3C3C"/>
      </right>
      <top style="thin">
        <color rgb="FF3C3C3C"/>
      </top>
      <bottom style="thin">
        <color rgb="FF3C3C3C"/>
      </bottom>
    </border>
    <border>
      <left style="thin">
        <color rgb="FF3C3C3C"/>
      </left>
      <top style="thin">
        <color rgb="FF3C3C3C"/>
      </top>
    </border>
    <border>
      <right style="thin">
        <color rgb="FF3C3C3C"/>
      </right>
      <top style="thin">
        <color rgb="FF3C3C3C"/>
      </top>
    </border>
    <border>
      <left style="thin">
        <color rgb="FF3C3C3C"/>
      </left>
    </border>
    <border>
      <right style="thin">
        <color rgb="FF3C3C3C"/>
      </right>
    </border>
    <border>
      <left style="thin">
        <color rgb="FF3C3C3C"/>
      </left>
      <right style="thin">
        <color rgb="FF3C3C3C"/>
      </right>
      <top style="thin">
        <color rgb="FF3C3C3C"/>
      </top>
    </border>
    <border>
      <left style="thin">
        <color rgb="FF000000"/>
      </left>
      <right style="thin">
        <color rgb="FF000000"/>
      </right>
      <top style="thin">
        <color rgb="FF000000"/>
      </top>
      <bottom style="thin">
        <color rgb="FF000000"/>
      </bottom>
    </border>
    <border>
      <left style="thin">
        <color rgb="FF3C3C3C"/>
      </left>
      <right style="thin">
        <color rgb="FF3C3C3C"/>
      </right>
      <top style="thin">
        <color rgb="FF3C3C3C"/>
      </top>
      <bottom/>
    </border>
    <border>
      <left style="thin">
        <color rgb="FF3C3C3C"/>
      </left>
      <top style="thin">
        <color rgb="FF3C3C3C"/>
      </top>
      <bottom style="thin">
        <color rgb="FF3C3C3C"/>
      </bottom>
    </border>
    <border>
      <right style="thin">
        <color rgb="FF3C3C3C"/>
      </right>
      <top style="thin">
        <color rgb="FF3C3C3C"/>
      </top>
      <bottom style="thin">
        <color rgb="FF3C3C3C"/>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0" fontId="2" numFmtId="0" xfId="0" applyBorder="1" applyFont="1"/>
    <xf borderId="0" fillId="0" fontId="0" numFmtId="0" xfId="0" applyAlignment="1" applyFont="1">
      <alignment shrinkToFit="0" wrapText="0"/>
    </xf>
    <xf borderId="2" fillId="3" fontId="3" numFmtId="0" xfId="0" applyAlignment="1" applyBorder="1" applyFill="1" applyFont="1">
      <alignment readingOrder="0" shrinkToFit="0" wrapText="0"/>
    </xf>
    <xf borderId="2" fillId="3" fontId="4" numFmtId="1" xfId="0" applyAlignment="1" applyBorder="1" applyFont="1" applyNumberFormat="1">
      <alignment shrinkToFit="0" wrapText="0"/>
    </xf>
    <xf borderId="0" fillId="0" fontId="0" numFmtId="1" xfId="0" applyAlignment="1" applyFont="1" applyNumberFormat="1">
      <alignment shrinkToFit="0" wrapText="0"/>
    </xf>
    <xf borderId="0" fillId="0" fontId="0" numFmtId="2" xfId="0" applyAlignment="1" applyFont="1" applyNumberFormat="1">
      <alignment shrinkToFit="0" wrapText="0"/>
    </xf>
    <xf borderId="0" fillId="0" fontId="0" numFmtId="0" xfId="0" applyAlignment="1" applyFont="1">
      <alignment readingOrder="0" shrinkToFit="0" wrapText="0"/>
    </xf>
    <xf borderId="0" fillId="4" fontId="0" numFmtId="1" xfId="0" applyAlignment="1" applyFill="1" applyFont="1" applyNumberFormat="1">
      <alignment shrinkToFit="0" wrapText="0"/>
    </xf>
    <xf borderId="0" fillId="0" fontId="5" numFmtId="1" xfId="0" applyAlignment="1" applyFont="1" applyNumberFormat="1">
      <alignment horizontal="center" shrinkToFit="0" vertical="center" wrapText="0"/>
    </xf>
    <xf borderId="3" fillId="3" fontId="4" numFmtId="1" xfId="0" applyAlignment="1" applyBorder="1" applyFont="1" applyNumberFormat="1">
      <alignment horizontal="center" shrinkToFit="0" wrapText="0"/>
    </xf>
    <xf borderId="4" fillId="0" fontId="2" numFmtId="0" xfId="0" applyBorder="1" applyFont="1"/>
    <xf borderId="0" fillId="0" fontId="0" numFmtId="1" xfId="0" applyAlignment="1" applyFont="1" applyNumberFormat="1">
      <alignment horizontal="center" shrinkToFit="0" wrapText="0"/>
    </xf>
    <xf borderId="0" fillId="3" fontId="4" numFmtId="1" xfId="0" applyAlignment="1" applyFont="1" applyNumberFormat="1">
      <alignment horizontal="center" shrinkToFit="0" wrapText="0"/>
    </xf>
    <xf borderId="0" fillId="3" fontId="6" numFmtId="0" xfId="0" applyAlignment="1" applyFont="1">
      <alignment vertical="bottom"/>
    </xf>
    <xf borderId="0" fillId="3" fontId="7" numFmtId="1" xfId="0" applyAlignment="1" applyFont="1" applyNumberFormat="1">
      <alignment vertical="bottom"/>
    </xf>
    <xf borderId="0" fillId="0" fontId="7" numFmtId="1" xfId="0" applyAlignment="1" applyFont="1" applyNumberFormat="1">
      <alignment vertical="bottom"/>
    </xf>
    <xf borderId="0" fillId="0" fontId="7" numFmtId="0" xfId="0" applyAlignment="1" applyFont="1">
      <alignment vertical="bottom"/>
    </xf>
    <xf borderId="0" fillId="3" fontId="6" numFmtId="0" xfId="0" applyAlignment="1" applyFont="1">
      <alignment horizontal="left" shrinkToFit="0" vertical="bottom" wrapText="0"/>
    </xf>
    <xf borderId="0" fillId="0" fontId="4" numFmtId="0" xfId="0" applyAlignment="1" applyFont="1">
      <alignment horizontal="center" shrinkToFit="0" vertical="center" wrapText="0"/>
    </xf>
    <xf borderId="0" fillId="0" fontId="8" numFmtId="2" xfId="0" applyAlignment="1" applyFont="1" applyNumberFormat="1">
      <alignment horizontal="center" vertical="center"/>
    </xf>
    <xf borderId="0" fillId="0" fontId="7" numFmtId="2" xfId="0" applyAlignment="1" applyFont="1" applyNumberFormat="1">
      <alignment shrinkToFit="0" vertical="center" wrapText="0"/>
    </xf>
    <xf borderId="0" fillId="0" fontId="9" numFmtId="0" xfId="0" applyAlignment="1" applyFont="1">
      <alignment horizontal="center"/>
    </xf>
    <xf borderId="0" fillId="0" fontId="8" numFmtId="2" xfId="0" applyAlignment="1" applyFont="1" applyNumberFormat="1">
      <alignment horizontal="center" shrinkToFit="0" vertical="center" wrapText="0"/>
    </xf>
    <xf borderId="0" fillId="0" fontId="10" numFmtId="0" xfId="0" applyAlignment="1" applyFont="1">
      <alignment horizontal="center" shrinkToFit="0" wrapText="0"/>
    </xf>
    <xf borderId="0" fillId="0" fontId="10" numFmtId="1" xfId="0" applyAlignment="1" applyFont="1" applyNumberFormat="1">
      <alignment horizontal="center" shrinkToFit="0" wrapText="0"/>
    </xf>
    <xf borderId="0" fillId="0" fontId="0" numFmtId="0" xfId="0" applyAlignment="1" applyFont="1">
      <alignment horizontal="center" shrinkToFit="0" wrapText="0"/>
    </xf>
    <xf borderId="0" fillId="0" fontId="10" numFmtId="0" xfId="0" applyAlignment="1" applyFont="1">
      <alignment shrinkToFit="0" wrapText="0"/>
    </xf>
    <xf borderId="0" fillId="0" fontId="11" numFmtId="0" xfId="0" applyAlignment="1" applyFont="1">
      <alignment shrinkToFit="0" wrapText="0"/>
    </xf>
    <xf borderId="0" fillId="0" fontId="12" numFmtId="1" xfId="0" applyAlignment="1" applyFont="1" applyNumberFormat="1">
      <alignment horizontal="center" shrinkToFit="0" wrapText="0"/>
    </xf>
    <xf borderId="0" fillId="0" fontId="12" numFmtId="0" xfId="0" applyAlignment="1" applyFont="1">
      <alignment shrinkToFit="0" wrapText="0"/>
    </xf>
    <xf borderId="0" fillId="0" fontId="12" numFmtId="9" xfId="0" applyAlignment="1" applyFont="1" applyNumberFormat="1">
      <alignment horizontal="center" shrinkToFit="0" wrapText="0"/>
    </xf>
    <xf borderId="0" fillId="0" fontId="13" numFmtId="1" xfId="0" applyAlignment="1" applyFont="1" applyNumberFormat="1">
      <alignment horizontal="center" shrinkToFit="0" wrapText="0"/>
    </xf>
    <xf borderId="0" fillId="0" fontId="10" numFmtId="0" xfId="0" applyAlignment="1" applyFont="1">
      <alignment horizontal="left" shrinkToFit="0" wrapText="0"/>
    </xf>
    <xf borderId="0" fillId="0" fontId="14" numFmtId="1" xfId="0" applyAlignment="1" applyFont="1" applyNumberFormat="1">
      <alignment horizontal="center" shrinkToFit="0" wrapText="0"/>
    </xf>
    <xf borderId="0" fillId="0" fontId="0" numFmtId="9" xfId="0" applyAlignment="1" applyFont="1" applyNumberFormat="1">
      <alignment horizontal="center" shrinkToFit="0" wrapText="0"/>
    </xf>
    <xf borderId="0" fillId="0" fontId="10" numFmtId="9" xfId="0" applyAlignment="1" applyFont="1" applyNumberFormat="1">
      <alignment horizontal="center" shrinkToFit="0" wrapText="0"/>
    </xf>
    <xf borderId="5" fillId="5" fontId="10" numFmtId="0" xfId="0" applyAlignment="1" applyBorder="1" applyFill="1" applyFont="1">
      <alignment shrinkToFit="0" wrapText="0"/>
    </xf>
    <xf borderId="5" fillId="5" fontId="0" numFmtId="0" xfId="0" applyAlignment="1" applyBorder="1" applyFont="1">
      <alignment horizontal="left" shrinkToFit="0" wrapText="0"/>
    </xf>
    <xf borderId="5" fillId="5" fontId="0" numFmtId="9" xfId="0" applyAlignment="1" applyBorder="1" applyFont="1" applyNumberFormat="1">
      <alignment horizontal="center" shrinkToFit="0" wrapText="0"/>
    </xf>
    <xf borderId="5" fillId="5" fontId="0" numFmtId="1" xfId="0" applyAlignment="1" applyBorder="1" applyFont="1" applyNumberFormat="1">
      <alignment horizontal="center" shrinkToFit="0" wrapText="0"/>
    </xf>
    <xf borderId="6" fillId="0" fontId="0" numFmtId="1" xfId="0" applyAlignment="1" applyBorder="1" applyFont="1" applyNumberFormat="1">
      <alignment horizontal="center" shrinkToFit="0" wrapText="0"/>
    </xf>
    <xf borderId="7" fillId="0" fontId="0" numFmtId="1" xfId="0" applyAlignment="1" applyBorder="1" applyFont="1" applyNumberFormat="1">
      <alignment horizontal="center" shrinkToFit="0" wrapText="0"/>
    </xf>
    <xf borderId="7" fillId="0" fontId="0" numFmtId="0" xfId="0" applyAlignment="1" applyBorder="1" applyFont="1">
      <alignment horizontal="center" shrinkToFit="0" wrapText="0"/>
    </xf>
    <xf borderId="5" fillId="6" fontId="10" numFmtId="0" xfId="0" applyAlignment="1" applyBorder="1" applyFill="1" applyFont="1">
      <alignment shrinkToFit="0" wrapText="0"/>
    </xf>
    <xf borderId="5" fillId="6" fontId="0" numFmtId="0" xfId="0" applyAlignment="1" applyBorder="1" applyFont="1">
      <alignment horizontal="left" shrinkToFit="0" wrapText="0"/>
    </xf>
    <xf borderId="5" fillId="6" fontId="0" numFmtId="9" xfId="0" applyAlignment="1" applyBorder="1" applyFont="1" applyNumberFormat="1">
      <alignment horizontal="center" shrinkToFit="0" wrapText="0"/>
    </xf>
    <xf borderId="5" fillId="6" fontId="0" numFmtId="0" xfId="0" applyAlignment="1" applyBorder="1" applyFont="1">
      <alignment horizontal="center" shrinkToFit="0" wrapText="0"/>
    </xf>
    <xf borderId="5" fillId="6" fontId="0" numFmtId="1" xfId="0" applyAlignment="1" applyBorder="1" applyFont="1" applyNumberFormat="1">
      <alignment horizontal="center" shrinkToFit="0" wrapText="0"/>
    </xf>
    <xf borderId="5" fillId="5" fontId="0" numFmtId="0" xfId="0" applyAlignment="1" applyBorder="1" applyFont="1">
      <alignment horizontal="center" shrinkToFit="0" wrapText="0"/>
    </xf>
    <xf borderId="8" fillId="0" fontId="0" numFmtId="1" xfId="0" applyAlignment="1" applyBorder="1" applyFont="1" applyNumberFormat="1">
      <alignment horizontal="center" shrinkToFit="0" wrapText="0"/>
    </xf>
    <xf borderId="9" fillId="0" fontId="0" numFmtId="1" xfId="0" applyAlignment="1" applyBorder="1" applyFont="1" applyNumberFormat="1">
      <alignment horizontal="center" shrinkToFit="0" wrapText="0"/>
    </xf>
    <xf borderId="9" fillId="0" fontId="0" numFmtId="0" xfId="0" applyAlignment="1" applyBorder="1" applyFont="1">
      <alignment horizontal="center" shrinkToFit="0" wrapText="0"/>
    </xf>
    <xf borderId="2" fillId="6" fontId="0" numFmtId="0" xfId="0" applyAlignment="1" applyBorder="1" applyFont="1">
      <alignment shrinkToFit="0" wrapText="0"/>
    </xf>
    <xf borderId="5" fillId="0" fontId="0" numFmtId="1" xfId="0" applyAlignment="1" applyBorder="1" applyFont="1" applyNumberFormat="1">
      <alignment horizontal="center" shrinkToFit="0" wrapText="0"/>
    </xf>
    <xf borderId="5" fillId="0" fontId="10" numFmtId="0" xfId="0" applyAlignment="1" applyBorder="1" applyFont="1">
      <alignment shrinkToFit="0" wrapText="0"/>
    </xf>
    <xf borderId="0" fillId="0" fontId="0" numFmtId="0" xfId="0" applyAlignment="1" applyFont="1">
      <alignment horizontal="left" shrinkToFit="0" wrapText="0"/>
    </xf>
    <xf borderId="5" fillId="0" fontId="0" numFmtId="9" xfId="0" applyAlignment="1" applyBorder="1" applyFont="1" applyNumberFormat="1">
      <alignment horizontal="center" shrinkToFit="0" wrapText="0"/>
    </xf>
    <xf borderId="10" fillId="0" fontId="0" numFmtId="0" xfId="0" applyAlignment="1" applyBorder="1" applyFont="1">
      <alignment horizontal="left" shrinkToFit="0" wrapText="0"/>
    </xf>
    <xf borderId="10" fillId="0" fontId="10" numFmtId="0" xfId="0" applyAlignment="1" applyBorder="1" applyFont="1">
      <alignment shrinkToFit="0" wrapText="0"/>
    </xf>
    <xf borderId="10" fillId="0" fontId="0" numFmtId="9" xfId="0" applyAlignment="1" applyBorder="1" applyFont="1" applyNumberFormat="1">
      <alignment horizontal="center" shrinkToFit="0" wrapText="0"/>
    </xf>
    <xf borderId="10" fillId="0" fontId="0" numFmtId="0" xfId="0" applyAlignment="1" applyBorder="1" applyFont="1">
      <alignment horizontal="center" shrinkToFit="0" wrapText="0"/>
    </xf>
    <xf borderId="10" fillId="0" fontId="0" numFmtId="1" xfId="0" applyAlignment="1" applyBorder="1" applyFont="1" applyNumberFormat="1">
      <alignment horizontal="center" shrinkToFit="0" wrapText="0"/>
    </xf>
    <xf borderId="11" fillId="0" fontId="10" numFmtId="0" xfId="0" applyAlignment="1" applyBorder="1" applyFont="1">
      <alignment shrinkToFit="0" wrapText="0"/>
    </xf>
    <xf borderId="11" fillId="0" fontId="0" numFmtId="0" xfId="0" applyAlignment="1" applyBorder="1" applyFont="1">
      <alignment horizontal="left" shrinkToFit="0" wrapText="0"/>
    </xf>
    <xf borderId="11" fillId="0" fontId="0" numFmtId="9" xfId="0" applyAlignment="1" applyBorder="1" applyFont="1" applyNumberFormat="1">
      <alignment horizontal="center" shrinkToFit="0" wrapText="0"/>
    </xf>
    <xf borderId="11" fillId="0" fontId="0" numFmtId="0" xfId="0" applyAlignment="1" applyBorder="1" applyFont="1">
      <alignment horizontal="center" shrinkToFit="0" wrapText="0"/>
    </xf>
    <xf borderId="11" fillId="0" fontId="0" numFmtId="1" xfId="0" applyAlignment="1" applyBorder="1" applyFont="1" applyNumberFormat="1">
      <alignment horizontal="center" shrinkToFit="0" wrapText="0"/>
    </xf>
    <xf borderId="5" fillId="7" fontId="10" numFmtId="0" xfId="0" applyAlignment="1" applyBorder="1" applyFill="1" applyFont="1">
      <alignment shrinkToFit="0" wrapText="0"/>
    </xf>
    <xf borderId="5" fillId="7" fontId="0" numFmtId="0" xfId="0" applyAlignment="1" applyBorder="1" applyFont="1">
      <alignment horizontal="left" shrinkToFit="0" wrapText="0"/>
    </xf>
    <xf borderId="5" fillId="7" fontId="0" numFmtId="9" xfId="0" applyAlignment="1" applyBorder="1" applyFont="1" applyNumberFormat="1">
      <alignment horizontal="center" shrinkToFit="0" wrapText="0"/>
    </xf>
    <xf borderId="5" fillId="7" fontId="0" numFmtId="1" xfId="0" applyAlignment="1" applyBorder="1" applyFont="1" applyNumberFormat="1">
      <alignment horizontal="center" shrinkToFit="0" wrapText="0"/>
    </xf>
    <xf borderId="5" fillId="7" fontId="0" numFmtId="0" xfId="0" applyAlignment="1" applyBorder="1" applyFont="1">
      <alignment horizontal="center" shrinkToFit="0" wrapText="0"/>
    </xf>
    <xf borderId="12" fillId="7" fontId="10" numFmtId="0" xfId="0" applyAlignment="1" applyBorder="1" applyFont="1">
      <alignment shrinkToFit="0" wrapText="0"/>
    </xf>
    <xf borderId="12" fillId="7" fontId="0" numFmtId="0" xfId="0" applyAlignment="1" applyBorder="1" applyFont="1">
      <alignment horizontal="left" shrinkToFit="0" wrapText="0"/>
    </xf>
    <xf borderId="12" fillId="7" fontId="0" numFmtId="9" xfId="0" applyAlignment="1" applyBorder="1" applyFont="1" applyNumberFormat="1">
      <alignment horizontal="center" shrinkToFit="0" wrapText="0"/>
    </xf>
    <xf borderId="12" fillId="7" fontId="0" numFmtId="0" xfId="0" applyAlignment="1" applyBorder="1" applyFont="1">
      <alignment horizontal="center" shrinkToFit="0" wrapText="0"/>
    </xf>
    <xf borderId="12" fillId="7" fontId="0" numFmtId="1" xfId="0" applyAlignment="1" applyBorder="1" applyFont="1" applyNumberFormat="1">
      <alignment horizontal="center" shrinkToFit="0" wrapText="0"/>
    </xf>
    <xf borderId="5" fillId="0" fontId="0" numFmtId="0" xfId="0" applyAlignment="1" applyBorder="1" applyFont="1">
      <alignment horizontal="center" shrinkToFit="0" wrapText="0"/>
    </xf>
    <xf borderId="5" fillId="0" fontId="0" numFmtId="0" xfId="0" applyAlignment="1" applyBorder="1" applyFont="1">
      <alignment horizontal="left" shrinkToFit="0" wrapText="0"/>
    </xf>
    <xf borderId="13" fillId="0" fontId="0" numFmtId="9" xfId="0" applyAlignment="1" applyBorder="1" applyFont="1" applyNumberFormat="1">
      <alignment horizontal="center" shrinkToFit="0" wrapText="0"/>
    </xf>
    <xf borderId="8" fillId="0" fontId="10" numFmtId="1" xfId="0" applyAlignment="1" applyBorder="1" applyFont="1" applyNumberFormat="1">
      <alignment horizontal="center" shrinkToFit="0" wrapText="0"/>
    </xf>
    <xf borderId="9" fillId="0" fontId="10" numFmtId="1" xfId="0" applyAlignment="1" applyBorder="1" applyFont="1" applyNumberFormat="1">
      <alignment horizontal="center" shrinkToFit="0" wrapText="0"/>
    </xf>
    <xf borderId="0" fillId="0" fontId="10" numFmtId="1" xfId="0" applyAlignment="1" applyFont="1" applyNumberFormat="1">
      <alignment shrinkToFit="0" wrapText="0"/>
    </xf>
    <xf borderId="0" fillId="0" fontId="0" numFmtId="9" xfId="0" applyAlignment="1" applyFont="1" applyNumberFormat="1">
      <alignment shrinkToFit="0" wrapText="0"/>
    </xf>
    <xf borderId="9" fillId="0" fontId="10" numFmtId="0" xfId="0" applyAlignment="1" applyBorder="1" applyFont="1">
      <alignment horizontal="center" shrinkToFit="0" wrapText="0"/>
    </xf>
    <xf borderId="11" fillId="7" fontId="10" numFmtId="0" xfId="0" applyAlignment="1" applyBorder="1" applyFont="1">
      <alignment shrinkToFit="0" wrapText="0"/>
    </xf>
    <xf borderId="11" fillId="7" fontId="0" numFmtId="0" xfId="0" applyAlignment="1" applyBorder="1" applyFont="1">
      <alignment horizontal="left" shrinkToFit="0" wrapText="0"/>
    </xf>
    <xf borderId="11" fillId="7" fontId="0" numFmtId="9" xfId="0" applyAlignment="1" applyBorder="1" applyFont="1" applyNumberFormat="1">
      <alignment horizontal="center" shrinkToFit="0" wrapText="0"/>
    </xf>
    <xf borderId="11" fillId="7" fontId="0" numFmtId="1" xfId="0" applyAlignment="1" applyBorder="1" applyFont="1" applyNumberFormat="1">
      <alignment horizontal="center" shrinkToFit="0" wrapText="0"/>
    </xf>
    <xf borderId="14" fillId="0" fontId="0" numFmtId="1" xfId="0" applyAlignment="1" applyBorder="1" applyFont="1" applyNumberFormat="1">
      <alignment horizontal="center" shrinkToFit="0" wrapText="0"/>
    </xf>
    <xf borderId="15" fillId="0" fontId="0" numFmtId="1" xfId="0" applyAlignment="1" applyBorder="1" applyFont="1" applyNumberFormat="1">
      <alignment horizontal="center" shrinkToFit="0" wrapText="0"/>
    </xf>
    <xf borderId="0" fillId="0" fontId="15" numFmtId="0" xfId="0" applyAlignment="1" applyFont="1">
      <alignment horizontal="center" shrinkToFit="0" wrapText="0"/>
    </xf>
    <xf borderId="0" fillId="0" fontId="12" numFmtId="0" xfId="0" applyAlignment="1" applyFont="1">
      <alignment horizontal="center" shrinkToFit="0" wrapText="0"/>
    </xf>
    <xf borderId="0" fillId="0" fontId="13" numFmtId="49" xfId="0" applyAlignment="1" applyFont="1" applyNumberFormat="1">
      <alignment horizontal="center" shrinkToFit="0" wrapText="0"/>
    </xf>
    <xf borderId="0" fillId="0" fontId="13" numFmtId="0" xfId="0" applyAlignment="1" applyFont="1">
      <alignment horizontal="center" shrinkToFit="0" wrapText="0"/>
    </xf>
    <xf borderId="0" fillId="0" fontId="14" numFmtId="0" xfId="0" applyAlignment="1" applyFont="1">
      <alignment horizontal="left" shrinkToFit="0" wrapText="0"/>
    </xf>
    <xf borderId="0" fillId="0" fontId="0" numFmtId="49" xfId="0" applyAlignment="1" applyFont="1" applyNumberFormat="1">
      <alignment horizontal="center" shrinkToFit="0" wrapText="0"/>
    </xf>
    <xf borderId="0" fillId="0" fontId="10" numFmtId="49" xfId="0" applyAlignment="1" applyFont="1" applyNumberFormat="1">
      <alignment horizontal="center" shrinkToFit="0" wrapText="0"/>
    </xf>
    <xf borderId="0" fillId="0" fontId="0" numFmtId="49" xfId="0" applyAlignment="1" applyFont="1" applyNumberFormat="1">
      <alignment shrinkToFit="0" wrapText="0"/>
    </xf>
    <xf borderId="0" fillId="8" fontId="4" numFmtId="0" xfId="0" applyAlignment="1" applyFill="1" applyFont="1">
      <alignment horizontal="center" shrinkToFit="0" vertical="center" wrapText="0"/>
    </xf>
    <xf borderId="6" fillId="0" fontId="0" numFmtId="9" xfId="0" applyAlignment="1" applyBorder="1" applyFont="1" applyNumberFormat="1">
      <alignment horizontal="center" shrinkToFit="0" wrapText="0"/>
    </xf>
    <xf borderId="16" fillId="0" fontId="10" numFmtId="0" xfId="0" applyAlignment="1" applyBorder="1" applyFont="1">
      <alignment shrinkToFit="0" wrapText="0"/>
    </xf>
    <xf borderId="16" fillId="0" fontId="0" numFmtId="0" xfId="0" applyAlignment="1" applyBorder="1" applyFont="1">
      <alignment horizontal="left" shrinkToFit="0" wrapText="0"/>
    </xf>
    <xf borderId="16" fillId="0" fontId="0" numFmtId="9" xfId="0" applyAlignment="1" applyBorder="1" applyFont="1" applyNumberFormat="1">
      <alignment horizontal="center"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bibliotecaderutinas.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7.0"/>
    <col customWidth="1" min="2" max="5" width="11.43"/>
    <col customWidth="1" min="6" max="6" width="8.57"/>
    <col customWidth="1" min="7" max="10" width="9.0"/>
    <col customWidth="1" min="11" max="11" width="16.0"/>
    <col customWidth="1" min="12" max="13" width="8.57"/>
    <col customWidth="1" min="14" max="14" width="3.14"/>
    <col customWidth="1" min="15" max="25" width="8.57"/>
    <col customWidth="1" hidden="1" min="26" max="26" width="17.29"/>
    <col customWidth="1" min="27" max="36" width="17.14"/>
  </cols>
  <sheetData>
    <row r="1" ht="12.75" customHeight="1">
      <c r="A1" s="1" t="s">
        <v>0</v>
      </c>
      <c r="B1" s="2"/>
      <c r="C1" s="2"/>
      <c r="D1" s="2"/>
      <c r="E1" s="2"/>
      <c r="F1" s="2"/>
      <c r="G1" s="2"/>
      <c r="H1" s="2"/>
      <c r="I1" s="2"/>
      <c r="J1" s="2"/>
      <c r="K1" s="2"/>
      <c r="L1" s="2"/>
      <c r="M1" s="2"/>
      <c r="N1" s="3"/>
      <c r="O1" s="3"/>
      <c r="P1" s="3"/>
      <c r="Q1" s="3"/>
      <c r="R1" s="3"/>
      <c r="S1" s="3"/>
      <c r="T1" s="3"/>
      <c r="U1" s="3"/>
      <c r="V1" s="3"/>
      <c r="W1" s="3"/>
      <c r="X1" s="3"/>
      <c r="Y1" s="3"/>
      <c r="Z1" s="3"/>
      <c r="AA1" s="3"/>
      <c r="AB1" s="3"/>
      <c r="AC1" s="3"/>
      <c r="AD1" s="3"/>
      <c r="AE1" s="3"/>
      <c r="AF1" s="3"/>
      <c r="AG1" s="3"/>
      <c r="AH1" s="3"/>
      <c r="AI1" s="3"/>
      <c r="AJ1" s="3"/>
    </row>
    <row r="2" ht="12.75" customHeight="1">
      <c r="A2" s="4" t="s">
        <v>1</v>
      </c>
      <c r="B2" s="5"/>
      <c r="C2" s="5"/>
      <c r="D2" s="6"/>
      <c r="E2" s="6"/>
      <c r="F2" s="3"/>
      <c r="G2" s="7"/>
      <c r="H2" s="7"/>
      <c r="I2" s="7"/>
      <c r="J2" s="7"/>
      <c r="K2" s="3"/>
      <c r="L2" s="3"/>
      <c r="M2" s="3"/>
      <c r="N2" s="3"/>
      <c r="O2" s="3"/>
      <c r="P2" s="3"/>
      <c r="Q2" s="3"/>
      <c r="R2" s="3"/>
      <c r="S2" s="3"/>
      <c r="T2" s="3"/>
      <c r="U2" s="3"/>
      <c r="V2" s="3"/>
      <c r="W2" s="3"/>
      <c r="X2" s="3"/>
      <c r="Y2" s="3"/>
      <c r="Z2" s="3" t="s">
        <v>2</v>
      </c>
      <c r="AA2" s="3"/>
      <c r="AB2" s="3"/>
      <c r="AC2" s="3"/>
      <c r="AD2" s="3"/>
      <c r="AE2" s="3"/>
      <c r="AF2" s="3"/>
      <c r="AG2" s="3"/>
      <c r="AH2" s="3"/>
      <c r="AI2" s="3"/>
      <c r="AJ2" s="3"/>
    </row>
    <row r="3" ht="12.75" customHeight="1">
      <c r="A3" s="8" t="s">
        <v>3</v>
      </c>
      <c r="B3" s="9">
        <v>100.0</v>
      </c>
      <c r="C3" s="7"/>
      <c r="D3" s="10" t="s">
        <v>4</v>
      </c>
      <c r="L3" s="3"/>
      <c r="M3" s="3"/>
      <c r="N3" s="3"/>
      <c r="O3" s="3"/>
      <c r="P3" s="3"/>
      <c r="Q3" s="3"/>
      <c r="R3" s="3"/>
      <c r="S3" s="3"/>
      <c r="T3" s="3"/>
      <c r="U3" s="3"/>
      <c r="V3" s="3"/>
      <c r="W3" s="3"/>
      <c r="X3" s="3"/>
      <c r="Y3" s="3"/>
      <c r="Z3" s="3"/>
      <c r="AA3" s="3"/>
      <c r="AB3" s="3"/>
      <c r="AC3" s="3"/>
      <c r="AD3" s="3"/>
      <c r="AE3" s="3"/>
      <c r="AF3" s="3"/>
      <c r="AG3" s="3"/>
      <c r="AH3" s="3"/>
      <c r="AI3" s="3"/>
      <c r="AJ3" s="3"/>
    </row>
    <row r="4" ht="12.75" customHeight="1">
      <c r="A4" s="8" t="s">
        <v>5</v>
      </c>
      <c r="B4" s="9">
        <v>100.0</v>
      </c>
      <c r="C4" s="6"/>
      <c r="L4" s="3"/>
      <c r="M4" s="3"/>
      <c r="N4" s="3"/>
      <c r="O4" s="3"/>
      <c r="P4" s="3"/>
      <c r="Q4" s="3"/>
      <c r="R4" s="3"/>
      <c r="S4" s="3"/>
      <c r="T4" s="3"/>
      <c r="U4" s="3"/>
      <c r="V4" s="3"/>
      <c r="W4" s="3"/>
      <c r="X4" s="3"/>
      <c r="Y4" s="3"/>
      <c r="Z4" s="3"/>
      <c r="AA4" s="3"/>
      <c r="AB4" s="3"/>
      <c r="AC4" s="3"/>
      <c r="AD4" s="3"/>
      <c r="AE4" s="3"/>
      <c r="AF4" s="3"/>
      <c r="AG4" s="3"/>
      <c r="AH4" s="3"/>
      <c r="AI4" s="3"/>
      <c r="AJ4" s="3"/>
    </row>
    <row r="5" ht="12.75" customHeight="1">
      <c r="A5" s="8" t="s">
        <v>6</v>
      </c>
      <c r="B5" s="9">
        <v>100.0</v>
      </c>
      <c r="C5" s="6"/>
      <c r="L5" s="3"/>
      <c r="M5" s="3"/>
      <c r="N5" s="3"/>
      <c r="O5" s="3"/>
      <c r="P5" s="3"/>
      <c r="Q5" s="3"/>
      <c r="R5" s="3"/>
      <c r="S5" s="3"/>
      <c r="T5" s="3"/>
      <c r="U5" s="3"/>
      <c r="V5" s="3"/>
      <c r="W5" s="3"/>
      <c r="X5" s="3"/>
      <c r="Y5" s="3"/>
      <c r="Z5" s="3"/>
      <c r="AA5" s="3"/>
      <c r="AB5" s="3"/>
      <c r="AC5" s="3"/>
      <c r="AD5" s="3"/>
      <c r="AE5" s="3"/>
      <c r="AF5" s="3"/>
      <c r="AG5" s="3"/>
      <c r="AH5" s="3"/>
      <c r="AI5" s="3"/>
      <c r="AJ5" s="3"/>
    </row>
    <row r="6" ht="12.75" customHeight="1">
      <c r="A6" s="3"/>
      <c r="B6" s="6"/>
      <c r="C6" s="6"/>
      <c r="L6" s="3"/>
      <c r="M6" s="3"/>
      <c r="N6" s="3"/>
      <c r="O6" s="3"/>
      <c r="P6" s="3"/>
      <c r="Q6" s="3"/>
      <c r="R6" s="3"/>
      <c r="S6" s="3"/>
      <c r="T6" s="3"/>
      <c r="U6" s="3"/>
      <c r="V6" s="3"/>
      <c r="W6" s="3"/>
      <c r="X6" s="3"/>
      <c r="Y6" s="3"/>
      <c r="Z6" s="3"/>
      <c r="AA6" s="3"/>
      <c r="AB6" s="3"/>
      <c r="AC6" s="3"/>
      <c r="AD6" s="3"/>
      <c r="AE6" s="3"/>
      <c r="AF6" s="3"/>
      <c r="AG6" s="3"/>
      <c r="AH6" s="3"/>
      <c r="AI6" s="3"/>
      <c r="AJ6" s="3"/>
    </row>
    <row r="7" ht="12.75" customHeight="1">
      <c r="A7" s="3"/>
      <c r="B7" s="6"/>
      <c r="C7" s="6"/>
      <c r="L7" s="3"/>
      <c r="M7" s="3"/>
      <c r="N7" s="3"/>
      <c r="O7" s="3"/>
      <c r="P7" s="3"/>
      <c r="Q7" s="3"/>
      <c r="R7" s="3"/>
      <c r="S7" s="3"/>
      <c r="T7" s="3"/>
      <c r="U7" s="3"/>
      <c r="V7" s="3"/>
      <c r="W7" s="3"/>
      <c r="X7" s="3"/>
      <c r="Y7" s="3"/>
      <c r="Z7" s="3"/>
      <c r="AA7" s="3"/>
      <c r="AB7" s="3"/>
      <c r="AC7" s="3"/>
      <c r="AD7" s="3"/>
      <c r="AE7" s="3"/>
      <c r="AF7" s="3"/>
      <c r="AG7" s="3"/>
      <c r="AH7" s="3"/>
      <c r="AI7" s="3"/>
      <c r="AJ7" s="3"/>
    </row>
    <row r="8" ht="12.75" customHeight="1">
      <c r="A8" s="3"/>
      <c r="B8" s="6"/>
      <c r="C8" s="6"/>
      <c r="L8" s="3"/>
      <c r="M8" s="3"/>
      <c r="N8" s="3"/>
      <c r="O8" s="3"/>
      <c r="P8" s="3"/>
      <c r="Q8" s="3"/>
      <c r="R8" s="3"/>
      <c r="S8" s="3"/>
      <c r="T8" s="3"/>
      <c r="U8" s="3"/>
      <c r="V8" s="3"/>
      <c r="W8" s="3"/>
      <c r="X8" s="3"/>
      <c r="Y8" s="3"/>
      <c r="Z8" s="3"/>
      <c r="AA8" s="3"/>
      <c r="AB8" s="3"/>
      <c r="AC8" s="3"/>
      <c r="AD8" s="3"/>
      <c r="AE8" s="3"/>
      <c r="AF8" s="3"/>
      <c r="AG8" s="3"/>
      <c r="AH8" s="3"/>
      <c r="AI8" s="3"/>
      <c r="AJ8" s="3"/>
    </row>
    <row r="9" ht="12.75" customHeight="1">
      <c r="A9" s="3"/>
      <c r="B9" s="6"/>
      <c r="C9" s="6"/>
      <c r="L9" s="3"/>
      <c r="M9" s="3"/>
      <c r="N9" s="3"/>
      <c r="O9" s="3"/>
      <c r="P9" s="3"/>
      <c r="Q9" s="3"/>
      <c r="R9" s="3"/>
      <c r="S9" s="3"/>
      <c r="T9" s="3"/>
      <c r="U9" s="3"/>
      <c r="V9" s="3"/>
      <c r="W9" s="3"/>
      <c r="X9" s="3"/>
      <c r="Y9" s="3"/>
      <c r="Z9" s="3"/>
      <c r="AA9" s="3"/>
      <c r="AB9" s="3"/>
      <c r="AC9" s="3"/>
      <c r="AD9" s="3"/>
      <c r="AE9" s="3"/>
      <c r="AF9" s="3"/>
      <c r="AG9" s="3"/>
      <c r="AH9" s="3"/>
      <c r="AI9" s="3"/>
      <c r="AJ9" s="3"/>
    </row>
    <row r="10" ht="12.75" customHeight="1">
      <c r="A10" s="3"/>
      <c r="B10" s="6"/>
      <c r="C10" s="6"/>
      <c r="L10" s="3"/>
      <c r="M10" s="3"/>
      <c r="N10" s="3"/>
      <c r="O10" s="3"/>
      <c r="P10" s="3"/>
      <c r="Q10" s="3"/>
      <c r="R10" s="3"/>
      <c r="S10" s="3"/>
      <c r="T10" s="3"/>
      <c r="U10" s="3"/>
      <c r="V10" s="3"/>
      <c r="W10" s="3"/>
      <c r="X10" s="3"/>
      <c r="Y10" s="3"/>
      <c r="Z10" s="3"/>
      <c r="AA10" s="3"/>
      <c r="AB10" s="3"/>
      <c r="AC10" s="3"/>
      <c r="AD10" s="3"/>
      <c r="AE10" s="3"/>
      <c r="AF10" s="3"/>
      <c r="AG10" s="3"/>
      <c r="AH10" s="3"/>
      <c r="AI10" s="3"/>
      <c r="AJ10" s="3"/>
    </row>
    <row r="11" ht="12.75" customHeight="1">
      <c r="A11" s="3"/>
      <c r="B11" s="6"/>
      <c r="C11" s="6"/>
      <c r="L11" s="3"/>
      <c r="M11" s="3"/>
      <c r="N11" s="3"/>
      <c r="O11" s="3"/>
      <c r="P11" s="3"/>
      <c r="Q11" s="3"/>
      <c r="R11" s="3"/>
      <c r="S11" s="3"/>
      <c r="T11" s="3"/>
      <c r="U11" s="3"/>
      <c r="V11" s="3"/>
      <c r="W11" s="3"/>
      <c r="X11" s="3"/>
      <c r="Y11" s="3"/>
      <c r="Z11" s="3"/>
      <c r="AA11" s="3"/>
      <c r="AB11" s="3"/>
      <c r="AC11" s="3"/>
      <c r="AD11" s="3"/>
      <c r="AE11" s="3"/>
      <c r="AF11" s="3"/>
      <c r="AG11" s="3"/>
      <c r="AH11" s="3"/>
      <c r="AI11" s="3"/>
      <c r="AJ11" s="3"/>
    </row>
    <row r="12" ht="12.75" customHeight="1">
      <c r="A12" s="3"/>
      <c r="B12" s="6"/>
      <c r="C12" s="6"/>
      <c r="D12" s="6"/>
      <c r="E12" s="6"/>
      <c r="F12" s="3"/>
      <c r="G12" s="7"/>
      <c r="H12" s="7"/>
      <c r="I12" s="7"/>
      <c r="J12" s="7"/>
      <c r="K12" s="3"/>
      <c r="L12" s="3"/>
      <c r="M12" s="3"/>
      <c r="N12" s="3"/>
      <c r="O12" s="3"/>
      <c r="P12" s="3"/>
      <c r="Q12" s="3"/>
      <c r="R12" s="3"/>
      <c r="S12" s="3"/>
      <c r="T12" s="3"/>
      <c r="U12" s="3"/>
      <c r="V12" s="3"/>
      <c r="W12" s="3"/>
      <c r="X12" s="3"/>
      <c r="Y12" s="3"/>
      <c r="Z12" s="3"/>
      <c r="AA12" s="3"/>
      <c r="AB12" s="3"/>
      <c r="AC12" s="3"/>
      <c r="AD12" s="3"/>
      <c r="AE12" s="3"/>
      <c r="AF12" s="3"/>
      <c r="AG12" s="3"/>
      <c r="AH12" s="3"/>
      <c r="AI12" s="3"/>
      <c r="AJ12" s="3"/>
    </row>
    <row r="13" ht="12.75" customHeight="1">
      <c r="A13" s="3"/>
      <c r="B13" s="6"/>
      <c r="C13" s="6"/>
      <c r="D13" s="6"/>
      <c r="E13" s="11" t="s">
        <v>7</v>
      </c>
      <c r="F13" s="12"/>
      <c r="G13" s="12"/>
      <c r="H13" s="12"/>
      <c r="I13" s="12"/>
      <c r="J13" s="12"/>
      <c r="K13" s="3"/>
      <c r="L13" s="3"/>
      <c r="M13" s="3"/>
      <c r="N13" s="3"/>
      <c r="O13" s="3"/>
      <c r="P13" s="3"/>
      <c r="Q13" s="3"/>
      <c r="R13" s="3"/>
      <c r="S13" s="3"/>
      <c r="T13" s="3"/>
      <c r="U13" s="3"/>
      <c r="V13" s="3"/>
      <c r="W13" s="3"/>
      <c r="X13" s="3"/>
      <c r="Y13" s="3"/>
      <c r="Z13" s="3"/>
      <c r="AA13" s="3"/>
      <c r="AB13" s="3"/>
      <c r="AC13" s="3"/>
      <c r="AD13" s="3"/>
      <c r="AE13" s="3"/>
      <c r="AF13" s="3"/>
      <c r="AG13" s="3"/>
      <c r="AH13" s="3"/>
      <c r="AI13" s="3"/>
      <c r="AJ13" s="3"/>
    </row>
    <row r="14" ht="12.75" customHeight="1">
      <c r="A14" s="3"/>
      <c r="B14" s="6"/>
      <c r="C14" s="6"/>
      <c r="D14" s="6"/>
      <c r="E14" s="6"/>
      <c r="F14" s="3"/>
      <c r="G14" s="7"/>
      <c r="H14" s="7"/>
      <c r="I14" s="7"/>
      <c r="J14" s="7"/>
      <c r="K14" s="3"/>
      <c r="L14" s="3"/>
      <c r="M14" s="3"/>
      <c r="N14" s="3"/>
      <c r="O14" s="3"/>
      <c r="P14" s="3"/>
      <c r="Q14" s="3"/>
      <c r="R14" s="3"/>
      <c r="S14" s="3"/>
      <c r="T14" s="3"/>
      <c r="U14" s="3"/>
      <c r="V14" s="3"/>
      <c r="W14" s="3"/>
      <c r="X14" s="3"/>
      <c r="Y14" s="3"/>
      <c r="Z14" s="3"/>
      <c r="AA14" s="3"/>
      <c r="AB14" s="3"/>
      <c r="AC14" s="3"/>
      <c r="AD14" s="3"/>
      <c r="AE14" s="3"/>
      <c r="AF14" s="3"/>
      <c r="AG14" s="3"/>
      <c r="AH14" s="3"/>
      <c r="AI14" s="3"/>
      <c r="AJ14" s="3"/>
    </row>
    <row r="15" ht="12.75" customHeight="1">
      <c r="A15" s="3"/>
      <c r="B15" s="6"/>
      <c r="C15" s="6"/>
      <c r="D15" s="6"/>
      <c r="E15" s="13" t="s">
        <v>8</v>
      </c>
      <c r="K15" s="3"/>
      <c r="L15" s="3"/>
      <c r="M15" s="3"/>
      <c r="N15" s="3"/>
      <c r="O15" s="3"/>
      <c r="P15" s="3"/>
      <c r="Q15" s="3"/>
      <c r="R15" s="3"/>
      <c r="S15" s="3"/>
      <c r="T15" s="3"/>
      <c r="U15" s="3"/>
      <c r="V15" s="3"/>
      <c r="W15" s="3"/>
      <c r="X15" s="3"/>
      <c r="Y15" s="3"/>
      <c r="Z15" s="3"/>
      <c r="AA15" s="3"/>
      <c r="AB15" s="3"/>
      <c r="AC15" s="3"/>
      <c r="AD15" s="3"/>
      <c r="AE15" s="3"/>
      <c r="AF15" s="3"/>
      <c r="AG15" s="3"/>
      <c r="AH15" s="3"/>
      <c r="AI15" s="3"/>
      <c r="AJ15" s="3"/>
    </row>
    <row r="16" ht="12.75" customHeight="1">
      <c r="A16" s="3"/>
      <c r="B16" s="6"/>
      <c r="C16" s="6"/>
      <c r="D16" s="6"/>
      <c r="E16" s="6"/>
      <c r="F16" s="3"/>
      <c r="G16" s="7"/>
      <c r="H16" s="7"/>
      <c r="I16" s="7"/>
      <c r="J16" s="7"/>
      <c r="K16" s="3"/>
      <c r="L16" s="3"/>
      <c r="M16" s="3"/>
      <c r="N16" s="3"/>
      <c r="O16" s="3"/>
      <c r="P16" s="3"/>
      <c r="Q16" s="3"/>
      <c r="R16" s="3"/>
      <c r="S16" s="3"/>
      <c r="T16" s="3"/>
      <c r="U16" s="3"/>
      <c r="V16" s="3"/>
      <c r="W16" s="3"/>
      <c r="X16" s="3"/>
      <c r="Y16" s="3"/>
      <c r="Z16" s="3"/>
      <c r="AA16" s="3"/>
      <c r="AB16" s="3"/>
      <c r="AC16" s="3"/>
      <c r="AD16" s="3"/>
      <c r="AE16" s="3"/>
      <c r="AF16" s="3"/>
      <c r="AG16" s="3"/>
      <c r="AH16" s="3"/>
      <c r="AI16" s="3"/>
      <c r="AJ16" s="3"/>
    </row>
    <row r="17" ht="12.75" customHeight="1">
      <c r="A17" s="3"/>
      <c r="B17" s="6"/>
      <c r="C17" s="6"/>
      <c r="D17" s="6"/>
      <c r="E17" s="14" t="s">
        <v>9</v>
      </c>
      <c r="K17" s="3"/>
      <c r="L17" s="3"/>
      <c r="M17" s="3"/>
      <c r="N17" s="3"/>
      <c r="O17" s="3"/>
      <c r="P17" s="3"/>
      <c r="Q17" s="3"/>
      <c r="R17" s="3"/>
      <c r="S17" s="3"/>
      <c r="T17" s="3"/>
      <c r="U17" s="3"/>
      <c r="V17" s="3"/>
      <c r="W17" s="3"/>
      <c r="X17" s="3"/>
      <c r="Y17" s="3"/>
      <c r="Z17" s="3"/>
      <c r="AA17" s="3"/>
      <c r="AB17" s="3"/>
      <c r="AC17" s="3"/>
      <c r="AD17" s="3"/>
      <c r="AE17" s="3"/>
      <c r="AF17" s="3"/>
      <c r="AG17" s="3"/>
      <c r="AH17" s="3"/>
      <c r="AI17" s="3"/>
      <c r="AJ17" s="3"/>
    </row>
    <row r="18" ht="12.75" customHeight="1">
      <c r="A18" s="3"/>
      <c r="B18" s="6"/>
      <c r="C18" s="6"/>
      <c r="D18" s="6"/>
      <c r="E18" s="6"/>
      <c r="F18" s="3"/>
      <c r="G18" s="7"/>
      <c r="H18" s="7"/>
      <c r="I18" s="7"/>
      <c r="J18" s="7"/>
      <c r="K18" s="3"/>
      <c r="L18" s="3"/>
      <c r="M18" s="3"/>
      <c r="N18" s="3"/>
      <c r="O18" s="3"/>
      <c r="P18" s="3"/>
      <c r="Q18" s="3"/>
      <c r="R18" s="3"/>
      <c r="S18" s="3"/>
      <c r="T18" s="3"/>
      <c r="U18" s="3"/>
      <c r="V18" s="3"/>
      <c r="W18" s="3"/>
      <c r="X18" s="3"/>
      <c r="Y18" s="3"/>
      <c r="Z18" s="3"/>
      <c r="AA18" s="3"/>
      <c r="AB18" s="3"/>
      <c r="AC18" s="3"/>
      <c r="AD18" s="3"/>
      <c r="AE18" s="3"/>
      <c r="AF18" s="3"/>
      <c r="AG18" s="3"/>
      <c r="AH18" s="3"/>
      <c r="AI18" s="3"/>
      <c r="AJ18" s="3"/>
    </row>
    <row r="19" ht="12.75" customHeight="1">
      <c r="A19" s="15" t="s">
        <v>10</v>
      </c>
      <c r="B19" s="16"/>
      <c r="C19" s="16"/>
      <c r="D19" s="17"/>
      <c r="E19" s="17"/>
      <c r="F19" s="18"/>
      <c r="G19" s="7"/>
      <c r="H19" s="19" t="s">
        <v>11</v>
      </c>
      <c r="O19" s="3"/>
      <c r="P19" s="3"/>
      <c r="Q19" s="3"/>
      <c r="R19" s="3"/>
      <c r="S19" s="3"/>
      <c r="T19" s="3"/>
      <c r="U19" s="3"/>
      <c r="V19" s="3"/>
      <c r="W19" s="3"/>
      <c r="X19" s="3"/>
      <c r="Y19" s="3"/>
      <c r="Z19" s="3"/>
      <c r="AA19" s="3"/>
      <c r="AB19" s="3"/>
      <c r="AC19" s="3"/>
      <c r="AD19" s="3"/>
      <c r="AE19" s="3"/>
      <c r="AF19" s="3"/>
      <c r="AG19" s="3"/>
      <c r="AH19" s="3"/>
      <c r="AI19" s="3"/>
      <c r="AJ19" s="3"/>
    </row>
    <row r="20" ht="12.75" customHeight="1">
      <c r="A20" s="18" t="s">
        <v>12</v>
      </c>
      <c r="G20" s="20"/>
      <c r="H20" s="21" t="s">
        <v>13</v>
      </c>
      <c r="J20" s="22" t="s">
        <v>14</v>
      </c>
      <c r="O20" s="3"/>
      <c r="P20" s="3"/>
      <c r="Q20" s="3"/>
      <c r="R20" s="3"/>
      <c r="S20" s="3"/>
      <c r="T20" s="3"/>
      <c r="U20" s="3"/>
      <c r="V20" s="3"/>
      <c r="W20" s="3"/>
      <c r="X20" s="3"/>
      <c r="Y20" s="3"/>
      <c r="Z20" s="3"/>
      <c r="AA20" s="3"/>
      <c r="AB20" s="3"/>
      <c r="AC20" s="3"/>
      <c r="AD20" s="3"/>
      <c r="AE20" s="3"/>
      <c r="AF20" s="3"/>
      <c r="AG20" s="3"/>
      <c r="AH20" s="3"/>
      <c r="AI20" s="3"/>
      <c r="AJ20" s="3"/>
    </row>
    <row r="21" ht="12.75" customHeight="1">
      <c r="G21" s="23"/>
      <c r="O21" s="3"/>
      <c r="P21" s="3"/>
      <c r="Q21" s="3"/>
      <c r="R21" s="3"/>
      <c r="S21" s="3"/>
      <c r="T21" s="3"/>
      <c r="U21" s="3"/>
      <c r="V21" s="3"/>
      <c r="W21" s="3"/>
      <c r="X21" s="3"/>
      <c r="Y21" s="3"/>
      <c r="Z21" s="3"/>
      <c r="AA21" s="3"/>
      <c r="AB21" s="3"/>
      <c r="AC21" s="3"/>
      <c r="AD21" s="3"/>
      <c r="AE21" s="3"/>
      <c r="AF21" s="3"/>
      <c r="AG21" s="3"/>
      <c r="AH21" s="3"/>
      <c r="AI21" s="3"/>
      <c r="AJ21" s="3"/>
    </row>
    <row r="22" ht="12.75" customHeight="1">
      <c r="A22" s="18" t="s">
        <v>15</v>
      </c>
      <c r="G22" s="7"/>
      <c r="H22" s="24" t="s">
        <v>16</v>
      </c>
      <c r="J22" s="22" t="s">
        <v>17</v>
      </c>
      <c r="O22" s="3"/>
      <c r="P22" s="3"/>
      <c r="Q22" s="3"/>
      <c r="R22" s="3"/>
      <c r="S22" s="3"/>
      <c r="T22" s="3"/>
      <c r="U22" s="3"/>
      <c r="V22" s="3"/>
      <c r="W22" s="3"/>
      <c r="X22" s="3"/>
      <c r="Y22" s="3"/>
      <c r="Z22" s="3"/>
      <c r="AA22" s="3"/>
      <c r="AB22" s="3"/>
      <c r="AC22" s="3"/>
      <c r="AD22" s="3"/>
      <c r="AE22" s="3"/>
      <c r="AF22" s="3"/>
      <c r="AG22" s="3"/>
      <c r="AH22" s="3"/>
      <c r="AI22" s="3"/>
      <c r="AJ22" s="3"/>
    </row>
    <row r="23" ht="12.75" customHeight="1">
      <c r="G23" s="7"/>
      <c r="O23" s="3"/>
      <c r="P23" s="3"/>
      <c r="Q23" s="3"/>
      <c r="R23" s="3"/>
      <c r="S23" s="3"/>
      <c r="T23" s="3"/>
      <c r="U23" s="3"/>
      <c r="V23" s="3"/>
      <c r="W23" s="3"/>
      <c r="X23" s="3"/>
      <c r="Y23" s="3"/>
      <c r="Z23" s="3"/>
      <c r="AA23" s="3"/>
      <c r="AB23" s="3"/>
      <c r="AC23" s="3"/>
      <c r="AD23" s="3"/>
      <c r="AE23" s="3"/>
      <c r="AF23" s="3"/>
      <c r="AG23" s="3"/>
      <c r="AH23" s="3"/>
      <c r="AI23" s="3"/>
      <c r="AJ23" s="3"/>
    </row>
    <row r="24" ht="12.75" customHeight="1">
      <c r="G24" s="7"/>
      <c r="H24" s="24" t="s">
        <v>18</v>
      </c>
      <c r="J24" s="22" t="s">
        <v>19</v>
      </c>
      <c r="O24" s="3"/>
      <c r="P24" s="3"/>
      <c r="Q24" s="3"/>
      <c r="R24" s="3"/>
      <c r="S24" s="3"/>
      <c r="T24" s="3"/>
      <c r="U24" s="3"/>
      <c r="V24" s="3"/>
      <c r="W24" s="3"/>
      <c r="X24" s="3"/>
      <c r="Y24" s="3"/>
      <c r="Z24" s="3"/>
      <c r="AA24" s="3"/>
      <c r="AB24" s="3"/>
      <c r="AC24" s="3"/>
      <c r="AD24" s="3"/>
      <c r="AE24" s="3"/>
      <c r="AF24" s="3"/>
      <c r="AG24" s="3"/>
      <c r="AH24" s="3"/>
      <c r="AI24" s="3"/>
      <c r="AJ24" s="3"/>
    </row>
    <row r="25" ht="12.75" customHeight="1">
      <c r="A25" s="18" t="s">
        <v>20</v>
      </c>
      <c r="G25" s="7"/>
      <c r="O25" s="3"/>
      <c r="P25" s="3"/>
      <c r="Q25" s="3"/>
      <c r="R25" s="3"/>
      <c r="S25" s="3"/>
      <c r="T25" s="3"/>
      <c r="U25" s="3"/>
      <c r="V25" s="3"/>
      <c r="W25" s="3"/>
      <c r="X25" s="3"/>
      <c r="Y25" s="3"/>
      <c r="Z25" s="3"/>
      <c r="AA25" s="3"/>
      <c r="AB25" s="3"/>
      <c r="AC25" s="3"/>
      <c r="AD25" s="3"/>
      <c r="AE25" s="3"/>
      <c r="AF25" s="3"/>
      <c r="AG25" s="3"/>
      <c r="AH25" s="3"/>
      <c r="AI25" s="3"/>
      <c r="AJ25" s="3"/>
    </row>
    <row r="26" ht="12.75" customHeight="1">
      <c r="G26" s="7"/>
      <c r="H26" s="7"/>
      <c r="I26" s="7"/>
      <c r="J26" s="7"/>
      <c r="K26" s="3"/>
      <c r="L26" s="3"/>
      <c r="M26" s="3"/>
      <c r="N26" s="3"/>
      <c r="O26" s="3"/>
      <c r="P26" s="3"/>
      <c r="Q26" s="3"/>
      <c r="R26" s="3"/>
      <c r="S26" s="3"/>
      <c r="T26" s="3"/>
      <c r="U26" s="3"/>
      <c r="V26" s="3"/>
      <c r="W26" s="3"/>
      <c r="X26" s="3"/>
      <c r="Y26" s="3"/>
      <c r="Z26" s="3"/>
      <c r="AA26" s="3"/>
      <c r="AB26" s="3"/>
      <c r="AC26" s="3"/>
      <c r="AD26" s="3"/>
      <c r="AE26" s="3"/>
      <c r="AF26" s="3"/>
      <c r="AG26" s="3"/>
      <c r="AH26" s="3"/>
      <c r="AI26" s="3"/>
      <c r="AJ26" s="3"/>
    </row>
    <row r="27" ht="12.75" customHeight="1">
      <c r="G27" s="7"/>
      <c r="H27" s="7"/>
      <c r="I27" s="7"/>
      <c r="J27" s="7"/>
      <c r="K27" s="3"/>
      <c r="L27" s="3"/>
      <c r="M27" s="3"/>
      <c r="N27" s="3"/>
      <c r="O27" s="3"/>
      <c r="P27" s="3"/>
      <c r="Q27" s="3"/>
      <c r="R27" s="3"/>
      <c r="S27" s="3"/>
      <c r="T27" s="3"/>
      <c r="U27" s="3"/>
      <c r="V27" s="3"/>
      <c r="W27" s="3"/>
      <c r="X27" s="3"/>
      <c r="Y27" s="3"/>
      <c r="Z27" s="3"/>
      <c r="AA27" s="3"/>
      <c r="AB27" s="3"/>
      <c r="AC27" s="3"/>
      <c r="AD27" s="3"/>
      <c r="AE27" s="3"/>
      <c r="AF27" s="3"/>
      <c r="AG27" s="3"/>
      <c r="AH27" s="3"/>
      <c r="AI27" s="3"/>
      <c r="AJ27" s="3"/>
    </row>
    <row r="28" ht="12.75" customHeight="1">
      <c r="G28" s="7"/>
      <c r="H28" s="7"/>
      <c r="I28" s="7"/>
      <c r="J28" s="7"/>
      <c r="K28" s="3"/>
      <c r="L28" s="3"/>
      <c r="M28" s="3"/>
      <c r="N28" s="3"/>
      <c r="O28" s="3"/>
      <c r="P28" s="3"/>
      <c r="Q28" s="3"/>
      <c r="R28" s="3"/>
      <c r="S28" s="3"/>
      <c r="T28" s="3"/>
      <c r="U28" s="3"/>
      <c r="V28" s="3"/>
      <c r="W28" s="3"/>
      <c r="X28" s="3"/>
      <c r="Y28" s="3"/>
      <c r="Z28" s="3"/>
      <c r="AA28" s="3"/>
      <c r="AB28" s="3"/>
      <c r="AC28" s="3"/>
      <c r="AD28" s="3"/>
      <c r="AE28" s="3"/>
      <c r="AF28" s="3"/>
      <c r="AG28" s="3"/>
      <c r="AH28" s="3"/>
      <c r="AI28" s="3"/>
      <c r="AJ28" s="3"/>
    </row>
    <row r="29" ht="12.75" customHeight="1">
      <c r="A29" s="18" t="s">
        <v>21</v>
      </c>
      <c r="G29" s="7"/>
      <c r="H29" s="7"/>
      <c r="I29" s="7"/>
      <c r="J29" s="7"/>
      <c r="K29" s="3"/>
      <c r="L29" s="3"/>
      <c r="M29" s="3"/>
      <c r="N29" s="3"/>
      <c r="O29" s="3"/>
      <c r="P29" s="3"/>
      <c r="Q29" s="3"/>
      <c r="R29" s="3"/>
      <c r="S29" s="3"/>
      <c r="T29" s="3"/>
      <c r="U29" s="3"/>
      <c r="V29" s="3"/>
      <c r="W29" s="3"/>
      <c r="X29" s="3"/>
      <c r="Y29" s="3"/>
      <c r="Z29" s="3"/>
      <c r="AA29" s="3"/>
      <c r="AB29" s="3"/>
      <c r="AC29" s="3"/>
      <c r="AD29" s="3"/>
      <c r="AE29" s="3"/>
      <c r="AF29" s="3"/>
      <c r="AG29" s="3"/>
      <c r="AH29" s="3"/>
      <c r="AI29" s="3"/>
      <c r="AJ29" s="3"/>
    </row>
    <row r="30" ht="12.75" customHeight="1">
      <c r="G30" s="7"/>
      <c r="H30" s="7"/>
      <c r="I30" s="7"/>
      <c r="J30" s="7"/>
      <c r="K30" s="3"/>
      <c r="L30" s="3"/>
      <c r="M30" s="3"/>
      <c r="N30" s="3"/>
      <c r="O30" s="3"/>
      <c r="P30" s="3"/>
      <c r="Q30" s="3"/>
      <c r="R30" s="3"/>
      <c r="S30" s="3"/>
      <c r="T30" s="3"/>
      <c r="U30" s="3"/>
      <c r="V30" s="3"/>
      <c r="W30" s="3"/>
      <c r="X30" s="3"/>
      <c r="Y30" s="3"/>
      <c r="Z30" s="3"/>
      <c r="AA30" s="3"/>
      <c r="AB30" s="3"/>
      <c r="AC30" s="3"/>
      <c r="AD30" s="3"/>
      <c r="AE30" s="3"/>
      <c r="AF30" s="3"/>
      <c r="AG30" s="3"/>
      <c r="AH30" s="3"/>
      <c r="AI30" s="3"/>
      <c r="AJ30" s="3"/>
    </row>
    <row r="31" ht="12.75" customHeight="1">
      <c r="G31" s="7"/>
      <c r="H31" s="7"/>
      <c r="I31" s="7"/>
      <c r="J31" s="7"/>
      <c r="K31" s="3"/>
      <c r="L31" s="3"/>
      <c r="M31" s="3"/>
      <c r="N31" s="3"/>
      <c r="O31" s="3"/>
      <c r="P31" s="3"/>
      <c r="Q31" s="3"/>
      <c r="R31" s="3"/>
      <c r="S31" s="3"/>
      <c r="T31" s="3"/>
      <c r="U31" s="3"/>
      <c r="V31" s="3"/>
      <c r="W31" s="3"/>
      <c r="X31" s="3"/>
      <c r="Y31" s="3"/>
      <c r="Z31" s="3"/>
      <c r="AA31" s="3"/>
      <c r="AB31" s="3"/>
      <c r="AC31" s="3"/>
      <c r="AD31" s="3"/>
      <c r="AE31" s="3"/>
      <c r="AF31" s="3"/>
      <c r="AG31" s="3"/>
      <c r="AH31" s="3"/>
      <c r="AI31" s="3"/>
      <c r="AJ31" s="3"/>
    </row>
    <row r="32" ht="12.75" customHeight="1">
      <c r="A32" s="3"/>
      <c r="B32" s="6"/>
      <c r="C32" s="6"/>
      <c r="D32" s="6"/>
      <c r="E32" s="6"/>
      <c r="F32" s="3"/>
      <c r="G32" s="7"/>
      <c r="H32" s="7"/>
      <c r="I32" s="7"/>
      <c r="J32" s="7"/>
      <c r="K32" s="3"/>
      <c r="L32" s="3"/>
      <c r="M32" s="3"/>
      <c r="N32" s="3"/>
      <c r="O32" s="3"/>
      <c r="P32" s="3"/>
      <c r="Q32" s="3"/>
      <c r="R32" s="3"/>
      <c r="S32" s="3"/>
      <c r="T32" s="3"/>
      <c r="U32" s="3"/>
      <c r="V32" s="3"/>
      <c r="W32" s="3"/>
      <c r="X32" s="3"/>
      <c r="Y32" s="3"/>
      <c r="Z32" s="3"/>
      <c r="AA32" s="3"/>
      <c r="AB32" s="3"/>
      <c r="AC32" s="3"/>
      <c r="AD32" s="3"/>
      <c r="AE32" s="3"/>
      <c r="AF32" s="3"/>
      <c r="AG32" s="3"/>
      <c r="AH32" s="3"/>
      <c r="AI32" s="3"/>
      <c r="AJ32" s="3"/>
    </row>
    <row r="33" ht="12.75" customHeight="1">
      <c r="A33" s="3"/>
      <c r="B33" s="11" t="s">
        <v>22</v>
      </c>
      <c r="C33" s="12"/>
      <c r="D33" s="12"/>
      <c r="E33" s="12"/>
      <c r="F33" s="12"/>
      <c r="G33" s="7"/>
      <c r="H33" s="7"/>
      <c r="I33" s="7"/>
      <c r="J33" s="7"/>
      <c r="K33" s="3"/>
      <c r="L33" s="3"/>
      <c r="M33" s="3"/>
      <c r="N33" s="3"/>
      <c r="O33" s="3"/>
      <c r="P33" s="3"/>
      <c r="Q33" s="3"/>
      <c r="R33" s="3"/>
      <c r="S33" s="3"/>
      <c r="T33" s="3"/>
      <c r="U33" s="3"/>
      <c r="V33" s="3"/>
      <c r="W33" s="3"/>
      <c r="X33" s="3"/>
      <c r="Y33" s="3"/>
      <c r="Z33" s="3"/>
      <c r="AA33" s="3"/>
      <c r="AB33" s="3"/>
      <c r="AC33" s="3"/>
      <c r="AD33" s="3"/>
      <c r="AE33" s="3"/>
      <c r="AF33" s="3"/>
      <c r="AG33" s="3"/>
      <c r="AH33" s="3"/>
      <c r="AI33" s="3"/>
      <c r="AJ33" s="3"/>
    </row>
    <row r="34" ht="12.75" customHeight="1">
      <c r="A34" s="3"/>
      <c r="B34" s="6"/>
      <c r="C34" s="6"/>
      <c r="D34" s="6"/>
      <c r="E34" s="6"/>
      <c r="F34" s="3"/>
      <c r="G34" s="7"/>
      <c r="H34" s="7"/>
      <c r="I34" s="7"/>
      <c r="J34" s="7"/>
      <c r="K34" s="3"/>
      <c r="L34" s="3"/>
      <c r="M34" s="3"/>
      <c r="N34" s="3"/>
      <c r="O34" s="3"/>
      <c r="P34" s="3"/>
      <c r="Q34" s="3"/>
      <c r="R34" s="3"/>
      <c r="S34" s="3"/>
      <c r="T34" s="3"/>
      <c r="U34" s="3"/>
      <c r="V34" s="3"/>
      <c r="W34" s="3"/>
      <c r="X34" s="3"/>
      <c r="Y34" s="3"/>
      <c r="Z34" s="3"/>
      <c r="AA34" s="3"/>
      <c r="AB34" s="3"/>
      <c r="AC34" s="3"/>
      <c r="AD34" s="3"/>
      <c r="AE34" s="3"/>
      <c r="AF34" s="3"/>
      <c r="AG34" s="3"/>
      <c r="AH34" s="3"/>
      <c r="AI34" s="3"/>
      <c r="AJ34" s="3"/>
    </row>
    <row r="35" ht="13.5" customHeight="1">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row>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H20:I21"/>
    <mergeCell ref="J20:N21"/>
    <mergeCell ref="J22:N23"/>
    <mergeCell ref="J24:N25"/>
    <mergeCell ref="A22:F24"/>
    <mergeCell ref="H22:I23"/>
    <mergeCell ref="H24:I25"/>
    <mergeCell ref="A25:F28"/>
    <mergeCell ref="A29:F31"/>
    <mergeCell ref="B33:F33"/>
    <mergeCell ref="A1:M1"/>
    <mergeCell ref="D3:K11"/>
    <mergeCell ref="E13:J13"/>
    <mergeCell ref="E15:J15"/>
    <mergeCell ref="E17:J17"/>
    <mergeCell ref="H19:N19"/>
    <mergeCell ref="A20:F21"/>
  </mergeCells>
  <hyperlinks>
    <hyperlink r:id="rId1" ref="A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29"/>
    <col customWidth="1" min="2" max="2" width="28.29"/>
    <col customWidth="1" min="3" max="3" width="11.14"/>
    <col customWidth="1" min="4" max="4" width="10.71"/>
    <col customWidth="1" min="5" max="5" width="9.0"/>
    <col customWidth="1" min="6" max="6" width="10.71"/>
    <col customWidth="1" min="7" max="7" width="0.43"/>
    <col customWidth="1" hidden="1" min="8" max="27" width="2.71"/>
    <col customWidth="1" min="28" max="28" width="3.0"/>
    <col customWidth="1" min="29" max="29" width="3.43"/>
    <col customWidth="1" min="30" max="30" width="37.29"/>
    <col customWidth="1" min="31" max="34" width="8.57"/>
    <col customWidth="1" min="35" max="35" width="2.57"/>
    <col customWidth="1" min="36" max="36" width="3.0"/>
    <col customWidth="1" min="37" max="37" width="36.71"/>
    <col customWidth="1" min="38" max="41" width="8.57"/>
    <col customWidth="1" min="42" max="43" width="3.43"/>
    <col customWidth="1" min="44" max="44" width="26.43"/>
    <col customWidth="1" min="45" max="48" width="8.57"/>
    <col customWidth="1" min="49" max="58" width="17.14"/>
  </cols>
  <sheetData>
    <row r="1" ht="12.75" customHeight="1">
      <c r="A1" s="25"/>
      <c r="B1" s="25" t="s">
        <v>23</v>
      </c>
      <c r="C1" s="25"/>
      <c r="D1" s="26"/>
      <c r="E1" s="25"/>
      <c r="F1" s="25"/>
      <c r="G1" s="13"/>
      <c r="H1" s="13"/>
      <c r="I1" s="13"/>
      <c r="J1" s="13"/>
      <c r="K1" s="13"/>
      <c r="L1" s="27"/>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row>
    <row r="2" ht="21.75" customHeight="1">
      <c r="A2" s="28"/>
      <c r="B2" s="29" t="s">
        <v>24</v>
      </c>
      <c r="G2" s="30"/>
      <c r="H2" s="30"/>
      <c r="I2" s="13"/>
      <c r="J2" s="13"/>
      <c r="K2" s="13"/>
      <c r="L2" s="27"/>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row>
    <row r="3" ht="12.75" customHeight="1">
      <c r="A3" s="28"/>
      <c r="B3" s="31"/>
      <c r="C3" s="32"/>
      <c r="D3" s="33"/>
      <c r="E3" s="33"/>
      <c r="F3" s="30"/>
      <c r="G3" s="30"/>
      <c r="H3" s="30"/>
      <c r="I3" s="13"/>
      <c r="J3" s="13"/>
      <c r="K3" s="13"/>
      <c r="L3" s="27"/>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row>
    <row r="4" ht="12.75" customHeight="1">
      <c r="A4" s="34"/>
      <c r="B4" s="34"/>
      <c r="C4" s="34"/>
      <c r="D4" s="35"/>
      <c r="E4" s="26"/>
      <c r="F4" s="34"/>
      <c r="G4" s="13"/>
      <c r="H4" s="13"/>
      <c r="I4" s="13"/>
      <c r="J4" s="13"/>
      <c r="K4" s="13"/>
      <c r="L4" s="27"/>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row>
    <row r="5" ht="12.75" customHeight="1">
      <c r="A5" s="28" t="s">
        <v>25</v>
      </c>
      <c r="C5" s="36"/>
      <c r="D5" s="13"/>
      <c r="E5" s="13"/>
      <c r="F5" s="13"/>
      <c r="G5" s="13"/>
      <c r="H5" s="13"/>
      <c r="I5" s="13"/>
      <c r="J5" s="13"/>
      <c r="K5" s="13"/>
      <c r="L5" s="27"/>
      <c r="M5" s="3" t="s">
        <v>26</v>
      </c>
      <c r="N5" s="3"/>
      <c r="O5" s="3"/>
      <c r="P5" s="3"/>
      <c r="Q5" s="3"/>
      <c r="R5" s="3" t="s">
        <v>27</v>
      </c>
      <c r="S5" s="3"/>
      <c r="T5" s="3"/>
      <c r="U5" s="3"/>
      <c r="V5" s="3"/>
      <c r="W5" s="3" t="s">
        <v>28</v>
      </c>
      <c r="X5" s="3"/>
      <c r="Y5" s="3"/>
      <c r="Z5" s="3"/>
      <c r="AA5" s="3"/>
      <c r="AB5" s="3"/>
      <c r="AC5" s="28" t="s">
        <v>29</v>
      </c>
      <c r="AD5" s="3"/>
      <c r="AE5" s="3"/>
      <c r="AF5" s="3"/>
      <c r="AG5" s="3"/>
      <c r="AH5" s="3"/>
      <c r="AI5" s="3"/>
      <c r="AJ5" s="28" t="s">
        <v>30</v>
      </c>
      <c r="AL5" s="36"/>
      <c r="AM5" s="13"/>
      <c r="AN5" s="13"/>
      <c r="AO5" s="13"/>
      <c r="AP5" s="3"/>
      <c r="AQ5" s="28" t="s">
        <v>31</v>
      </c>
      <c r="AS5" s="36"/>
      <c r="AT5" s="13"/>
      <c r="AU5" s="13"/>
      <c r="AV5" s="13"/>
      <c r="AW5" s="3"/>
      <c r="AX5" s="3"/>
      <c r="AY5" s="3"/>
      <c r="AZ5" s="3"/>
      <c r="BA5" s="3"/>
      <c r="BB5" s="3"/>
      <c r="BC5" s="3"/>
      <c r="BD5" s="3"/>
      <c r="BE5" s="3"/>
      <c r="BF5" s="3"/>
    </row>
    <row r="6" ht="12.75" customHeight="1">
      <c r="A6" s="28" t="s">
        <v>32</v>
      </c>
      <c r="C6" s="37" t="s">
        <v>33</v>
      </c>
      <c r="D6" s="26" t="s">
        <v>34</v>
      </c>
      <c r="E6" s="26" t="s">
        <v>35</v>
      </c>
      <c r="F6" s="26" t="s">
        <v>36</v>
      </c>
      <c r="G6" s="13"/>
      <c r="H6" s="13"/>
      <c r="I6" s="13"/>
      <c r="J6" s="13"/>
      <c r="K6" s="13"/>
      <c r="L6" s="27"/>
      <c r="M6" s="3" t="s">
        <v>37</v>
      </c>
      <c r="N6" s="3" t="s">
        <v>38</v>
      </c>
      <c r="O6" s="3" t="s">
        <v>39</v>
      </c>
      <c r="P6" s="3" t="s">
        <v>40</v>
      </c>
      <c r="Q6" s="3" t="s">
        <v>41</v>
      </c>
      <c r="R6" s="3" t="s">
        <v>37</v>
      </c>
      <c r="S6" s="3" t="s">
        <v>38</v>
      </c>
      <c r="T6" s="3" t="s">
        <v>39</v>
      </c>
      <c r="U6" s="3" t="s">
        <v>40</v>
      </c>
      <c r="V6" s="3" t="s">
        <v>41</v>
      </c>
      <c r="W6" s="3" t="s">
        <v>37</v>
      </c>
      <c r="X6" s="3" t="s">
        <v>38</v>
      </c>
      <c r="Y6" s="3" t="s">
        <v>39</v>
      </c>
      <c r="Z6" s="3" t="s">
        <v>40</v>
      </c>
      <c r="AA6" s="3" t="s">
        <v>41</v>
      </c>
      <c r="AB6" s="3"/>
      <c r="AC6" s="28" t="s">
        <v>32</v>
      </c>
      <c r="AE6" s="37" t="s">
        <v>33</v>
      </c>
      <c r="AF6" s="26" t="s">
        <v>34</v>
      </c>
      <c r="AG6" s="26" t="s">
        <v>35</v>
      </c>
      <c r="AH6" s="26" t="s">
        <v>36</v>
      </c>
      <c r="AI6" s="3"/>
      <c r="AJ6" s="28" t="s">
        <v>32</v>
      </c>
      <c r="AL6" s="37" t="s">
        <v>33</v>
      </c>
      <c r="AM6" s="26" t="s">
        <v>34</v>
      </c>
      <c r="AN6" s="26" t="s">
        <v>35</v>
      </c>
      <c r="AO6" s="26" t="s">
        <v>36</v>
      </c>
      <c r="AP6" s="3"/>
      <c r="AQ6" s="28" t="s">
        <v>32</v>
      </c>
      <c r="AS6" s="37" t="s">
        <v>33</v>
      </c>
      <c r="AT6" s="26" t="s">
        <v>34</v>
      </c>
      <c r="AU6" s="26" t="s">
        <v>35</v>
      </c>
      <c r="AV6" s="26" t="s">
        <v>36</v>
      </c>
      <c r="AW6" s="3"/>
      <c r="AX6" s="3"/>
      <c r="AY6" s="3"/>
      <c r="AZ6" s="3"/>
      <c r="BA6" s="3"/>
      <c r="BB6" s="3"/>
      <c r="BC6" s="3"/>
      <c r="BD6" s="3"/>
      <c r="BE6" s="3"/>
      <c r="BF6" s="3"/>
    </row>
    <row r="7" ht="12.75" customHeight="1">
      <c r="A7" s="38">
        <v>1.0</v>
      </c>
      <c r="B7" s="39" t="s">
        <v>42</v>
      </c>
      <c r="C7" s="40">
        <v>0.5</v>
      </c>
      <c r="D7" s="41">
        <v>5.0</v>
      </c>
      <c r="E7" s="41">
        <v>1.0</v>
      </c>
      <c r="F7" s="41">
        <f>Max!$B$3*C7</f>
        <v>50</v>
      </c>
      <c r="G7" s="42"/>
      <c r="H7" s="43"/>
      <c r="I7" s="42">
        <f t="shared" ref="I7:I10" si="1">D7*E7</f>
        <v>5</v>
      </c>
      <c r="J7" s="43">
        <f t="shared" ref="J7:J10" si="2">F7*I7</f>
        <v>250</v>
      </c>
      <c r="K7" s="42"/>
      <c r="L7" s="44"/>
      <c r="M7" s="3"/>
      <c r="N7" s="3"/>
      <c r="O7" s="3"/>
      <c r="P7" s="3"/>
      <c r="Q7" s="3"/>
      <c r="R7" s="6">
        <f>I7</f>
        <v>5</v>
      </c>
      <c r="S7" s="6">
        <f>I8</f>
        <v>4</v>
      </c>
      <c r="T7" s="6">
        <f>I9+I10</f>
        <v>11</v>
      </c>
      <c r="U7" s="3">
        <v>0.0</v>
      </c>
      <c r="V7" s="3">
        <v>0.0</v>
      </c>
      <c r="W7" s="3"/>
      <c r="X7" s="3"/>
      <c r="Y7" s="3"/>
      <c r="Z7" s="3"/>
      <c r="AA7" s="3"/>
      <c r="AB7" s="3"/>
      <c r="AC7" s="45">
        <v>1.0</v>
      </c>
      <c r="AD7" s="46" t="s">
        <v>43</v>
      </c>
      <c r="AE7" s="47">
        <v>0.5</v>
      </c>
      <c r="AF7" s="48">
        <v>5.0</v>
      </c>
      <c r="AG7" s="49">
        <v>1.0</v>
      </c>
      <c r="AH7" s="49">
        <f>Max!$B$4*AE7</f>
        <v>50</v>
      </c>
      <c r="AI7" s="3"/>
      <c r="AJ7" s="38">
        <v>1.0</v>
      </c>
      <c r="AK7" s="39" t="s">
        <v>42</v>
      </c>
      <c r="AL7" s="40">
        <v>0.5</v>
      </c>
      <c r="AM7" s="50">
        <v>5.0</v>
      </c>
      <c r="AN7" s="41">
        <v>1.0</v>
      </c>
      <c r="AO7" s="41">
        <f>Max!$B$3*AL7</f>
        <v>50</v>
      </c>
      <c r="AP7" s="3"/>
      <c r="AQ7" s="38">
        <v>1.0</v>
      </c>
      <c r="AR7" s="39" t="s">
        <v>42</v>
      </c>
      <c r="AS7" s="40">
        <v>0.5</v>
      </c>
      <c r="AT7" s="50">
        <v>5.0</v>
      </c>
      <c r="AU7" s="41">
        <v>1.0</v>
      </c>
      <c r="AV7" s="41">
        <f>Max!$B$3*AS7</f>
        <v>50</v>
      </c>
      <c r="AW7" s="3"/>
      <c r="AX7" s="3"/>
      <c r="AY7" s="3"/>
      <c r="AZ7" s="3"/>
      <c r="BA7" s="3"/>
      <c r="BB7" s="3"/>
      <c r="BC7" s="3"/>
      <c r="BD7" s="3"/>
      <c r="BE7" s="3"/>
      <c r="BF7" s="3"/>
    </row>
    <row r="8" ht="12.75" customHeight="1">
      <c r="A8" s="38"/>
      <c r="B8" s="39"/>
      <c r="C8" s="40">
        <v>0.6</v>
      </c>
      <c r="D8" s="50">
        <v>4.0</v>
      </c>
      <c r="E8" s="41">
        <v>1.0</v>
      </c>
      <c r="F8" s="41">
        <f>Max!$B$3*C8</f>
        <v>60</v>
      </c>
      <c r="G8" s="51"/>
      <c r="H8" s="52"/>
      <c r="I8" s="51">
        <f t="shared" si="1"/>
        <v>4</v>
      </c>
      <c r="J8" s="52">
        <f t="shared" si="2"/>
        <v>240</v>
      </c>
      <c r="K8" s="51"/>
      <c r="L8" s="53"/>
      <c r="M8" s="3"/>
      <c r="N8" s="3"/>
      <c r="O8" s="3"/>
      <c r="P8" s="3"/>
      <c r="Q8" s="3"/>
      <c r="R8" s="6"/>
      <c r="S8" s="3"/>
      <c r="T8" s="3"/>
      <c r="U8" s="3"/>
      <c r="V8" s="3"/>
      <c r="W8" s="3"/>
      <c r="X8" s="3"/>
      <c r="Y8" s="3"/>
      <c r="Z8" s="3"/>
      <c r="AA8" s="3"/>
      <c r="AB8" s="3"/>
      <c r="AC8" s="45"/>
      <c r="AD8" s="46"/>
      <c r="AE8" s="47">
        <v>0.6</v>
      </c>
      <c r="AF8" s="48">
        <v>4.0</v>
      </c>
      <c r="AG8" s="49">
        <v>1.0</v>
      </c>
      <c r="AH8" s="49">
        <f>Max!$B$4*AE8</f>
        <v>60</v>
      </c>
      <c r="AI8" s="3"/>
      <c r="AJ8" s="38"/>
      <c r="AK8" s="39"/>
      <c r="AL8" s="40">
        <v>0.6</v>
      </c>
      <c r="AM8" s="50">
        <v>4.0</v>
      </c>
      <c r="AN8" s="41">
        <v>1.0</v>
      </c>
      <c r="AO8" s="41">
        <f>Max!$B$3*AL8</f>
        <v>60</v>
      </c>
      <c r="AP8" s="3"/>
      <c r="AQ8" s="38"/>
      <c r="AR8" s="39"/>
      <c r="AS8" s="40">
        <v>0.6</v>
      </c>
      <c r="AT8" s="50">
        <v>4.0</v>
      </c>
      <c r="AU8" s="41">
        <v>1.0</v>
      </c>
      <c r="AV8" s="41">
        <f>Max!$B$3*AS8</f>
        <v>60</v>
      </c>
      <c r="AW8" s="3"/>
      <c r="AX8" s="3"/>
      <c r="AY8" s="3"/>
      <c r="AZ8" s="3"/>
      <c r="BA8" s="3"/>
      <c r="BB8" s="3"/>
      <c r="BC8" s="3"/>
      <c r="BD8" s="3"/>
      <c r="BE8" s="3"/>
      <c r="BF8" s="3"/>
    </row>
    <row r="9" ht="12.75" customHeight="1">
      <c r="A9" s="38"/>
      <c r="B9" s="39"/>
      <c r="C9" s="40">
        <v>0.7</v>
      </c>
      <c r="D9" s="50">
        <v>3.0</v>
      </c>
      <c r="E9" s="41">
        <v>1.0</v>
      </c>
      <c r="F9" s="41">
        <f>Max!$B$3*C9</f>
        <v>70</v>
      </c>
      <c r="G9" s="51"/>
      <c r="H9" s="52"/>
      <c r="I9" s="51">
        <f t="shared" si="1"/>
        <v>3</v>
      </c>
      <c r="J9" s="52">
        <f t="shared" si="2"/>
        <v>210</v>
      </c>
      <c r="K9" s="51"/>
      <c r="L9" s="53"/>
      <c r="M9" s="3"/>
      <c r="N9" s="3"/>
      <c r="O9" s="3"/>
      <c r="P9" s="3"/>
      <c r="Q9" s="3"/>
      <c r="R9" s="3"/>
      <c r="S9" s="3"/>
      <c r="T9" s="3"/>
      <c r="U9" s="3"/>
      <c r="V9" s="3"/>
      <c r="W9" s="3"/>
      <c r="X9" s="3"/>
      <c r="Y9" s="3"/>
      <c r="Z9" s="3"/>
      <c r="AA9" s="3"/>
      <c r="AB9" s="3"/>
      <c r="AC9" s="45"/>
      <c r="AD9" s="46"/>
      <c r="AE9" s="47">
        <v>0.7</v>
      </c>
      <c r="AF9" s="48">
        <v>3.0</v>
      </c>
      <c r="AG9" s="49">
        <v>1.0</v>
      </c>
      <c r="AH9" s="49">
        <f>Max!$B$4*AE9</f>
        <v>70</v>
      </c>
      <c r="AI9" s="3"/>
      <c r="AJ9" s="38"/>
      <c r="AK9" s="39"/>
      <c r="AL9" s="40">
        <v>0.7</v>
      </c>
      <c r="AM9" s="50">
        <v>3.0</v>
      </c>
      <c r="AN9" s="41">
        <v>1.0</v>
      </c>
      <c r="AO9" s="41">
        <f>Max!$B$3*AL9</f>
        <v>70</v>
      </c>
      <c r="AP9" s="3"/>
      <c r="AQ9" s="38"/>
      <c r="AR9" s="39"/>
      <c r="AS9" s="40">
        <v>0.7</v>
      </c>
      <c r="AT9" s="50">
        <v>3.0</v>
      </c>
      <c r="AU9" s="41">
        <v>1.0</v>
      </c>
      <c r="AV9" s="41">
        <f>Max!$B$3*AS9</f>
        <v>70</v>
      </c>
      <c r="AW9" s="3"/>
      <c r="AX9" s="3"/>
      <c r="AY9" s="3"/>
      <c r="AZ9" s="3"/>
      <c r="BA9" s="3"/>
      <c r="BB9" s="3"/>
      <c r="BC9" s="3"/>
      <c r="BD9" s="3"/>
      <c r="BE9" s="3"/>
      <c r="BF9" s="3"/>
    </row>
    <row r="10" ht="12.75" customHeight="1">
      <c r="A10" s="38"/>
      <c r="B10" s="39"/>
      <c r="C10" s="40">
        <v>0.75</v>
      </c>
      <c r="D10" s="50">
        <v>2.0</v>
      </c>
      <c r="E10" s="41">
        <v>4.0</v>
      </c>
      <c r="F10" s="41">
        <f>Max!$B$3*C10</f>
        <v>75</v>
      </c>
      <c r="G10" s="51"/>
      <c r="H10" s="52"/>
      <c r="I10" s="51">
        <f t="shared" si="1"/>
        <v>8</v>
      </c>
      <c r="J10" s="52">
        <f t="shared" si="2"/>
        <v>600</v>
      </c>
      <c r="K10" s="51"/>
      <c r="L10" s="53"/>
      <c r="M10" s="3"/>
      <c r="N10" s="3"/>
      <c r="O10" s="3"/>
      <c r="P10" s="3"/>
      <c r="Q10" s="3"/>
      <c r="R10" s="3"/>
      <c r="S10" s="3"/>
      <c r="T10" s="3"/>
      <c r="U10" s="3"/>
      <c r="V10" s="3"/>
      <c r="W10" s="3"/>
      <c r="X10" s="3"/>
      <c r="Y10" s="3"/>
      <c r="Z10" s="3"/>
      <c r="AA10" s="3"/>
      <c r="AB10" s="3"/>
      <c r="AC10" s="45"/>
      <c r="AD10" s="46"/>
      <c r="AE10" s="47">
        <v>0.8</v>
      </c>
      <c r="AF10" s="48">
        <v>2.0</v>
      </c>
      <c r="AG10" s="49">
        <v>4.0</v>
      </c>
      <c r="AH10" s="49">
        <f>Max!$B$4*AE10</f>
        <v>80</v>
      </c>
      <c r="AI10" s="3"/>
      <c r="AJ10" s="38"/>
      <c r="AK10" s="39"/>
      <c r="AL10" s="40">
        <v>0.8</v>
      </c>
      <c r="AM10" s="50">
        <v>2.0</v>
      </c>
      <c r="AN10" s="41">
        <v>5.0</v>
      </c>
      <c r="AO10" s="41">
        <f>Max!$B$3*AL10</f>
        <v>80</v>
      </c>
      <c r="AP10" s="3"/>
      <c r="AQ10" s="38"/>
      <c r="AR10" s="39"/>
      <c r="AS10" s="40">
        <v>0.8</v>
      </c>
      <c r="AT10" s="50">
        <v>3.0</v>
      </c>
      <c r="AU10" s="41">
        <v>4.0</v>
      </c>
      <c r="AV10" s="41">
        <f>Max!$B$3*AS10</f>
        <v>80</v>
      </c>
      <c r="AW10" s="3"/>
      <c r="AX10" s="3"/>
      <c r="AY10" s="3"/>
      <c r="AZ10" s="3"/>
      <c r="BA10" s="3"/>
      <c r="BB10" s="3"/>
      <c r="BC10" s="3"/>
      <c r="BD10" s="3"/>
      <c r="BE10" s="3"/>
      <c r="BF10" s="3"/>
    </row>
    <row r="11" ht="12.75" customHeight="1">
      <c r="A11" s="45">
        <v>2.0</v>
      </c>
      <c r="B11" s="46" t="s">
        <v>43</v>
      </c>
      <c r="C11" s="47">
        <v>0.5</v>
      </c>
      <c r="D11" s="49">
        <v>5.0</v>
      </c>
      <c r="E11" s="49">
        <v>1.0</v>
      </c>
      <c r="F11" s="49">
        <f>Max!$B$4*C11</f>
        <v>50</v>
      </c>
      <c r="G11" s="51">
        <f t="shared" ref="G11:G13" si="3">D11*E11</f>
        <v>5</v>
      </c>
      <c r="H11" s="52">
        <f t="shared" ref="H11:H13" si="4">F11*G11</f>
        <v>250</v>
      </c>
      <c r="I11" s="51"/>
      <c r="J11" s="52"/>
      <c r="K11" s="51"/>
      <c r="L11" s="53"/>
      <c r="M11" s="6">
        <f>G11</f>
        <v>5</v>
      </c>
      <c r="N11" s="6">
        <f>G12</f>
        <v>4</v>
      </c>
      <c r="O11" s="6">
        <f>G13</f>
        <v>3</v>
      </c>
      <c r="P11" s="3">
        <v>0.0</v>
      </c>
      <c r="Q11" s="3">
        <v>0.0</v>
      </c>
      <c r="R11" s="3"/>
      <c r="S11" s="3"/>
      <c r="T11" s="3"/>
      <c r="U11" s="3"/>
      <c r="V11" s="3"/>
      <c r="W11" s="3"/>
      <c r="X11" s="3"/>
      <c r="Y11" s="3"/>
      <c r="Z11" s="3"/>
      <c r="AA11" s="3"/>
      <c r="AB11" s="3"/>
      <c r="AC11" s="38">
        <v>2.0</v>
      </c>
      <c r="AD11" s="39" t="s">
        <v>42</v>
      </c>
      <c r="AE11" s="40">
        <v>0.5</v>
      </c>
      <c r="AF11" s="50">
        <v>5.0</v>
      </c>
      <c r="AG11" s="41">
        <v>1.0</v>
      </c>
      <c r="AH11" s="41">
        <f>Max!$B$3*AE11</f>
        <v>50</v>
      </c>
      <c r="AI11" s="3"/>
      <c r="AJ11" s="45">
        <v>2.0</v>
      </c>
      <c r="AK11" s="46" t="s">
        <v>43</v>
      </c>
      <c r="AL11" s="47">
        <v>0.55</v>
      </c>
      <c r="AM11" s="48">
        <v>5.0</v>
      </c>
      <c r="AN11" s="49">
        <v>1.0</v>
      </c>
      <c r="AO11" s="49">
        <f>Max!$B$4*AL11</f>
        <v>55</v>
      </c>
      <c r="AP11" s="3"/>
      <c r="AQ11" s="45">
        <v>2.0</v>
      </c>
      <c r="AR11" s="46" t="s">
        <v>43</v>
      </c>
      <c r="AS11" s="47">
        <v>0.5</v>
      </c>
      <c r="AT11" s="48">
        <v>5.0</v>
      </c>
      <c r="AU11" s="49">
        <v>1.0</v>
      </c>
      <c r="AV11" s="49">
        <f>Max!$B$4*AS11</f>
        <v>50</v>
      </c>
      <c r="AW11" s="3"/>
      <c r="AX11" s="3"/>
      <c r="AY11" s="3"/>
      <c r="AZ11" s="3"/>
      <c r="BA11" s="3"/>
      <c r="BB11" s="3"/>
      <c r="BC11" s="3"/>
      <c r="BD11" s="3"/>
      <c r="BE11" s="3"/>
      <c r="BF11" s="3"/>
    </row>
    <row r="12" ht="12.75" customHeight="1">
      <c r="A12" s="54"/>
      <c r="B12" s="46"/>
      <c r="C12" s="47">
        <v>0.6</v>
      </c>
      <c r="D12" s="48">
        <v>4.0</v>
      </c>
      <c r="E12" s="49">
        <v>1.0</v>
      </c>
      <c r="F12" s="49">
        <f>Max!$B$4*C12</f>
        <v>60</v>
      </c>
      <c r="G12" s="51">
        <f t="shared" si="3"/>
        <v>4</v>
      </c>
      <c r="H12" s="52">
        <f t="shared" si="4"/>
        <v>240</v>
      </c>
      <c r="I12" s="51"/>
      <c r="J12" s="52"/>
      <c r="K12" s="51"/>
      <c r="L12" s="53"/>
      <c r="M12" s="3"/>
      <c r="N12" s="3"/>
      <c r="O12" s="3"/>
      <c r="P12" s="3"/>
      <c r="Q12" s="3"/>
      <c r="R12" s="3"/>
      <c r="S12" s="3"/>
      <c r="T12" s="3"/>
      <c r="U12" s="3"/>
      <c r="V12" s="3"/>
      <c r="W12" s="3"/>
      <c r="X12" s="3"/>
      <c r="Y12" s="3"/>
      <c r="Z12" s="3"/>
      <c r="AA12" s="3"/>
      <c r="AB12" s="3"/>
      <c r="AC12" s="38"/>
      <c r="AD12" s="39"/>
      <c r="AE12" s="40">
        <v>0.6</v>
      </c>
      <c r="AF12" s="50">
        <v>4.0</v>
      </c>
      <c r="AG12" s="41">
        <v>1.0</v>
      </c>
      <c r="AH12" s="41">
        <f>Max!$B$3*AE12</f>
        <v>60</v>
      </c>
      <c r="AI12" s="3"/>
      <c r="AJ12" s="45"/>
      <c r="AK12" s="46"/>
      <c r="AL12" s="47">
        <v>0.65</v>
      </c>
      <c r="AM12" s="48">
        <v>4.0</v>
      </c>
      <c r="AN12" s="49">
        <v>1.0</v>
      </c>
      <c r="AO12" s="49">
        <f>Max!$B$4*AL12</f>
        <v>65</v>
      </c>
      <c r="AP12" s="3"/>
      <c r="AQ12" s="45"/>
      <c r="AR12" s="46"/>
      <c r="AS12" s="47">
        <v>0.6</v>
      </c>
      <c r="AT12" s="48">
        <v>4.0</v>
      </c>
      <c r="AU12" s="49">
        <v>1.0</v>
      </c>
      <c r="AV12" s="49">
        <f>Max!$B$4*AS12</f>
        <v>60</v>
      </c>
      <c r="AW12" s="3"/>
      <c r="AX12" s="3"/>
      <c r="AY12" s="3"/>
      <c r="AZ12" s="3"/>
      <c r="BA12" s="3"/>
      <c r="BB12" s="3"/>
      <c r="BC12" s="3"/>
      <c r="BD12" s="3"/>
      <c r="BE12" s="3"/>
      <c r="BF12" s="3"/>
    </row>
    <row r="13" ht="12.75" customHeight="1">
      <c r="A13" s="45"/>
      <c r="B13" s="46"/>
      <c r="C13" s="47">
        <v>0.7</v>
      </c>
      <c r="D13" s="49">
        <v>3.0</v>
      </c>
      <c r="E13" s="49">
        <v>1.0</v>
      </c>
      <c r="F13" s="49">
        <f>Max!$B$4*C13</f>
        <v>70</v>
      </c>
      <c r="G13" s="51">
        <f t="shared" si="3"/>
        <v>3</v>
      </c>
      <c r="H13" s="52">
        <f t="shared" si="4"/>
        <v>210</v>
      </c>
      <c r="I13" s="51"/>
      <c r="J13" s="52"/>
      <c r="K13" s="51"/>
      <c r="L13" s="53"/>
      <c r="M13" s="3"/>
      <c r="N13" s="3"/>
      <c r="O13" s="3"/>
      <c r="P13" s="3"/>
      <c r="Q13" s="3"/>
      <c r="R13" s="3"/>
      <c r="S13" s="3"/>
      <c r="T13" s="3"/>
      <c r="U13" s="3"/>
      <c r="V13" s="3"/>
      <c r="W13" s="3"/>
      <c r="X13" s="3"/>
      <c r="Y13" s="3"/>
      <c r="Z13" s="3"/>
      <c r="AA13" s="3"/>
      <c r="AB13" s="3"/>
      <c r="AC13" s="38"/>
      <c r="AD13" s="39"/>
      <c r="AE13" s="40">
        <v>0.7</v>
      </c>
      <c r="AF13" s="50">
        <v>3.0</v>
      </c>
      <c r="AG13" s="41">
        <v>1.0</v>
      </c>
      <c r="AH13" s="41">
        <f>Max!$B$3*AE13</f>
        <v>70</v>
      </c>
      <c r="AI13" s="3"/>
      <c r="AJ13" s="45"/>
      <c r="AK13" s="46"/>
      <c r="AL13" s="47">
        <v>0.75</v>
      </c>
      <c r="AM13" s="48">
        <v>3.0</v>
      </c>
      <c r="AN13" s="49">
        <v>1.0</v>
      </c>
      <c r="AO13" s="49">
        <f>Max!$B$4*AL13</f>
        <v>75</v>
      </c>
      <c r="AP13" s="3"/>
      <c r="AQ13" s="45"/>
      <c r="AR13" s="46"/>
      <c r="AS13" s="47">
        <v>0.7</v>
      </c>
      <c r="AT13" s="48">
        <v>3.0</v>
      </c>
      <c r="AU13" s="49">
        <v>1.0</v>
      </c>
      <c r="AV13" s="49">
        <f>Max!$B$4*AS13</f>
        <v>70</v>
      </c>
      <c r="AW13" s="3"/>
      <c r="AX13" s="3"/>
      <c r="AY13" s="3"/>
      <c r="AZ13" s="3"/>
      <c r="BA13" s="3"/>
      <c r="BB13" s="3"/>
      <c r="BC13" s="3"/>
      <c r="BD13" s="3"/>
      <c r="BE13" s="3"/>
      <c r="BF13" s="3"/>
    </row>
    <row r="14" ht="12.75" customHeight="1">
      <c r="A14" s="45"/>
      <c r="B14" s="46"/>
      <c r="C14" s="47">
        <v>0.75</v>
      </c>
      <c r="D14" s="49">
        <v>3.0</v>
      </c>
      <c r="E14" s="49">
        <v>4.0</v>
      </c>
      <c r="F14" s="49">
        <f>Max!$B$4*C14</f>
        <v>75</v>
      </c>
      <c r="G14" s="51"/>
      <c r="H14" s="52"/>
      <c r="I14" s="51">
        <f t="shared" ref="I14:I16" si="5">D14*E14</f>
        <v>12</v>
      </c>
      <c r="J14" s="52">
        <f t="shared" ref="J14:J16" si="6">F14*I14</f>
        <v>900</v>
      </c>
      <c r="K14" s="51"/>
      <c r="L14" s="53"/>
      <c r="M14" s="3"/>
      <c r="N14" s="3"/>
      <c r="O14" s="3"/>
      <c r="P14" s="3"/>
      <c r="Q14" s="3"/>
      <c r="R14" s="6">
        <f>I14</f>
        <v>12</v>
      </c>
      <c r="S14" s="6">
        <f>I15+I16</f>
        <v>80</v>
      </c>
      <c r="T14" s="3">
        <v>0.0</v>
      </c>
      <c r="U14" s="3">
        <v>0.0</v>
      </c>
      <c r="V14" s="3">
        <v>0.0</v>
      </c>
      <c r="W14" s="3"/>
      <c r="X14" s="3"/>
      <c r="Y14" s="3"/>
      <c r="Z14" s="3"/>
      <c r="AA14" s="55"/>
      <c r="AB14" s="3"/>
      <c r="AC14" s="38"/>
      <c r="AD14" s="39"/>
      <c r="AE14" s="40">
        <v>0.75</v>
      </c>
      <c r="AF14" s="50">
        <v>3.0</v>
      </c>
      <c r="AG14" s="41">
        <v>4.0</v>
      </c>
      <c r="AH14" s="41">
        <f>Max!$B$3*AE14</f>
        <v>75</v>
      </c>
      <c r="AI14" s="3"/>
      <c r="AJ14" s="45"/>
      <c r="AK14" s="46"/>
      <c r="AL14" s="47">
        <v>0.85</v>
      </c>
      <c r="AM14" s="48">
        <v>2.0</v>
      </c>
      <c r="AN14" s="49">
        <v>4.0</v>
      </c>
      <c r="AO14" s="49">
        <f>Max!$B$4*AL14</f>
        <v>85</v>
      </c>
      <c r="AP14" s="3"/>
      <c r="AQ14" s="45"/>
      <c r="AR14" s="46"/>
      <c r="AS14" s="47">
        <v>0.8</v>
      </c>
      <c r="AT14" s="48">
        <v>3.0</v>
      </c>
      <c r="AU14" s="49">
        <v>5.0</v>
      </c>
      <c r="AV14" s="49">
        <f>Max!$B$4*AS14</f>
        <v>80</v>
      </c>
      <c r="AW14" s="3"/>
      <c r="AX14" s="3"/>
      <c r="AY14" s="3"/>
      <c r="AZ14" s="3"/>
      <c r="BA14" s="3"/>
      <c r="BB14" s="3"/>
      <c r="BC14" s="3"/>
      <c r="BD14" s="3"/>
      <c r="BE14" s="3"/>
      <c r="BF14" s="3"/>
    </row>
    <row r="15" ht="12.75" customHeight="1">
      <c r="A15" s="56">
        <v>3.0</v>
      </c>
      <c r="B15" s="57" t="s">
        <v>44</v>
      </c>
      <c r="C15" s="58">
        <v>0.65</v>
      </c>
      <c r="D15" s="55">
        <v>8.0</v>
      </c>
      <c r="E15" s="55">
        <v>5.0</v>
      </c>
      <c r="F15" s="55"/>
      <c r="G15" s="13"/>
      <c r="H15" s="52"/>
      <c r="I15" s="51">
        <f t="shared" si="5"/>
        <v>40</v>
      </c>
      <c r="J15" s="52">
        <f t="shared" si="6"/>
        <v>0</v>
      </c>
      <c r="K15" s="51"/>
      <c r="L15" s="53"/>
      <c r="M15" s="3"/>
      <c r="N15" s="3"/>
      <c r="O15" s="3"/>
      <c r="P15" s="3"/>
      <c r="Q15" s="3"/>
      <c r="R15" s="3"/>
      <c r="S15" s="3"/>
      <c r="T15" s="3"/>
      <c r="U15" s="3"/>
      <c r="V15" s="3"/>
      <c r="W15" s="3"/>
      <c r="X15" s="3"/>
      <c r="Y15" s="3"/>
      <c r="Z15" s="3"/>
      <c r="AA15" s="3"/>
      <c r="AB15" s="3"/>
      <c r="AC15" s="45">
        <v>3.0</v>
      </c>
      <c r="AD15" s="46" t="s">
        <v>43</v>
      </c>
      <c r="AE15" s="47">
        <v>0.55</v>
      </c>
      <c r="AF15" s="48">
        <v>3.0</v>
      </c>
      <c r="AG15" s="49">
        <v>1.0</v>
      </c>
      <c r="AH15" s="49">
        <f>Max!$B$4*AE15</f>
        <v>55</v>
      </c>
      <c r="AI15" s="3"/>
      <c r="AJ15" s="56">
        <v>3.0</v>
      </c>
      <c r="AK15" s="59" t="s">
        <v>44</v>
      </c>
      <c r="AL15" s="58">
        <v>0.65</v>
      </c>
      <c r="AM15" s="55">
        <v>8.0</v>
      </c>
      <c r="AN15" s="55">
        <v>5.0</v>
      </c>
      <c r="AO15" s="55"/>
      <c r="AP15" s="3"/>
      <c r="AQ15" s="60">
        <v>3.0</v>
      </c>
      <c r="AR15" s="59" t="s">
        <v>44</v>
      </c>
      <c r="AS15" s="61">
        <v>0.65</v>
      </c>
      <c r="AT15" s="62">
        <v>8.0</v>
      </c>
      <c r="AU15" s="63">
        <v>5.0</v>
      </c>
      <c r="AV15" s="63"/>
      <c r="AW15" s="3"/>
      <c r="AX15" s="3"/>
      <c r="AY15" s="3"/>
      <c r="AZ15" s="3"/>
      <c r="BA15" s="3"/>
      <c r="BB15" s="3"/>
      <c r="BC15" s="3"/>
      <c r="BD15" s="3"/>
      <c r="BE15" s="3"/>
      <c r="BF15" s="3"/>
    </row>
    <row r="16" ht="12.75" customHeight="1">
      <c r="A16" s="60">
        <v>4.0</v>
      </c>
      <c r="B16" s="59" t="s">
        <v>45</v>
      </c>
      <c r="C16" s="61">
        <v>0.65</v>
      </c>
      <c r="D16" s="63">
        <v>8.0</v>
      </c>
      <c r="E16" s="63">
        <v>5.0</v>
      </c>
      <c r="F16" s="63"/>
      <c r="G16" s="13"/>
      <c r="H16" s="52"/>
      <c r="I16" s="51">
        <f t="shared" si="5"/>
        <v>40</v>
      </c>
      <c r="J16" s="52">
        <f t="shared" si="6"/>
        <v>0</v>
      </c>
      <c r="K16" s="51"/>
      <c r="L16" s="53"/>
      <c r="M16" s="3"/>
      <c r="N16" s="3"/>
      <c r="O16" s="3"/>
      <c r="P16" s="3"/>
      <c r="Q16" s="3"/>
      <c r="R16" s="3"/>
      <c r="S16" s="3"/>
      <c r="T16" s="3"/>
      <c r="U16" s="3"/>
      <c r="V16" s="3"/>
      <c r="W16" s="3"/>
      <c r="X16" s="3"/>
      <c r="Y16" s="3"/>
      <c r="Z16" s="3"/>
      <c r="AA16" s="3"/>
      <c r="AB16" s="3"/>
      <c r="AC16" s="45"/>
      <c r="AD16" s="46"/>
      <c r="AE16" s="47">
        <v>0.65</v>
      </c>
      <c r="AF16" s="48">
        <v>3.0</v>
      </c>
      <c r="AG16" s="49">
        <v>1.0</v>
      </c>
      <c r="AH16" s="49">
        <f>Max!$B$4*AE16</f>
        <v>65</v>
      </c>
      <c r="AI16" s="3"/>
      <c r="AJ16" s="60">
        <v>4.0</v>
      </c>
      <c r="AK16" s="59" t="s">
        <v>46</v>
      </c>
      <c r="AL16" s="61">
        <v>0.75</v>
      </c>
      <c r="AM16" s="62">
        <v>5.0</v>
      </c>
      <c r="AN16" s="63">
        <v>5.0</v>
      </c>
      <c r="AO16" s="63"/>
      <c r="AP16" s="3"/>
      <c r="AQ16" s="64">
        <v>4.0</v>
      </c>
      <c r="AR16" s="65" t="s">
        <v>47</v>
      </c>
      <c r="AS16" s="66">
        <v>0.75</v>
      </c>
      <c r="AT16" s="67">
        <v>5.0</v>
      </c>
      <c r="AU16" s="68">
        <v>5.0</v>
      </c>
      <c r="AV16" s="68"/>
      <c r="AW16" s="3"/>
      <c r="AX16" s="3"/>
      <c r="AY16" s="3"/>
      <c r="AZ16" s="3"/>
      <c r="BA16" s="3"/>
      <c r="BB16" s="3"/>
      <c r="BC16" s="3"/>
      <c r="BD16" s="3"/>
      <c r="BE16" s="3"/>
      <c r="BF16" s="3"/>
    </row>
    <row r="17" ht="12.75" customHeight="1">
      <c r="A17" s="64">
        <v>5.0</v>
      </c>
      <c r="B17" s="65" t="s">
        <v>48</v>
      </c>
      <c r="C17" s="66">
        <v>0.6</v>
      </c>
      <c r="D17" s="68">
        <v>10.0</v>
      </c>
      <c r="E17" s="68">
        <v>3.0</v>
      </c>
      <c r="F17" s="68"/>
      <c r="G17" s="13"/>
      <c r="H17" s="52"/>
      <c r="I17" s="51"/>
      <c r="J17" s="52"/>
      <c r="K17" s="51"/>
      <c r="L17" s="53"/>
      <c r="M17" s="3"/>
      <c r="N17" s="3"/>
      <c r="O17" s="3"/>
      <c r="P17" s="3"/>
      <c r="Q17" s="3"/>
      <c r="R17" s="3"/>
      <c r="S17" s="3"/>
      <c r="T17" s="3"/>
      <c r="U17" s="3"/>
      <c r="V17" s="3"/>
      <c r="W17" s="3"/>
      <c r="X17" s="3"/>
      <c r="Y17" s="3"/>
      <c r="Z17" s="3"/>
      <c r="AA17" s="3"/>
      <c r="AB17" s="3"/>
      <c r="AC17" s="45"/>
      <c r="AD17" s="46"/>
      <c r="AE17" s="47">
        <v>0.75</v>
      </c>
      <c r="AF17" s="48">
        <v>3.0</v>
      </c>
      <c r="AG17" s="49">
        <v>4.0</v>
      </c>
      <c r="AH17" s="49">
        <f>Max!$B$4*AE17</f>
        <v>75</v>
      </c>
      <c r="AI17" s="3"/>
      <c r="AJ17" s="64">
        <v>5.0</v>
      </c>
      <c r="AK17" s="65" t="s">
        <v>48</v>
      </c>
      <c r="AL17" s="66">
        <v>0.75</v>
      </c>
      <c r="AM17" s="67">
        <v>5.0</v>
      </c>
      <c r="AN17" s="68">
        <v>5.0</v>
      </c>
      <c r="AO17" s="68"/>
      <c r="AP17" s="3"/>
      <c r="AQ17" s="28"/>
      <c r="AR17" s="57"/>
      <c r="AS17" s="36"/>
      <c r="AT17" s="27"/>
      <c r="AU17" s="13"/>
      <c r="AV17" s="13"/>
      <c r="AW17" s="3"/>
      <c r="AX17" s="3"/>
      <c r="AY17" s="3"/>
      <c r="AZ17" s="3"/>
      <c r="BA17" s="3"/>
      <c r="BB17" s="3"/>
      <c r="BC17" s="3"/>
      <c r="BD17" s="3"/>
      <c r="BE17" s="3"/>
      <c r="BF17" s="3"/>
    </row>
    <row r="18" ht="12.75" customHeight="1">
      <c r="A18" s="28"/>
      <c r="B18" s="57"/>
      <c r="C18" s="36"/>
      <c r="D18" s="13"/>
      <c r="E18" s="13"/>
      <c r="F18" s="13"/>
      <c r="G18" s="13"/>
      <c r="H18" s="52"/>
      <c r="I18" s="51"/>
      <c r="J18" s="52"/>
      <c r="K18" s="51"/>
      <c r="L18" s="53"/>
      <c r="M18" s="3"/>
      <c r="N18" s="3"/>
      <c r="O18" s="3"/>
      <c r="P18" s="3"/>
      <c r="Q18" s="3"/>
      <c r="R18" s="3"/>
      <c r="S18" s="3"/>
      <c r="T18" s="3"/>
      <c r="U18" s="3"/>
      <c r="V18" s="3"/>
      <c r="W18" s="3"/>
      <c r="X18" s="3"/>
      <c r="Y18" s="3"/>
      <c r="Z18" s="3"/>
      <c r="AA18" s="3"/>
      <c r="AB18" s="3"/>
      <c r="AC18" s="56">
        <v>4.0</v>
      </c>
      <c r="AD18" s="57" t="s">
        <v>44</v>
      </c>
      <c r="AE18" s="58">
        <v>0.7</v>
      </c>
      <c r="AF18" s="55">
        <v>6.0</v>
      </c>
      <c r="AG18" s="55">
        <v>5.0</v>
      </c>
      <c r="AH18" s="55"/>
      <c r="AI18" s="3"/>
      <c r="AJ18" s="3"/>
      <c r="AK18" s="3"/>
      <c r="AL18" s="3"/>
      <c r="AM18" s="3"/>
      <c r="AN18" s="3"/>
      <c r="AO18" s="3"/>
      <c r="AP18" s="3"/>
      <c r="AQ18" s="28"/>
      <c r="AR18" s="57"/>
      <c r="AS18" s="36"/>
      <c r="AT18" s="27"/>
      <c r="AU18" s="13"/>
      <c r="AV18" s="13"/>
      <c r="AW18" s="3"/>
      <c r="AX18" s="3"/>
      <c r="AY18" s="3"/>
      <c r="AZ18" s="3"/>
      <c r="BA18" s="3"/>
      <c r="BB18" s="3"/>
      <c r="BC18" s="3"/>
      <c r="BD18" s="3"/>
      <c r="BE18" s="3"/>
      <c r="BF18" s="3"/>
    </row>
    <row r="19" ht="12.75" customHeight="1">
      <c r="A19" s="28" t="s">
        <v>49</v>
      </c>
      <c r="B19" s="28"/>
      <c r="C19" s="37" t="s">
        <v>33</v>
      </c>
      <c r="D19" s="26" t="s">
        <v>34</v>
      </c>
      <c r="E19" s="26" t="s">
        <v>35</v>
      </c>
      <c r="F19" s="26" t="s">
        <v>36</v>
      </c>
      <c r="G19" s="51"/>
      <c r="H19" s="52"/>
      <c r="I19" s="51"/>
      <c r="J19" s="52"/>
      <c r="K19" s="51"/>
      <c r="L19" s="53"/>
      <c r="M19" s="3"/>
      <c r="N19" s="3"/>
      <c r="O19" s="3"/>
      <c r="P19" s="3"/>
      <c r="Q19" s="3"/>
      <c r="R19" s="3"/>
      <c r="S19" s="3"/>
      <c r="T19" s="3"/>
      <c r="U19" s="3"/>
      <c r="V19" s="3"/>
      <c r="W19" s="3"/>
      <c r="X19" s="3"/>
      <c r="Y19" s="3"/>
      <c r="Z19" s="3"/>
      <c r="AA19" s="3"/>
      <c r="AB19" s="3"/>
      <c r="AC19" s="64">
        <v>5.0</v>
      </c>
      <c r="AD19" s="65" t="s">
        <v>50</v>
      </c>
      <c r="AE19" s="66">
        <v>0.65</v>
      </c>
      <c r="AF19" s="68">
        <v>8.0</v>
      </c>
      <c r="AG19" s="68">
        <v>4.0</v>
      </c>
      <c r="AH19" s="68"/>
      <c r="AI19" s="3"/>
      <c r="AJ19" s="28" t="s">
        <v>49</v>
      </c>
      <c r="AK19" s="28"/>
      <c r="AL19" s="37" t="s">
        <v>33</v>
      </c>
      <c r="AM19" s="26" t="s">
        <v>34</v>
      </c>
      <c r="AN19" s="26" t="s">
        <v>35</v>
      </c>
      <c r="AO19" s="26" t="s">
        <v>36</v>
      </c>
      <c r="AP19" s="3"/>
      <c r="AQ19" s="28" t="s">
        <v>49</v>
      </c>
      <c r="AR19" s="28"/>
      <c r="AS19" s="37" t="s">
        <v>33</v>
      </c>
      <c r="AT19" s="26" t="s">
        <v>34</v>
      </c>
      <c r="AU19" s="26" t="s">
        <v>35</v>
      </c>
      <c r="AV19" s="26" t="s">
        <v>36</v>
      </c>
      <c r="AW19" s="3"/>
      <c r="AX19" s="3"/>
      <c r="AY19" s="3"/>
      <c r="AZ19" s="3"/>
      <c r="BA19" s="3"/>
      <c r="BB19" s="3"/>
      <c r="BC19" s="3"/>
      <c r="BD19" s="3"/>
      <c r="BE19" s="3"/>
      <c r="BF19" s="3"/>
    </row>
    <row r="20" ht="12.75" customHeight="1">
      <c r="A20" s="69">
        <v>1.0</v>
      </c>
      <c r="B20" s="70" t="s">
        <v>51</v>
      </c>
      <c r="C20" s="71">
        <v>0.5</v>
      </c>
      <c r="D20" s="72">
        <v>3.0</v>
      </c>
      <c r="E20" s="72">
        <v>1.0</v>
      </c>
      <c r="F20" s="72">
        <f>Max!$B$5*C20</f>
        <v>50</v>
      </c>
      <c r="G20" s="51"/>
      <c r="H20" s="52"/>
      <c r="I20" s="51"/>
      <c r="J20" s="52"/>
      <c r="K20" s="51"/>
      <c r="L20" s="53"/>
      <c r="M20" s="3"/>
      <c r="N20" s="3"/>
      <c r="O20" s="3"/>
      <c r="P20" s="3"/>
      <c r="Q20" s="3"/>
      <c r="R20" s="3"/>
      <c r="S20" s="3"/>
      <c r="T20" s="3"/>
      <c r="U20" s="3"/>
      <c r="V20" s="3"/>
      <c r="W20" s="3"/>
      <c r="X20" s="3"/>
      <c r="Y20" s="3"/>
      <c r="Z20" s="3"/>
      <c r="AA20" s="3"/>
      <c r="AB20" s="3"/>
      <c r="AC20" s="3"/>
      <c r="AD20" s="3"/>
      <c r="AE20" s="3"/>
      <c r="AF20" s="3"/>
      <c r="AG20" s="3"/>
      <c r="AH20" s="3"/>
      <c r="AI20" s="3"/>
      <c r="AJ20" s="69">
        <v>1.0</v>
      </c>
      <c r="AK20" s="70" t="s">
        <v>52</v>
      </c>
      <c r="AL20" s="71">
        <v>0.5</v>
      </c>
      <c r="AM20" s="73">
        <v>3.0</v>
      </c>
      <c r="AN20" s="72">
        <v>1.0</v>
      </c>
      <c r="AO20" s="72">
        <f>Max!$B$5*AL20</f>
        <v>50</v>
      </c>
      <c r="AP20" s="3"/>
      <c r="AQ20" s="45">
        <v>1.0</v>
      </c>
      <c r="AR20" s="46" t="s">
        <v>43</v>
      </c>
      <c r="AS20" s="47">
        <v>0.5</v>
      </c>
      <c r="AT20" s="48">
        <v>5.0</v>
      </c>
      <c r="AU20" s="49">
        <v>1.0</v>
      </c>
      <c r="AV20" s="49">
        <f>Max!$B$4*AS20</f>
        <v>50</v>
      </c>
      <c r="AW20" s="3"/>
      <c r="AX20" s="3"/>
      <c r="AY20" s="3"/>
      <c r="AZ20" s="3"/>
      <c r="BA20" s="3"/>
      <c r="BB20" s="3"/>
      <c r="BC20" s="3"/>
      <c r="BD20" s="3"/>
      <c r="BE20" s="3"/>
      <c r="BF20" s="3"/>
    </row>
    <row r="21" ht="12.75" customHeight="1">
      <c r="A21" s="69"/>
      <c r="B21" s="70"/>
      <c r="C21" s="71">
        <v>0.6</v>
      </c>
      <c r="D21" s="72">
        <v>3.0</v>
      </c>
      <c r="E21" s="72">
        <v>1.0</v>
      </c>
      <c r="F21" s="72">
        <f>Max!$B$5*C21</f>
        <v>60</v>
      </c>
      <c r="G21" s="51"/>
      <c r="H21" s="52"/>
      <c r="I21" s="51"/>
      <c r="J21" s="52"/>
      <c r="K21" s="51">
        <f t="shared" ref="K21:K24" si="7">D18*E18</f>
        <v>0</v>
      </c>
      <c r="L21" s="53">
        <f t="shared" ref="L21:L24" si="8">F18*K21</f>
        <v>0</v>
      </c>
      <c r="M21" s="3"/>
      <c r="N21" s="3"/>
      <c r="O21" s="3"/>
      <c r="P21" s="3"/>
      <c r="Q21" s="3"/>
      <c r="R21" s="3"/>
      <c r="S21" s="3"/>
      <c r="T21" s="3"/>
      <c r="U21" s="3"/>
      <c r="V21" s="3"/>
      <c r="W21" s="6">
        <f>K21</f>
        <v>0</v>
      </c>
      <c r="X21" s="6" t="str">
        <f>K22</f>
        <v>#VALUE!</v>
      </c>
      <c r="Y21" s="6">
        <f>K23+K24</f>
        <v>6</v>
      </c>
      <c r="Z21" s="3">
        <v>0.0</v>
      </c>
      <c r="AA21" s="3">
        <v>0.0</v>
      </c>
      <c r="AB21" s="3"/>
      <c r="AC21" s="28" t="s">
        <v>49</v>
      </c>
      <c r="AD21" s="28"/>
      <c r="AE21" s="37" t="s">
        <v>33</v>
      </c>
      <c r="AF21" s="26" t="s">
        <v>34</v>
      </c>
      <c r="AG21" s="26" t="s">
        <v>35</v>
      </c>
      <c r="AH21" s="26" t="s">
        <v>36</v>
      </c>
      <c r="AI21" s="3"/>
      <c r="AJ21" s="69"/>
      <c r="AK21" s="70"/>
      <c r="AL21" s="71">
        <v>0.6</v>
      </c>
      <c r="AM21" s="73">
        <v>3.0</v>
      </c>
      <c r="AN21" s="72">
        <v>1.0</v>
      </c>
      <c r="AO21" s="72">
        <f>Max!$B$5*AL21</f>
        <v>60</v>
      </c>
      <c r="AP21" s="3"/>
      <c r="AQ21" s="45"/>
      <c r="AR21" s="46"/>
      <c r="AS21" s="47">
        <v>0.6</v>
      </c>
      <c r="AT21" s="48">
        <v>4.0</v>
      </c>
      <c r="AU21" s="49">
        <v>1.0</v>
      </c>
      <c r="AV21" s="49">
        <f>Max!$B$4*AS21</f>
        <v>60</v>
      </c>
      <c r="AW21" s="3"/>
      <c r="AX21" s="3"/>
      <c r="AY21" s="3"/>
      <c r="AZ21" s="3"/>
      <c r="BA21" s="3"/>
      <c r="BB21" s="3"/>
      <c r="BC21" s="3"/>
      <c r="BD21" s="3"/>
      <c r="BE21" s="3"/>
      <c r="BF21" s="3"/>
    </row>
    <row r="22" ht="12.75" customHeight="1">
      <c r="A22" s="69"/>
      <c r="B22" s="70"/>
      <c r="C22" s="71">
        <v>0.7</v>
      </c>
      <c r="D22" s="72">
        <v>2.0</v>
      </c>
      <c r="E22" s="72">
        <v>1.0</v>
      </c>
      <c r="F22" s="72">
        <f>Max!$B$5*C22</f>
        <v>70</v>
      </c>
      <c r="G22" s="51"/>
      <c r="H22" s="52"/>
      <c r="I22" s="51"/>
      <c r="J22" s="52"/>
      <c r="K22" s="51" t="str">
        <f t="shared" si="7"/>
        <v>#VALUE!</v>
      </c>
      <c r="L22" s="53" t="str">
        <f t="shared" si="8"/>
        <v>#VALUE!</v>
      </c>
      <c r="M22" s="3"/>
      <c r="N22" s="3"/>
      <c r="O22" s="3"/>
      <c r="P22" s="3"/>
      <c r="Q22" s="3"/>
      <c r="R22" s="3"/>
      <c r="S22" s="3"/>
      <c r="T22" s="3"/>
      <c r="U22" s="3"/>
      <c r="V22" s="3"/>
      <c r="W22" s="3"/>
      <c r="X22" s="3"/>
      <c r="Y22" s="3"/>
      <c r="Z22" s="3"/>
      <c r="AA22" s="3"/>
      <c r="AB22" s="3"/>
      <c r="AC22" s="45">
        <v>1.0</v>
      </c>
      <c r="AD22" s="46" t="s">
        <v>43</v>
      </c>
      <c r="AE22" s="47">
        <v>0.5</v>
      </c>
      <c r="AF22" s="48">
        <v>5.0</v>
      </c>
      <c r="AG22" s="49">
        <v>1.0</v>
      </c>
      <c r="AH22" s="49">
        <f>Max!$B$4*AE22</f>
        <v>50</v>
      </c>
      <c r="AI22" s="3"/>
      <c r="AJ22" s="69"/>
      <c r="AK22" s="70"/>
      <c r="AL22" s="71">
        <v>0.65</v>
      </c>
      <c r="AM22" s="73">
        <v>3.0</v>
      </c>
      <c r="AN22" s="72">
        <v>1.0</v>
      </c>
      <c r="AO22" s="72">
        <f>Max!$B$5*AL22</f>
        <v>65</v>
      </c>
      <c r="AP22" s="3"/>
      <c r="AQ22" s="45"/>
      <c r="AR22" s="46"/>
      <c r="AS22" s="47">
        <v>0.7</v>
      </c>
      <c r="AT22" s="48">
        <v>3.0</v>
      </c>
      <c r="AU22" s="49">
        <v>1.0</v>
      </c>
      <c r="AV22" s="49">
        <f>Max!$B$4*AS22</f>
        <v>70</v>
      </c>
      <c r="AW22" s="3"/>
      <c r="AX22" s="3"/>
      <c r="AY22" s="3"/>
      <c r="AZ22" s="3"/>
      <c r="BA22" s="3"/>
      <c r="BB22" s="3"/>
      <c r="BC22" s="3"/>
      <c r="BD22" s="3"/>
      <c r="BE22" s="3"/>
      <c r="BF22" s="3"/>
    </row>
    <row r="23" ht="12.75" customHeight="1">
      <c r="A23" s="69"/>
      <c r="B23" s="70"/>
      <c r="C23" s="71">
        <v>0.75</v>
      </c>
      <c r="D23" s="72">
        <v>2.0</v>
      </c>
      <c r="E23" s="72">
        <v>4.0</v>
      </c>
      <c r="F23" s="72">
        <f>Max!$B$5*C23</f>
        <v>75</v>
      </c>
      <c r="G23" s="51"/>
      <c r="H23" s="52"/>
      <c r="I23" s="51"/>
      <c r="J23" s="52"/>
      <c r="K23" s="51">
        <f t="shared" si="7"/>
        <v>3</v>
      </c>
      <c r="L23" s="53">
        <f t="shared" si="8"/>
        <v>150</v>
      </c>
      <c r="M23" s="3"/>
      <c r="N23" s="3"/>
      <c r="O23" s="3"/>
      <c r="P23" s="3"/>
      <c r="Q23" s="3"/>
      <c r="R23" s="3"/>
      <c r="S23" s="3"/>
      <c r="T23" s="3"/>
      <c r="U23" s="3"/>
      <c r="V23" s="3"/>
      <c r="W23" s="3"/>
      <c r="X23" s="3"/>
      <c r="Y23" s="3"/>
      <c r="Z23" s="3"/>
      <c r="AA23" s="3"/>
      <c r="AB23" s="3"/>
      <c r="AC23" s="45"/>
      <c r="AD23" s="46"/>
      <c r="AE23" s="47">
        <v>0.6</v>
      </c>
      <c r="AF23" s="48">
        <v>4.0</v>
      </c>
      <c r="AG23" s="49">
        <v>1.0</v>
      </c>
      <c r="AH23" s="49">
        <f>Max!$B$4*AE23</f>
        <v>60</v>
      </c>
      <c r="AI23" s="3"/>
      <c r="AJ23" s="69"/>
      <c r="AK23" s="70"/>
      <c r="AL23" s="71">
        <v>0.7</v>
      </c>
      <c r="AM23" s="73">
        <v>2.0</v>
      </c>
      <c r="AN23" s="72">
        <v>4.0</v>
      </c>
      <c r="AO23" s="72">
        <f>Max!$B$5*AL23</f>
        <v>70</v>
      </c>
      <c r="AP23" s="3"/>
      <c r="AQ23" s="45"/>
      <c r="AR23" s="46"/>
      <c r="AS23" s="47">
        <v>0.8</v>
      </c>
      <c r="AT23" s="48">
        <v>3.0</v>
      </c>
      <c r="AU23" s="49">
        <v>1.0</v>
      </c>
      <c r="AV23" s="49">
        <f>Max!$B$4*AS23</f>
        <v>80</v>
      </c>
      <c r="AW23" s="3"/>
      <c r="AX23" s="3"/>
      <c r="AY23" s="3"/>
      <c r="AZ23" s="3"/>
      <c r="BA23" s="3"/>
      <c r="BB23" s="3"/>
      <c r="BC23" s="3"/>
      <c r="BD23" s="3"/>
      <c r="BE23" s="3"/>
      <c r="BF23" s="3"/>
    </row>
    <row r="24" ht="12.75" customHeight="1">
      <c r="A24" s="45">
        <v>2.0</v>
      </c>
      <c r="B24" s="46" t="s">
        <v>43</v>
      </c>
      <c r="C24" s="47">
        <v>0.5</v>
      </c>
      <c r="D24" s="49">
        <v>5.0</v>
      </c>
      <c r="E24" s="49">
        <v>1.0</v>
      </c>
      <c r="F24" s="49">
        <f>Max!$B$4*C24</f>
        <v>50</v>
      </c>
      <c r="G24" s="51"/>
      <c r="H24" s="52"/>
      <c r="I24" s="51"/>
      <c r="J24" s="52"/>
      <c r="K24" s="51">
        <f t="shared" si="7"/>
        <v>3</v>
      </c>
      <c r="L24" s="53">
        <f t="shared" si="8"/>
        <v>180</v>
      </c>
      <c r="M24" s="3"/>
      <c r="N24" s="3"/>
      <c r="O24" s="3"/>
      <c r="P24" s="3"/>
      <c r="Q24" s="3"/>
      <c r="R24" s="3"/>
      <c r="S24" s="3"/>
      <c r="T24" s="3"/>
      <c r="U24" s="3"/>
      <c r="V24" s="3"/>
      <c r="W24" s="3"/>
      <c r="X24" s="3"/>
      <c r="Y24" s="3"/>
      <c r="Z24" s="3"/>
      <c r="AA24" s="3"/>
      <c r="AB24" s="3"/>
      <c r="AC24" s="45"/>
      <c r="AD24" s="46"/>
      <c r="AE24" s="47">
        <v>0.7</v>
      </c>
      <c r="AF24" s="48">
        <v>3.0</v>
      </c>
      <c r="AG24" s="49">
        <v>1.0</v>
      </c>
      <c r="AH24" s="49">
        <f>Max!$B$4*AE24</f>
        <v>70</v>
      </c>
      <c r="AI24" s="3"/>
      <c r="AJ24" s="45">
        <v>2.0</v>
      </c>
      <c r="AK24" s="46" t="s">
        <v>43</v>
      </c>
      <c r="AL24" s="47">
        <v>0.5</v>
      </c>
      <c r="AM24" s="48">
        <v>3.0</v>
      </c>
      <c r="AN24" s="49">
        <v>1.0</v>
      </c>
      <c r="AO24" s="49">
        <f>Max!$B$4*AL24</f>
        <v>50</v>
      </c>
      <c r="AP24" s="3"/>
      <c r="AQ24" s="45"/>
      <c r="AR24" s="46"/>
      <c r="AS24" s="47">
        <v>0.85</v>
      </c>
      <c r="AT24" s="48">
        <v>2.0</v>
      </c>
      <c r="AU24" s="49">
        <v>1.0</v>
      </c>
      <c r="AV24" s="49">
        <f>Max!$B$4*AS24</f>
        <v>85</v>
      </c>
      <c r="AW24" s="3"/>
      <c r="AX24" s="3"/>
      <c r="AY24" s="3"/>
      <c r="AZ24" s="3"/>
      <c r="BA24" s="3"/>
      <c r="BB24" s="3"/>
      <c r="BC24" s="3"/>
      <c r="BD24" s="3"/>
      <c r="BE24" s="3"/>
      <c r="BF24" s="3"/>
    </row>
    <row r="25" ht="12.75" customHeight="1">
      <c r="A25" s="54"/>
      <c r="B25" s="46"/>
      <c r="C25" s="47">
        <v>0.6</v>
      </c>
      <c r="D25" s="48">
        <v>4.0</v>
      </c>
      <c r="E25" s="49">
        <v>1.0</v>
      </c>
      <c r="F25" s="49">
        <f>Max!$B$4*C25</f>
        <v>60</v>
      </c>
      <c r="G25" s="51"/>
      <c r="H25" s="52"/>
      <c r="I25" s="51"/>
      <c r="J25" s="52"/>
      <c r="K25" s="51"/>
      <c r="L25" s="53"/>
      <c r="M25" s="3"/>
      <c r="N25" s="3"/>
      <c r="O25" s="3"/>
      <c r="P25" s="3"/>
      <c r="Q25" s="3"/>
      <c r="R25" s="3"/>
      <c r="S25" s="3"/>
      <c r="T25" s="3"/>
      <c r="U25" s="3"/>
      <c r="V25" s="3"/>
      <c r="W25" s="3"/>
      <c r="X25" s="3"/>
      <c r="Y25" s="3"/>
      <c r="Z25" s="3"/>
      <c r="AA25" s="3"/>
      <c r="AB25" s="3"/>
      <c r="AC25" s="45"/>
      <c r="AD25" s="46"/>
      <c r="AE25" s="47">
        <v>0.8</v>
      </c>
      <c r="AF25" s="48">
        <v>2.0</v>
      </c>
      <c r="AG25" s="49">
        <v>5.0</v>
      </c>
      <c r="AH25" s="49">
        <f>Max!$B$4*AE25</f>
        <v>80</v>
      </c>
      <c r="AI25" s="3"/>
      <c r="AJ25" s="45"/>
      <c r="AK25" s="46"/>
      <c r="AL25" s="47">
        <v>0.6</v>
      </c>
      <c r="AM25" s="48">
        <v>3.0</v>
      </c>
      <c r="AN25" s="49">
        <v>1.0</v>
      </c>
      <c r="AO25" s="49">
        <f>Max!$B$4*AL25</f>
        <v>60</v>
      </c>
      <c r="AP25" s="3"/>
      <c r="AQ25" s="45"/>
      <c r="AR25" s="46"/>
      <c r="AS25" s="47">
        <v>0.9</v>
      </c>
      <c r="AT25" s="48">
        <v>1.0</v>
      </c>
      <c r="AU25" s="49">
        <v>2.0</v>
      </c>
      <c r="AV25" s="49">
        <f>Max!$B$4*AS25</f>
        <v>90</v>
      </c>
      <c r="AW25" s="3"/>
      <c r="AX25" s="3"/>
      <c r="AY25" s="3"/>
      <c r="AZ25" s="3"/>
      <c r="BA25" s="3"/>
      <c r="BB25" s="3"/>
      <c r="BC25" s="3"/>
      <c r="BD25" s="3"/>
      <c r="BE25" s="3"/>
      <c r="BF25" s="3"/>
    </row>
    <row r="26" ht="12.75" customHeight="1">
      <c r="A26" s="45"/>
      <c r="B26" s="46"/>
      <c r="C26" s="47">
        <v>0.7</v>
      </c>
      <c r="D26" s="49">
        <v>3.0</v>
      </c>
      <c r="E26" s="49">
        <v>1.0</v>
      </c>
      <c r="F26" s="49">
        <f>Max!$B$4*C26</f>
        <v>70</v>
      </c>
      <c r="G26" s="51"/>
      <c r="H26" s="52"/>
      <c r="I26" s="51"/>
      <c r="J26" s="52"/>
      <c r="K26" s="51"/>
      <c r="L26" s="53"/>
      <c r="M26" s="3"/>
      <c r="N26" s="3"/>
      <c r="O26" s="3"/>
      <c r="P26" s="3"/>
      <c r="Q26" s="3"/>
      <c r="R26" s="3"/>
      <c r="S26" s="3"/>
      <c r="T26" s="3"/>
      <c r="U26" s="3"/>
      <c r="V26" s="3"/>
      <c r="W26" s="3"/>
      <c r="X26" s="3"/>
      <c r="Y26" s="3"/>
      <c r="Z26" s="3"/>
      <c r="AA26" s="3"/>
      <c r="AB26" s="3"/>
      <c r="AC26" s="69">
        <v>1.0</v>
      </c>
      <c r="AD26" s="70" t="s">
        <v>53</v>
      </c>
      <c r="AE26" s="71">
        <v>0.5</v>
      </c>
      <c r="AF26" s="72">
        <v>3.0</v>
      </c>
      <c r="AG26" s="72">
        <v>1.0</v>
      </c>
      <c r="AH26" s="72">
        <f>Max!$B$5*AE26</f>
        <v>50</v>
      </c>
      <c r="AI26" s="3"/>
      <c r="AJ26" s="45"/>
      <c r="AK26" s="46"/>
      <c r="AL26" s="47">
        <v>0.7</v>
      </c>
      <c r="AM26" s="48">
        <v>3.0</v>
      </c>
      <c r="AN26" s="49">
        <v>1.0</v>
      </c>
      <c r="AO26" s="49">
        <f>Max!$B$4*AL26</f>
        <v>70</v>
      </c>
      <c r="AP26" s="3"/>
      <c r="AQ26" s="45"/>
      <c r="AR26" s="46"/>
      <c r="AS26" s="47">
        <v>0.75</v>
      </c>
      <c r="AT26" s="48">
        <v>4.0</v>
      </c>
      <c r="AU26" s="49">
        <v>1.0</v>
      </c>
      <c r="AV26" s="49">
        <f>Max!$B$4*AS26</f>
        <v>75</v>
      </c>
      <c r="AW26" s="3"/>
      <c r="AX26" s="3"/>
      <c r="AY26" s="3"/>
      <c r="AZ26" s="3"/>
      <c r="BA26" s="3"/>
      <c r="BB26" s="3"/>
      <c r="BC26" s="3"/>
      <c r="BD26" s="3"/>
      <c r="BE26" s="3"/>
      <c r="BF26" s="3"/>
    </row>
    <row r="27" ht="12.75" customHeight="1">
      <c r="A27" s="45"/>
      <c r="B27" s="46"/>
      <c r="C27" s="47">
        <v>0.8</v>
      </c>
      <c r="D27" s="49">
        <v>2.0</v>
      </c>
      <c r="E27" s="49">
        <v>4.0</v>
      </c>
      <c r="F27" s="49">
        <f>Max!$B$4*C27</f>
        <v>80</v>
      </c>
      <c r="G27" s="51"/>
      <c r="H27" s="52"/>
      <c r="I27" s="51"/>
      <c r="J27" s="52"/>
      <c r="K27" s="51"/>
      <c r="L27" s="53"/>
      <c r="M27" s="3"/>
      <c r="N27" s="3"/>
      <c r="O27" s="3"/>
      <c r="P27" s="3"/>
      <c r="Q27" s="3"/>
      <c r="R27" s="3"/>
      <c r="S27" s="3"/>
      <c r="T27" s="3"/>
      <c r="U27" s="3"/>
      <c r="V27" s="3"/>
      <c r="W27" s="3"/>
      <c r="X27" s="3"/>
      <c r="Y27" s="3"/>
      <c r="Z27" s="3"/>
      <c r="AA27" s="3"/>
      <c r="AB27" s="3"/>
      <c r="AC27" s="69"/>
      <c r="AD27" s="70"/>
      <c r="AE27" s="71">
        <v>0.6</v>
      </c>
      <c r="AF27" s="72">
        <v>3.0</v>
      </c>
      <c r="AG27" s="72">
        <v>1.0</v>
      </c>
      <c r="AH27" s="72">
        <f>Max!$B$5*AE27</f>
        <v>60</v>
      </c>
      <c r="AI27" s="3"/>
      <c r="AJ27" s="45"/>
      <c r="AK27" s="46"/>
      <c r="AL27" s="47">
        <v>0.8</v>
      </c>
      <c r="AM27" s="48">
        <v>2.0</v>
      </c>
      <c r="AN27" s="49">
        <v>4.0</v>
      </c>
      <c r="AO27" s="49">
        <f>Max!$B$4*AL27</f>
        <v>80</v>
      </c>
      <c r="AP27" s="3"/>
      <c r="AQ27" s="69">
        <v>2.0</v>
      </c>
      <c r="AR27" s="70" t="s">
        <v>53</v>
      </c>
      <c r="AS27" s="71">
        <v>0.5</v>
      </c>
      <c r="AT27" s="72">
        <v>3.0</v>
      </c>
      <c r="AU27" s="72">
        <v>1.0</v>
      </c>
      <c r="AV27" s="72">
        <f>Max!$B$5*AS27</f>
        <v>50</v>
      </c>
      <c r="AW27" s="3"/>
      <c r="AX27" s="3"/>
      <c r="AY27" s="3"/>
      <c r="AZ27" s="3"/>
      <c r="BA27" s="3"/>
      <c r="BB27" s="3"/>
      <c r="BC27" s="3"/>
      <c r="BD27" s="3"/>
      <c r="BE27" s="3"/>
      <c r="BF27" s="3"/>
    </row>
    <row r="28" ht="12.75" customHeight="1">
      <c r="A28" s="56">
        <v>3.0</v>
      </c>
      <c r="B28" s="57" t="s">
        <v>54</v>
      </c>
      <c r="C28" s="58">
        <v>0.7</v>
      </c>
      <c r="D28" s="55">
        <v>6.0</v>
      </c>
      <c r="E28" s="55">
        <v>5.0</v>
      </c>
      <c r="F28" s="55"/>
      <c r="G28" s="13"/>
      <c r="H28" s="52"/>
      <c r="I28" s="51"/>
      <c r="J28" s="52"/>
      <c r="K28" s="51">
        <f t="shared" ref="K28:K30" si="9">D25*E25</f>
        <v>4</v>
      </c>
      <c r="L28" s="53">
        <f t="shared" ref="L28:L30" si="10">F25*K28</f>
        <v>240</v>
      </c>
      <c r="M28" s="3"/>
      <c r="N28" s="3"/>
      <c r="O28" s="3"/>
      <c r="P28" s="3"/>
      <c r="Q28" s="3"/>
      <c r="R28" s="3"/>
      <c r="S28" s="3"/>
      <c r="T28" s="3"/>
      <c r="U28" s="3"/>
      <c r="V28" s="3"/>
      <c r="W28" s="3">
        <v>0.0</v>
      </c>
      <c r="X28" s="6">
        <f>K28</f>
        <v>4</v>
      </c>
      <c r="Y28" s="6">
        <f>K29</f>
        <v>3</v>
      </c>
      <c r="Z28" s="6">
        <f>K30</f>
        <v>8</v>
      </c>
      <c r="AA28" s="3">
        <v>0.0</v>
      </c>
      <c r="AB28" s="3"/>
      <c r="AC28" s="69"/>
      <c r="AD28" s="70"/>
      <c r="AE28" s="71">
        <v>0.7</v>
      </c>
      <c r="AF28" s="72">
        <v>3.0</v>
      </c>
      <c r="AG28" s="72">
        <v>1.0</v>
      </c>
      <c r="AH28" s="72">
        <f>Max!$B$5*AE28</f>
        <v>70</v>
      </c>
      <c r="AI28" s="3"/>
      <c r="AJ28" s="69">
        <v>3.0</v>
      </c>
      <c r="AK28" s="70" t="s">
        <v>55</v>
      </c>
      <c r="AL28" s="71">
        <v>0.6</v>
      </c>
      <c r="AM28" s="73">
        <v>4.0</v>
      </c>
      <c r="AN28" s="72">
        <v>1.0</v>
      </c>
      <c r="AO28" s="72">
        <f>Max!$B$5*AL28</f>
        <v>60</v>
      </c>
      <c r="AP28" s="3"/>
      <c r="AQ28" s="69"/>
      <c r="AR28" s="70"/>
      <c r="AS28" s="71">
        <v>0.6</v>
      </c>
      <c r="AT28" s="72">
        <v>3.0</v>
      </c>
      <c r="AU28" s="72">
        <v>1.0</v>
      </c>
      <c r="AV28" s="72">
        <f>Max!$B$5*AS28</f>
        <v>60</v>
      </c>
      <c r="AW28" s="3"/>
      <c r="AX28" s="3"/>
      <c r="AY28" s="3"/>
      <c r="AZ28" s="3"/>
      <c r="BA28" s="3"/>
      <c r="BB28" s="3"/>
      <c r="BC28" s="3"/>
      <c r="BD28" s="3"/>
      <c r="BE28" s="3"/>
      <c r="BF28" s="3"/>
    </row>
    <row r="29" ht="12.75" customHeight="1">
      <c r="A29" s="60">
        <v>4.0</v>
      </c>
      <c r="B29" s="59" t="s">
        <v>56</v>
      </c>
      <c r="C29" s="61">
        <v>0.7</v>
      </c>
      <c r="D29" s="63">
        <v>6.0</v>
      </c>
      <c r="E29" s="63">
        <v>5.0</v>
      </c>
      <c r="F29" s="63"/>
      <c r="G29" s="13"/>
      <c r="H29" s="52"/>
      <c r="I29" s="51"/>
      <c r="J29" s="52"/>
      <c r="K29" s="51">
        <f t="shared" si="9"/>
        <v>3</v>
      </c>
      <c r="L29" s="53">
        <f t="shared" si="10"/>
        <v>210</v>
      </c>
      <c r="M29" s="3"/>
      <c r="N29" s="3"/>
      <c r="O29" s="3"/>
      <c r="P29" s="3"/>
      <c r="Q29" s="3"/>
      <c r="R29" s="3"/>
      <c r="S29" s="3"/>
      <c r="T29" s="3"/>
      <c r="U29" s="3"/>
      <c r="V29" s="3"/>
      <c r="W29" s="3"/>
      <c r="X29" s="3"/>
      <c r="Y29" s="3"/>
      <c r="Z29" s="3"/>
      <c r="AA29" s="3"/>
      <c r="AB29" s="3"/>
      <c r="AC29" s="69"/>
      <c r="AD29" s="70"/>
      <c r="AE29" s="71">
        <v>0.75</v>
      </c>
      <c r="AF29" s="72">
        <v>2.0</v>
      </c>
      <c r="AG29" s="72">
        <v>4.0</v>
      </c>
      <c r="AH29" s="72">
        <f>Max!$B$5*AE29</f>
        <v>75</v>
      </c>
      <c r="AI29" s="3"/>
      <c r="AJ29" s="69"/>
      <c r="AK29" s="70"/>
      <c r="AL29" s="71">
        <v>0.7</v>
      </c>
      <c r="AM29" s="73">
        <v>4.0</v>
      </c>
      <c r="AN29" s="72">
        <v>1.0</v>
      </c>
      <c r="AO29" s="72">
        <f>Max!$B$5*AL29</f>
        <v>70</v>
      </c>
      <c r="AP29" s="3"/>
      <c r="AQ29" s="69"/>
      <c r="AR29" s="70"/>
      <c r="AS29" s="71">
        <v>0.7</v>
      </c>
      <c r="AT29" s="72">
        <v>3.0</v>
      </c>
      <c r="AU29" s="72">
        <v>1.0</v>
      </c>
      <c r="AV29" s="72">
        <f>Max!$B$5*AS29</f>
        <v>70</v>
      </c>
      <c r="AW29" s="3"/>
      <c r="AX29" s="3"/>
      <c r="AY29" s="3"/>
      <c r="AZ29" s="3"/>
      <c r="BA29" s="3"/>
      <c r="BB29" s="3"/>
      <c r="BC29" s="3"/>
      <c r="BD29" s="3"/>
      <c r="BE29" s="3"/>
      <c r="BF29" s="3"/>
    </row>
    <row r="30" ht="12.75" customHeight="1">
      <c r="A30" s="64">
        <v>5.0</v>
      </c>
      <c r="B30" s="65" t="s">
        <v>50</v>
      </c>
      <c r="C30" s="66">
        <v>0.65</v>
      </c>
      <c r="D30" s="68">
        <v>8.0</v>
      </c>
      <c r="E30" s="68">
        <v>4.0</v>
      </c>
      <c r="F30" s="68"/>
      <c r="G30" s="13"/>
      <c r="H30" s="52"/>
      <c r="I30" s="51"/>
      <c r="J30" s="52"/>
      <c r="K30" s="51">
        <f t="shared" si="9"/>
        <v>8</v>
      </c>
      <c r="L30" s="53">
        <f t="shared" si="10"/>
        <v>640</v>
      </c>
      <c r="M30" s="3"/>
      <c r="N30" s="3"/>
      <c r="O30" s="3"/>
      <c r="P30" s="3"/>
      <c r="Q30" s="3"/>
      <c r="R30" s="3"/>
      <c r="S30" s="3"/>
      <c r="T30" s="3"/>
      <c r="U30" s="3"/>
      <c r="V30" s="3"/>
      <c r="W30" s="3"/>
      <c r="X30" s="3"/>
      <c r="Y30" s="3"/>
      <c r="Z30" s="3"/>
      <c r="AA30" s="3"/>
      <c r="AB30" s="3"/>
      <c r="AC30" s="56">
        <v>3.0</v>
      </c>
      <c r="AD30" s="59" t="s">
        <v>46</v>
      </c>
      <c r="AE30" s="58">
        <v>0.75</v>
      </c>
      <c r="AF30" s="55">
        <v>5.0</v>
      </c>
      <c r="AG30" s="55">
        <v>5.0</v>
      </c>
      <c r="AH30" s="55"/>
      <c r="AI30" s="3"/>
      <c r="AJ30" s="74"/>
      <c r="AK30" s="75"/>
      <c r="AL30" s="76">
        <v>0.8</v>
      </c>
      <c r="AM30" s="77">
        <v>4.0</v>
      </c>
      <c r="AN30" s="78">
        <v>4.0</v>
      </c>
      <c r="AO30" s="78">
        <f>Max!$B$5*AL30</f>
        <v>80</v>
      </c>
      <c r="AP30" s="3"/>
      <c r="AQ30" s="69"/>
      <c r="AR30" s="70"/>
      <c r="AS30" s="71">
        <v>0.75</v>
      </c>
      <c r="AT30" s="73">
        <v>2.0</v>
      </c>
      <c r="AU30" s="72">
        <v>2.0</v>
      </c>
      <c r="AV30" s="72">
        <f>Max!$B$5*AS30</f>
        <v>75</v>
      </c>
      <c r="AW30" s="3"/>
      <c r="AX30" s="3"/>
      <c r="AY30" s="3"/>
      <c r="AZ30" s="3"/>
      <c r="BA30" s="3"/>
      <c r="BB30" s="3"/>
      <c r="BC30" s="3"/>
      <c r="BD30" s="3"/>
      <c r="BE30" s="3"/>
      <c r="BF30" s="3"/>
    </row>
    <row r="31" ht="12.75" customHeight="1">
      <c r="A31" s="28"/>
      <c r="B31" s="57"/>
      <c r="C31" s="36"/>
      <c r="D31" s="27"/>
      <c r="E31" s="13"/>
      <c r="F31" s="13"/>
      <c r="G31" s="51"/>
      <c r="H31" s="52"/>
      <c r="I31" s="51"/>
      <c r="J31" s="52"/>
      <c r="K31" s="51"/>
      <c r="L31" s="53"/>
      <c r="M31" s="3"/>
      <c r="N31" s="3"/>
      <c r="O31" s="3"/>
      <c r="P31" s="3"/>
      <c r="Q31" s="3"/>
      <c r="R31" s="3"/>
      <c r="S31" s="3"/>
      <c r="T31" s="3"/>
      <c r="U31" s="3"/>
      <c r="V31" s="3"/>
      <c r="W31" s="3"/>
      <c r="X31" s="3"/>
      <c r="Y31" s="3"/>
      <c r="Z31" s="3"/>
      <c r="AA31" s="3"/>
      <c r="AB31" s="3"/>
      <c r="AC31" s="60">
        <v>4.0</v>
      </c>
      <c r="AD31" s="59" t="s">
        <v>57</v>
      </c>
      <c r="AE31" s="61">
        <v>0.7</v>
      </c>
      <c r="AF31" s="62">
        <v>6.0</v>
      </c>
      <c r="AG31" s="63">
        <v>5.0</v>
      </c>
      <c r="AH31" s="63"/>
      <c r="AI31" s="3"/>
      <c r="AJ31" s="64">
        <v>4.0</v>
      </c>
      <c r="AK31" s="65" t="s">
        <v>54</v>
      </c>
      <c r="AL31" s="66">
        <v>0.7</v>
      </c>
      <c r="AM31" s="68">
        <v>6.0</v>
      </c>
      <c r="AN31" s="68">
        <v>5.0</v>
      </c>
      <c r="AO31" s="68"/>
      <c r="AP31" s="3"/>
      <c r="AQ31" s="69"/>
      <c r="AR31" s="70"/>
      <c r="AS31" s="71">
        <v>0.8</v>
      </c>
      <c r="AT31" s="72">
        <v>1.0</v>
      </c>
      <c r="AU31" s="72">
        <v>3.0</v>
      </c>
      <c r="AV31" s="72">
        <f>Max!$B$5*AS31</f>
        <v>80</v>
      </c>
      <c r="AW31" s="3"/>
      <c r="AX31" s="3"/>
      <c r="AY31" s="3"/>
      <c r="AZ31" s="3"/>
      <c r="BA31" s="3"/>
      <c r="BB31" s="3"/>
      <c r="BC31" s="3"/>
      <c r="BD31" s="3"/>
      <c r="BE31" s="3"/>
      <c r="BF31" s="3"/>
    </row>
    <row r="32" ht="12.75" customHeight="1">
      <c r="A32" s="28" t="s">
        <v>58</v>
      </c>
      <c r="B32" s="3"/>
      <c r="C32" s="37" t="s">
        <v>33</v>
      </c>
      <c r="D32" s="26" t="s">
        <v>34</v>
      </c>
      <c r="E32" s="26" t="s">
        <v>35</v>
      </c>
      <c r="F32" s="26" t="s">
        <v>36</v>
      </c>
      <c r="G32" s="51"/>
      <c r="H32" s="52"/>
      <c r="I32" s="51"/>
      <c r="J32" s="52"/>
      <c r="K32" s="51"/>
      <c r="L32" s="53"/>
      <c r="M32" s="3"/>
      <c r="N32" s="3"/>
      <c r="O32" s="3"/>
      <c r="P32" s="3"/>
      <c r="Q32" s="3"/>
      <c r="R32" s="3"/>
      <c r="S32" s="3"/>
      <c r="T32" s="3"/>
      <c r="U32" s="3"/>
      <c r="V32" s="3"/>
      <c r="W32" s="3"/>
      <c r="X32" s="3"/>
      <c r="Y32" s="3"/>
      <c r="Z32" s="3"/>
      <c r="AA32" s="3"/>
      <c r="AB32" s="3"/>
      <c r="AC32" s="64">
        <v>5.0</v>
      </c>
      <c r="AD32" s="65" t="s">
        <v>59</v>
      </c>
      <c r="AE32" s="66">
        <v>0.65</v>
      </c>
      <c r="AF32" s="67">
        <v>8.0</v>
      </c>
      <c r="AG32" s="68">
        <v>4.0</v>
      </c>
      <c r="AH32" s="68"/>
      <c r="AI32" s="3"/>
      <c r="AJ32" s="64">
        <v>5.0</v>
      </c>
      <c r="AK32" s="65" t="s">
        <v>59</v>
      </c>
      <c r="AL32" s="66">
        <v>0.6</v>
      </c>
      <c r="AM32" s="68">
        <v>10.0</v>
      </c>
      <c r="AN32" s="68">
        <v>4.0</v>
      </c>
      <c r="AO32" s="68"/>
      <c r="AP32" s="3"/>
      <c r="AQ32" s="56">
        <v>3.0</v>
      </c>
      <c r="AR32" s="59" t="s">
        <v>57</v>
      </c>
      <c r="AS32" s="58">
        <v>0.65</v>
      </c>
      <c r="AT32" s="79">
        <v>8.0</v>
      </c>
      <c r="AU32" s="55">
        <v>5.0</v>
      </c>
      <c r="AV32" s="55"/>
      <c r="AW32" s="3"/>
      <c r="AX32" s="3"/>
      <c r="AY32" s="3"/>
      <c r="AZ32" s="3"/>
      <c r="BA32" s="3"/>
      <c r="BB32" s="3"/>
      <c r="BC32" s="3"/>
      <c r="BD32" s="3"/>
      <c r="BE32" s="3"/>
      <c r="BF32" s="3"/>
    </row>
    <row r="33" ht="12.75" customHeight="1">
      <c r="A33" s="38">
        <v>1.0</v>
      </c>
      <c r="B33" s="39" t="s">
        <v>42</v>
      </c>
      <c r="C33" s="40">
        <v>0.5</v>
      </c>
      <c r="D33" s="50">
        <v>4.0</v>
      </c>
      <c r="E33" s="41">
        <v>1.0</v>
      </c>
      <c r="F33" s="41">
        <f>Max!$B$3*C33</f>
        <v>50</v>
      </c>
      <c r="G33" s="55"/>
      <c r="H33" s="51"/>
      <c r="I33" s="52"/>
      <c r="J33" s="51"/>
      <c r="K33" s="52"/>
      <c r="L33" s="51"/>
      <c r="M33" s="53"/>
      <c r="N33" s="3"/>
      <c r="O33" s="3"/>
      <c r="P33" s="3"/>
      <c r="Q33" s="3"/>
      <c r="R33" s="3"/>
      <c r="S33" s="3"/>
      <c r="T33" s="3"/>
      <c r="U33" s="3"/>
      <c r="V33" s="3"/>
      <c r="W33" s="3"/>
      <c r="X33" s="3"/>
      <c r="Y33" s="3"/>
      <c r="Z33" s="3"/>
      <c r="AA33" s="3"/>
      <c r="AB33" s="3"/>
      <c r="AC33" s="3"/>
      <c r="AD33" s="3"/>
      <c r="AE33" s="3"/>
      <c r="AF33" s="3"/>
      <c r="AG33" s="3"/>
      <c r="AH33" s="3"/>
      <c r="AI33" s="3"/>
      <c r="AP33" s="3"/>
      <c r="AQ33" s="56">
        <v>4.0</v>
      </c>
      <c r="AR33" s="65" t="s">
        <v>47</v>
      </c>
      <c r="AS33" s="58">
        <v>0.75</v>
      </c>
      <c r="AT33" s="79">
        <v>5.0</v>
      </c>
      <c r="AU33" s="55">
        <v>4.0</v>
      </c>
      <c r="AV33" s="55"/>
      <c r="AW33" s="3"/>
      <c r="AX33" s="3"/>
      <c r="AY33" s="3"/>
      <c r="AZ33" s="3"/>
      <c r="BA33" s="3"/>
      <c r="BB33" s="3"/>
      <c r="BC33" s="3"/>
      <c r="BD33" s="3"/>
      <c r="BE33" s="3"/>
      <c r="BF33" s="3"/>
    </row>
    <row r="34" ht="12.75" customHeight="1">
      <c r="A34" s="38"/>
      <c r="B34" s="39"/>
      <c r="C34" s="40">
        <v>0.6</v>
      </c>
      <c r="D34" s="50">
        <v>4.0</v>
      </c>
      <c r="E34" s="41">
        <v>1.0</v>
      </c>
      <c r="F34" s="41">
        <f>Max!$B$3*C34</f>
        <v>60</v>
      </c>
      <c r="G34" s="51"/>
      <c r="H34" s="52"/>
      <c r="I34" s="51"/>
      <c r="J34" s="52"/>
      <c r="K34" s="51"/>
      <c r="L34" s="53"/>
      <c r="M34" s="3"/>
      <c r="N34" s="3"/>
      <c r="O34" s="3"/>
      <c r="P34" s="3"/>
      <c r="Q34" s="3"/>
      <c r="R34" s="3"/>
      <c r="S34" s="3"/>
      <c r="T34" s="3"/>
      <c r="U34" s="3"/>
      <c r="V34" s="3"/>
      <c r="W34" s="3"/>
      <c r="X34" s="3"/>
      <c r="Y34" s="3"/>
      <c r="Z34" s="3"/>
      <c r="AA34" s="3"/>
      <c r="AB34" s="3"/>
      <c r="AC34" s="28" t="s">
        <v>58</v>
      </c>
      <c r="AD34" s="28"/>
      <c r="AE34" s="37" t="s">
        <v>33</v>
      </c>
      <c r="AF34" s="26" t="s">
        <v>34</v>
      </c>
      <c r="AG34" s="26" t="s">
        <v>35</v>
      </c>
      <c r="AH34" s="26" t="s">
        <v>36</v>
      </c>
      <c r="AI34" s="3"/>
      <c r="AJ34" s="28" t="s">
        <v>58</v>
      </c>
      <c r="AK34" s="28"/>
      <c r="AL34" s="37" t="s">
        <v>33</v>
      </c>
      <c r="AM34" s="26" t="s">
        <v>34</v>
      </c>
      <c r="AN34" s="26" t="s">
        <v>35</v>
      </c>
      <c r="AO34" s="26" t="s">
        <v>36</v>
      </c>
      <c r="AP34" s="3"/>
      <c r="AQ34" s="3"/>
      <c r="AR34" s="3"/>
      <c r="AS34" s="3"/>
      <c r="AT34" s="3"/>
      <c r="AU34" s="3"/>
      <c r="AV34" s="3"/>
      <c r="AW34" s="3"/>
      <c r="AX34" s="3"/>
      <c r="AY34" s="3"/>
      <c r="AZ34" s="3"/>
      <c r="BA34" s="3"/>
      <c r="BB34" s="3"/>
      <c r="BC34" s="3"/>
      <c r="BD34" s="3"/>
      <c r="BE34" s="3"/>
      <c r="BF34" s="3"/>
    </row>
    <row r="35" ht="12.75" customHeight="1">
      <c r="A35" s="38"/>
      <c r="B35" s="39"/>
      <c r="C35" s="40">
        <v>0.7</v>
      </c>
      <c r="D35" s="50">
        <v>4.0</v>
      </c>
      <c r="E35" s="41">
        <v>4.0</v>
      </c>
      <c r="F35" s="41">
        <f>Max!$B$3*C35</f>
        <v>70</v>
      </c>
      <c r="G35" s="51"/>
      <c r="H35" s="52"/>
      <c r="I35" s="51">
        <f t="shared" ref="I35:I38" si="11">D33*E33</f>
        <v>4</v>
      </c>
      <c r="J35" s="52">
        <f t="shared" ref="J35:J38" si="12">F33*I35</f>
        <v>200</v>
      </c>
      <c r="K35" s="51"/>
      <c r="L35" s="53"/>
      <c r="M35" s="3"/>
      <c r="N35" s="3"/>
      <c r="O35" s="3"/>
      <c r="P35" s="3"/>
      <c r="Q35" s="3"/>
      <c r="R35" s="6" t="str">
        <f>I35+I36+I44+I45</f>
        <v>#VALUE!</v>
      </c>
      <c r="S35" s="6">
        <f>I37+I38+I42+I43</f>
        <v>79</v>
      </c>
      <c r="T35" s="6" t="str">
        <f>I39+I40+I41</f>
        <v>#REF!</v>
      </c>
      <c r="U35" s="3">
        <v>0.0</v>
      </c>
      <c r="V35" s="3">
        <v>0.0</v>
      </c>
      <c r="W35" s="3"/>
      <c r="X35" s="3"/>
      <c r="Y35" s="3"/>
      <c r="Z35" s="3"/>
      <c r="AA35" s="3"/>
      <c r="AB35" s="3"/>
      <c r="AC35" s="38">
        <v>1.0</v>
      </c>
      <c r="AD35" s="39" t="s">
        <v>42</v>
      </c>
      <c r="AE35" s="40">
        <v>0.5</v>
      </c>
      <c r="AF35" s="50">
        <v>4.0</v>
      </c>
      <c r="AG35" s="41">
        <v>1.0</v>
      </c>
      <c r="AH35" s="41">
        <f>Max!$B$3*AE35</f>
        <v>50</v>
      </c>
      <c r="AI35" s="3"/>
      <c r="AJ35" s="38">
        <v>1.0</v>
      </c>
      <c r="AK35" s="39" t="s">
        <v>42</v>
      </c>
      <c r="AL35" s="40">
        <v>0.55</v>
      </c>
      <c r="AM35" s="50">
        <v>5.0</v>
      </c>
      <c r="AN35" s="41">
        <v>1.0</v>
      </c>
      <c r="AO35" s="41">
        <f>Max!$B$3*AL35</f>
        <v>55</v>
      </c>
      <c r="AP35" s="3"/>
      <c r="AQ35" s="28" t="s">
        <v>58</v>
      </c>
      <c r="AR35" s="28"/>
      <c r="AS35" s="37" t="s">
        <v>33</v>
      </c>
      <c r="AT35" s="26" t="s">
        <v>34</v>
      </c>
      <c r="AU35" s="26" t="s">
        <v>35</v>
      </c>
      <c r="AV35" s="26" t="s">
        <v>36</v>
      </c>
      <c r="AW35" s="3"/>
      <c r="AX35" s="3"/>
      <c r="AY35" s="3"/>
      <c r="AZ35" s="3"/>
      <c r="BA35" s="3"/>
      <c r="BB35" s="3"/>
      <c r="BC35" s="3"/>
      <c r="BD35" s="3"/>
      <c r="BE35" s="3"/>
      <c r="BF35" s="3"/>
    </row>
    <row r="36" ht="12.75" customHeight="1">
      <c r="A36" s="45">
        <v>2.0</v>
      </c>
      <c r="B36" s="46" t="s">
        <v>43</v>
      </c>
      <c r="C36" s="47">
        <v>0.5</v>
      </c>
      <c r="D36" s="49">
        <v>3.0</v>
      </c>
      <c r="E36" s="49">
        <v>1.0</v>
      </c>
      <c r="F36" s="49">
        <f>Max!$B$4*C36</f>
        <v>50</v>
      </c>
      <c r="G36" s="51"/>
      <c r="H36" s="52"/>
      <c r="I36" s="51">
        <f t="shared" si="11"/>
        <v>4</v>
      </c>
      <c r="J36" s="52">
        <f t="shared" si="12"/>
        <v>240</v>
      </c>
      <c r="K36" s="51"/>
      <c r="L36" s="53"/>
      <c r="M36" s="3"/>
      <c r="N36" s="3"/>
      <c r="O36" s="3"/>
      <c r="P36" s="3"/>
      <c r="Q36" s="3"/>
      <c r="R36" s="3"/>
      <c r="S36" s="3"/>
      <c r="T36" s="3"/>
      <c r="U36" s="3"/>
      <c r="V36" s="3"/>
      <c r="W36" s="3"/>
      <c r="X36" s="3"/>
      <c r="Y36" s="3"/>
      <c r="Z36" s="3"/>
      <c r="AA36" s="3"/>
      <c r="AB36" s="3"/>
      <c r="AC36" s="38"/>
      <c r="AD36" s="39"/>
      <c r="AE36" s="40">
        <v>0.6</v>
      </c>
      <c r="AF36" s="50">
        <v>3.0</v>
      </c>
      <c r="AG36" s="41">
        <v>1.0</v>
      </c>
      <c r="AH36" s="41">
        <f>Max!$B$3*AE36</f>
        <v>60</v>
      </c>
      <c r="AI36" s="3"/>
      <c r="AJ36" s="38"/>
      <c r="AK36" s="39"/>
      <c r="AL36" s="40">
        <v>0.65</v>
      </c>
      <c r="AM36" s="50">
        <v>4.0</v>
      </c>
      <c r="AN36" s="41">
        <v>1.0</v>
      </c>
      <c r="AO36" s="41">
        <f>Max!$B$3*AL36</f>
        <v>65</v>
      </c>
      <c r="AP36" s="3"/>
      <c r="AQ36" s="45">
        <v>1.0</v>
      </c>
      <c r="AR36" s="46" t="s">
        <v>43</v>
      </c>
      <c r="AS36" s="47">
        <v>0.5</v>
      </c>
      <c r="AT36" s="48">
        <v>5.0</v>
      </c>
      <c r="AU36" s="49">
        <v>1.0</v>
      </c>
      <c r="AV36" s="49">
        <f>Max!$B$4*AS36</f>
        <v>50</v>
      </c>
      <c r="AW36" s="3"/>
      <c r="AX36" s="3"/>
      <c r="AY36" s="3"/>
      <c r="AZ36" s="3"/>
      <c r="BA36" s="3"/>
      <c r="BB36" s="3"/>
      <c r="BC36" s="3"/>
      <c r="BD36" s="3"/>
      <c r="BE36" s="3"/>
      <c r="BF36" s="3"/>
    </row>
    <row r="37" ht="12.75" customHeight="1">
      <c r="A37" s="54"/>
      <c r="B37" s="46"/>
      <c r="C37" s="47">
        <v>0.6</v>
      </c>
      <c r="D37" s="48">
        <v>3.0</v>
      </c>
      <c r="E37" s="49">
        <v>1.0</v>
      </c>
      <c r="F37" s="49">
        <f>Max!$B$4*C37</f>
        <v>60</v>
      </c>
      <c r="G37" s="51"/>
      <c r="H37" s="52"/>
      <c r="I37" s="51">
        <f t="shared" si="11"/>
        <v>16</v>
      </c>
      <c r="J37" s="52">
        <f t="shared" si="12"/>
        <v>1120</v>
      </c>
      <c r="K37" s="51"/>
      <c r="L37" s="53"/>
      <c r="M37" s="3"/>
      <c r="N37" s="3"/>
      <c r="O37" s="3"/>
      <c r="P37" s="3"/>
      <c r="Q37" s="3"/>
      <c r="R37" s="3"/>
      <c r="S37" s="3"/>
      <c r="T37" s="3"/>
      <c r="U37" s="3"/>
      <c r="V37" s="3"/>
      <c r="W37" s="3"/>
      <c r="X37" s="3"/>
      <c r="Y37" s="3"/>
      <c r="Z37" s="3"/>
      <c r="AA37" s="3"/>
      <c r="AB37" s="3"/>
      <c r="AC37" s="38"/>
      <c r="AD37" s="39"/>
      <c r="AE37" s="40">
        <v>0.7</v>
      </c>
      <c r="AF37" s="50">
        <v>3.0</v>
      </c>
      <c r="AG37" s="41">
        <v>1.0</v>
      </c>
      <c r="AH37" s="41">
        <f>Max!$B$3*AE37</f>
        <v>70</v>
      </c>
      <c r="AI37" s="3"/>
      <c r="AJ37" s="38"/>
      <c r="AK37" s="39"/>
      <c r="AL37" s="40">
        <v>0.75</v>
      </c>
      <c r="AM37" s="50">
        <v>3.0</v>
      </c>
      <c r="AN37" s="41">
        <v>1.0</v>
      </c>
      <c r="AO37" s="41">
        <f>Max!$B$3*AL37</f>
        <v>75</v>
      </c>
      <c r="AP37" s="3"/>
      <c r="AQ37" s="45"/>
      <c r="AR37" s="46"/>
      <c r="AS37" s="47">
        <v>0.6</v>
      </c>
      <c r="AT37" s="48">
        <v>4.0</v>
      </c>
      <c r="AU37" s="49">
        <v>1.0</v>
      </c>
      <c r="AV37" s="49">
        <f>Max!$B$4*AS37</f>
        <v>60</v>
      </c>
      <c r="AW37" s="3"/>
      <c r="AX37" s="3"/>
      <c r="AY37" s="3"/>
      <c r="AZ37" s="3"/>
      <c r="BA37" s="3"/>
      <c r="BB37" s="3"/>
      <c r="BC37" s="3"/>
      <c r="BD37" s="3"/>
      <c r="BE37" s="3"/>
      <c r="BF37" s="3"/>
    </row>
    <row r="38" ht="12.75" customHeight="1">
      <c r="A38" s="45"/>
      <c r="B38" s="46"/>
      <c r="C38" s="47">
        <v>0.7</v>
      </c>
      <c r="D38" s="49">
        <v>3.0</v>
      </c>
      <c r="E38" s="49">
        <v>1.0</v>
      </c>
      <c r="F38" s="49">
        <f>Max!$B$4*C38</f>
        <v>70</v>
      </c>
      <c r="G38" s="51"/>
      <c r="H38" s="52"/>
      <c r="I38" s="51">
        <f t="shared" si="11"/>
        <v>3</v>
      </c>
      <c r="J38" s="52">
        <f t="shared" si="12"/>
        <v>150</v>
      </c>
      <c r="K38" s="51"/>
      <c r="L38" s="53"/>
      <c r="M38" s="3"/>
      <c r="N38" s="3"/>
      <c r="O38" s="3"/>
      <c r="P38" s="3"/>
      <c r="Q38" s="3"/>
      <c r="R38" s="3"/>
      <c r="S38" s="3"/>
      <c r="T38" s="3"/>
      <c r="U38" s="3"/>
      <c r="V38" s="3"/>
      <c r="W38" s="3"/>
      <c r="X38" s="3"/>
      <c r="Y38" s="3"/>
      <c r="Z38" s="3"/>
      <c r="AA38" s="3"/>
      <c r="AB38" s="3"/>
      <c r="AC38" s="38"/>
      <c r="AD38" s="39"/>
      <c r="AE38" s="40">
        <v>0.8</v>
      </c>
      <c r="AF38" s="50">
        <v>2.0</v>
      </c>
      <c r="AG38" s="41">
        <v>4.0</v>
      </c>
      <c r="AH38" s="41">
        <f>Max!$B$3*AE38</f>
        <v>80</v>
      </c>
      <c r="AI38" s="3"/>
      <c r="AJ38" s="38"/>
      <c r="AK38" s="39"/>
      <c r="AL38" s="40">
        <v>0.85</v>
      </c>
      <c r="AM38" s="50">
        <v>2.0</v>
      </c>
      <c r="AN38" s="41">
        <v>4.0</v>
      </c>
      <c r="AO38" s="41">
        <f>Max!$B$3*AL38</f>
        <v>85</v>
      </c>
      <c r="AP38" s="3"/>
      <c r="AQ38" s="45"/>
      <c r="AR38" s="46"/>
      <c r="AS38" s="47">
        <v>0.7</v>
      </c>
      <c r="AT38" s="48">
        <v>3.0</v>
      </c>
      <c r="AU38" s="49">
        <v>1.0</v>
      </c>
      <c r="AV38" s="49">
        <f>Max!$B$4*AS38</f>
        <v>70</v>
      </c>
      <c r="AW38" s="3"/>
      <c r="AX38" s="3"/>
      <c r="AY38" s="3"/>
      <c r="AZ38" s="3"/>
      <c r="BA38" s="3"/>
      <c r="BB38" s="3"/>
      <c r="BC38" s="3"/>
      <c r="BD38" s="3"/>
      <c r="BE38" s="3"/>
      <c r="BF38" s="3"/>
    </row>
    <row r="39" ht="12.75" customHeight="1">
      <c r="A39" s="45"/>
      <c r="B39" s="46"/>
      <c r="C39" s="47">
        <v>0.75</v>
      </c>
      <c r="D39" s="49">
        <v>3.0</v>
      </c>
      <c r="E39" s="49">
        <v>5.0</v>
      </c>
      <c r="F39" s="49">
        <f>Max!$B$4*C39</f>
        <v>75</v>
      </c>
      <c r="G39" s="13"/>
      <c r="H39" s="52"/>
      <c r="I39" s="51" t="str">
        <f t="shared" ref="I39:I41" si="13">#REF!*#REF!</f>
        <v>#REF!</v>
      </c>
      <c r="J39" s="52" t="str">
        <f t="shared" ref="J39:J41" si="14">#REF!*I39</f>
        <v>#REF!</v>
      </c>
      <c r="K39" s="51"/>
      <c r="L39" s="53"/>
      <c r="M39" s="3"/>
      <c r="N39" s="3"/>
      <c r="O39" s="3"/>
      <c r="P39" s="3"/>
      <c r="Q39" s="3"/>
      <c r="R39" s="3"/>
      <c r="S39" s="3"/>
      <c r="T39" s="3"/>
      <c r="U39" s="3"/>
      <c r="V39" s="3"/>
      <c r="W39" s="3"/>
      <c r="X39" s="3"/>
      <c r="Y39" s="3"/>
      <c r="Z39" s="3"/>
      <c r="AA39" s="3"/>
      <c r="AB39" s="3"/>
      <c r="AC39" s="45">
        <v>2.0</v>
      </c>
      <c r="AD39" s="46" t="s">
        <v>43</v>
      </c>
      <c r="AE39" s="47">
        <v>0.5</v>
      </c>
      <c r="AF39" s="48">
        <v>5.0</v>
      </c>
      <c r="AG39" s="49">
        <v>1.0</v>
      </c>
      <c r="AH39" s="49">
        <f>Max!$B$4*AE39</f>
        <v>50</v>
      </c>
      <c r="AI39" s="3"/>
      <c r="AJ39" s="45">
        <v>2.0</v>
      </c>
      <c r="AK39" s="46" t="s">
        <v>43</v>
      </c>
      <c r="AL39" s="47">
        <v>0.5</v>
      </c>
      <c r="AM39" s="48">
        <v>5.0</v>
      </c>
      <c r="AN39" s="49">
        <v>1.0</v>
      </c>
      <c r="AO39" s="49">
        <f>Max!$B$4*AL39</f>
        <v>50</v>
      </c>
      <c r="AP39" s="3"/>
      <c r="AQ39" s="45"/>
      <c r="AR39" s="46"/>
      <c r="AS39" s="47">
        <v>0.8</v>
      </c>
      <c r="AT39" s="48">
        <v>2.0</v>
      </c>
      <c r="AU39" s="49">
        <v>4.0</v>
      </c>
      <c r="AV39" s="49">
        <f>Max!$B$4*AS39</f>
        <v>80</v>
      </c>
      <c r="AW39" s="3"/>
      <c r="AX39" s="3"/>
      <c r="AY39" s="3"/>
      <c r="AZ39" s="3"/>
      <c r="BA39" s="3"/>
      <c r="BB39" s="3"/>
      <c r="BC39" s="3"/>
      <c r="BD39" s="3"/>
      <c r="BE39" s="3"/>
      <c r="BF39" s="3"/>
    </row>
    <row r="40" ht="12.75" customHeight="1">
      <c r="A40" s="60">
        <v>3.0</v>
      </c>
      <c r="B40" s="59" t="s">
        <v>60</v>
      </c>
      <c r="C40" s="61">
        <v>0.7</v>
      </c>
      <c r="D40" s="63">
        <v>6.0</v>
      </c>
      <c r="E40" s="63">
        <v>5.0</v>
      </c>
      <c r="F40" s="63"/>
      <c r="G40" s="13"/>
      <c r="H40" s="52"/>
      <c r="I40" s="51" t="str">
        <f t="shared" si="13"/>
        <v>#REF!</v>
      </c>
      <c r="J40" s="52" t="str">
        <f t="shared" si="14"/>
        <v>#REF!</v>
      </c>
      <c r="K40" s="51"/>
      <c r="L40" s="53"/>
      <c r="M40" s="3"/>
      <c r="N40" s="3"/>
      <c r="O40" s="3"/>
      <c r="P40" s="3"/>
      <c r="Q40" s="3"/>
      <c r="R40" s="3"/>
      <c r="S40" s="3"/>
      <c r="T40" s="3"/>
      <c r="U40" s="3"/>
      <c r="V40" s="3"/>
      <c r="W40" s="3"/>
      <c r="X40" s="3"/>
      <c r="Y40" s="3"/>
      <c r="Z40" s="3"/>
      <c r="AA40" s="3"/>
      <c r="AB40" s="3"/>
      <c r="AC40" s="45"/>
      <c r="AD40" s="46"/>
      <c r="AE40" s="47">
        <v>0.6</v>
      </c>
      <c r="AF40" s="48">
        <v>4.0</v>
      </c>
      <c r="AG40" s="49">
        <v>1.0</v>
      </c>
      <c r="AH40" s="49">
        <f>Max!$B$4*AE40</f>
        <v>60</v>
      </c>
      <c r="AI40" s="3"/>
      <c r="AJ40" s="45"/>
      <c r="AK40" s="46"/>
      <c r="AL40" s="47">
        <v>0.6</v>
      </c>
      <c r="AM40" s="48">
        <v>5.0</v>
      </c>
      <c r="AN40" s="49">
        <v>1.0</v>
      </c>
      <c r="AO40" s="49">
        <f>Max!$B$4*AL40</f>
        <v>60</v>
      </c>
      <c r="AP40" s="3"/>
      <c r="AQ40" s="38">
        <v>2.0</v>
      </c>
      <c r="AR40" s="39" t="s">
        <v>42</v>
      </c>
      <c r="AS40" s="40">
        <v>0.5</v>
      </c>
      <c r="AT40" s="50">
        <v>5.0</v>
      </c>
      <c r="AU40" s="41">
        <v>1.0</v>
      </c>
      <c r="AV40" s="41">
        <f>Max!$B$3*AS40</f>
        <v>50</v>
      </c>
      <c r="AW40" s="3"/>
      <c r="AX40" s="3"/>
      <c r="AY40" s="3"/>
      <c r="AZ40" s="3"/>
      <c r="BA40" s="3"/>
      <c r="BB40" s="3"/>
      <c r="BC40" s="3"/>
      <c r="BD40" s="3"/>
      <c r="BE40" s="3"/>
      <c r="BF40" s="3"/>
    </row>
    <row r="41" ht="12.75" customHeight="1">
      <c r="A41" s="64">
        <v>4.0</v>
      </c>
      <c r="B41" s="65" t="s">
        <v>59</v>
      </c>
      <c r="C41" s="66">
        <v>0.6</v>
      </c>
      <c r="D41" s="67">
        <v>10.0</v>
      </c>
      <c r="E41" s="68">
        <v>3.0</v>
      </c>
      <c r="F41" s="68"/>
      <c r="G41" s="13"/>
      <c r="H41" s="52"/>
      <c r="I41" s="51" t="str">
        <f t="shared" si="13"/>
        <v>#REF!</v>
      </c>
      <c r="J41" s="52" t="str">
        <f t="shared" si="14"/>
        <v>#REF!</v>
      </c>
      <c r="K41" s="51"/>
      <c r="L41" s="53"/>
      <c r="M41" s="3"/>
      <c r="N41" s="3"/>
      <c r="O41" s="3"/>
      <c r="P41" s="3"/>
      <c r="Q41" s="3"/>
      <c r="R41" s="3"/>
      <c r="S41" s="3"/>
      <c r="T41" s="3"/>
      <c r="U41" s="3"/>
      <c r="V41" s="3"/>
      <c r="W41" s="3"/>
      <c r="X41" s="3"/>
      <c r="Y41" s="3"/>
      <c r="Z41" s="3"/>
      <c r="AA41" s="3"/>
      <c r="AB41" s="3"/>
      <c r="AC41" s="45"/>
      <c r="AD41" s="46"/>
      <c r="AE41" s="47">
        <v>0.7</v>
      </c>
      <c r="AF41" s="48">
        <v>3.0</v>
      </c>
      <c r="AG41" s="49">
        <v>1.0</v>
      </c>
      <c r="AH41" s="49">
        <f>Max!$B$4*AE41</f>
        <v>70</v>
      </c>
      <c r="AI41" s="3"/>
      <c r="AJ41" s="45"/>
      <c r="AK41" s="46"/>
      <c r="AL41" s="47">
        <v>0.7</v>
      </c>
      <c r="AM41" s="48">
        <v>5.0</v>
      </c>
      <c r="AN41" s="49">
        <v>5.0</v>
      </c>
      <c r="AO41" s="49">
        <f>Max!$B$4*AL41</f>
        <v>70</v>
      </c>
      <c r="AP41" s="3"/>
      <c r="AQ41" s="38"/>
      <c r="AR41" s="39"/>
      <c r="AS41" s="40">
        <v>0.6</v>
      </c>
      <c r="AT41" s="50">
        <v>4.0</v>
      </c>
      <c r="AU41" s="41">
        <v>1.0</v>
      </c>
      <c r="AV41" s="41">
        <f>Max!$B$3*AS41</f>
        <v>60</v>
      </c>
      <c r="AW41" s="3"/>
      <c r="AX41" s="3"/>
      <c r="AY41" s="3"/>
      <c r="AZ41" s="3"/>
      <c r="BA41" s="3"/>
      <c r="BB41" s="3"/>
      <c r="BC41" s="3"/>
      <c r="BD41" s="3"/>
      <c r="BE41" s="3"/>
      <c r="BF41" s="3"/>
    </row>
    <row r="42" ht="12.75" customHeight="1">
      <c r="A42" s="3"/>
      <c r="B42" s="3"/>
      <c r="C42" s="3"/>
      <c r="D42" s="3"/>
      <c r="E42" s="3"/>
      <c r="F42" s="3"/>
      <c r="G42" s="13"/>
      <c r="H42" s="52"/>
      <c r="I42" s="51">
        <f t="shared" ref="I42:I45" si="15">D40*E40</f>
        <v>30</v>
      </c>
      <c r="J42" s="52">
        <f t="shared" ref="J42:J45" si="16">F40*I42</f>
        <v>0</v>
      </c>
      <c r="K42" s="51"/>
      <c r="L42" s="53"/>
      <c r="M42" s="3"/>
      <c r="N42" s="3"/>
      <c r="O42" s="3"/>
      <c r="P42" s="3"/>
      <c r="Q42" s="3"/>
      <c r="R42" s="3"/>
      <c r="S42" s="3"/>
      <c r="T42" s="3"/>
      <c r="U42" s="3"/>
      <c r="V42" s="3"/>
      <c r="W42" s="3"/>
      <c r="X42" s="3"/>
      <c r="Y42" s="3"/>
      <c r="Z42" s="3"/>
      <c r="AA42" s="3"/>
      <c r="AB42" s="3"/>
      <c r="AC42" s="45"/>
      <c r="AD42" s="46"/>
      <c r="AE42" s="47">
        <v>0.8</v>
      </c>
      <c r="AF42" s="48">
        <v>2.0</v>
      </c>
      <c r="AG42" s="49">
        <v>2.0</v>
      </c>
      <c r="AH42" s="49">
        <f>Max!$B$4*AE42</f>
        <v>80</v>
      </c>
      <c r="AI42" s="3"/>
      <c r="AJ42" s="38">
        <v>3.0</v>
      </c>
      <c r="AK42" s="39" t="s">
        <v>42</v>
      </c>
      <c r="AL42" s="40">
        <v>0.5</v>
      </c>
      <c r="AM42" s="50">
        <v>3.0</v>
      </c>
      <c r="AN42" s="41">
        <v>1.0</v>
      </c>
      <c r="AO42" s="41">
        <f>Max!$B$3*AL42</f>
        <v>50</v>
      </c>
      <c r="AP42" s="3"/>
      <c r="AQ42" s="38"/>
      <c r="AR42" s="39"/>
      <c r="AS42" s="40">
        <v>0.7</v>
      </c>
      <c r="AT42" s="50">
        <v>3.0</v>
      </c>
      <c r="AU42" s="41">
        <v>1.0</v>
      </c>
      <c r="AV42" s="41">
        <f>Max!$B$3*AS42</f>
        <v>70</v>
      </c>
      <c r="AW42" s="3"/>
      <c r="AX42" s="3"/>
      <c r="AY42" s="3"/>
      <c r="AZ42" s="3"/>
      <c r="BA42" s="3"/>
      <c r="BB42" s="3"/>
      <c r="BC42" s="3"/>
      <c r="BD42" s="3"/>
      <c r="BE42" s="3"/>
      <c r="BF42" s="3"/>
    </row>
    <row r="43" ht="12.75" customHeight="1">
      <c r="A43" s="28" t="s">
        <v>61</v>
      </c>
      <c r="B43" s="28"/>
      <c r="C43" s="37" t="s">
        <v>33</v>
      </c>
      <c r="D43" s="26" t="s">
        <v>34</v>
      </c>
      <c r="E43" s="26" t="s">
        <v>35</v>
      </c>
      <c r="F43" s="26" t="s">
        <v>36</v>
      </c>
      <c r="G43" s="13"/>
      <c r="H43" s="52"/>
      <c r="I43" s="51">
        <f t="shared" si="15"/>
        <v>30</v>
      </c>
      <c r="J43" s="52">
        <f t="shared" si="16"/>
        <v>0</v>
      </c>
      <c r="K43" s="51"/>
      <c r="L43" s="53"/>
      <c r="M43" s="3"/>
      <c r="N43" s="3"/>
      <c r="O43" s="3"/>
      <c r="P43" s="3"/>
      <c r="Q43" s="3"/>
      <c r="R43" s="3"/>
      <c r="S43" s="3"/>
      <c r="T43" s="3"/>
      <c r="U43" s="3"/>
      <c r="V43" s="3"/>
      <c r="W43" s="3"/>
      <c r="X43" s="3"/>
      <c r="Y43" s="3"/>
      <c r="Z43" s="3"/>
      <c r="AA43" s="3"/>
      <c r="AB43" s="3"/>
      <c r="AC43" s="45"/>
      <c r="AD43" s="46"/>
      <c r="AE43" s="47">
        <v>0.85</v>
      </c>
      <c r="AF43" s="48">
        <v>1.0</v>
      </c>
      <c r="AG43" s="49">
        <v>3.0</v>
      </c>
      <c r="AH43" s="49">
        <f>Max!$B$4*AE43</f>
        <v>85</v>
      </c>
      <c r="AI43" s="3"/>
      <c r="AJ43" s="38"/>
      <c r="AK43" s="39"/>
      <c r="AL43" s="40">
        <v>0.6</v>
      </c>
      <c r="AM43" s="50">
        <v>3.0</v>
      </c>
      <c r="AN43" s="41">
        <v>1.0</v>
      </c>
      <c r="AO43" s="41">
        <f>Max!$B$3*AL43</f>
        <v>60</v>
      </c>
      <c r="AP43" s="3"/>
      <c r="AQ43" s="38"/>
      <c r="AR43" s="39"/>
      <c r="AS43" s="40">
        <v>0.8</v>
      </c>
      <c r="AT43" s="50">
        <v>2.0</v>
      </c>
      <c r="AU43" s="41">
        <v>4.0</v>
      </c>
      <c r="AV43" s="41">
        <f>Max!$B$3*AS43</f>
        <v>80</v>
      </c>
      <c r="AW43" s="3"/>
      <c r="AX43" s="3"/>
      <c r="AY43" s="3"/>
      <c r="AZ43" s="3"/>
      <c r="BA43" s="3"/>
      <c r="BB43" s="3"/>
      <c r="BC43" s="3"/>
      <c r="BD43" s="3"/>
      <c r="BE43" s="3"/>
      <c r="BF43" s="3"/>
    </row>
    <row r="44" ht="12.75" customHeight="1">
      <c r="A44" s="69">
        <v>1.0</v>
      </c>
      <c r="B44" s="70" t="s">
        <v>62</v>
      </c>
      <c r="C44" s="71">
        <v>0.5</v>
      </c>
      <c r="D44" s="72">
        <v>3.0</v>
      </c>
      <c r="E44" s="72">
        <v>1.0</v>
      </c>
      <c r="F44" s="72">
        <f>Max!$B$5*C44</f>
        <v>50</v>
      </c>
      <c r="G44" s="51"/>
      <c r="H44" s="52"/>
      <c r="I44" s="51">
        <f t="shared" si="15"/>
        <v>0</v>
      </c>
      <c r="J44" s="52">
        <f t="shared" si="16"/>
        <v>0</v>
      </c>
      <c r="K44" s="51"/>
      <c r="L44" s="53"/>
      <c r="M44" s="3"/>
      <c r="N44" s="3"/>
      <c r="O44" s="3"/>
      <c r="P44" s="3"/>
      <c r="Q44" s="3"/>
      <c r="R44" s="3"/>
      <c r="S44" s="3"/>
      <c r="T44" s="3"/>
      <c r="U44" s="3"/>
      <c r="V44" s="3"/>
      <c r="W44" s="3"/>
      <c r="X44" s="3"/>
      <c r="Y44" s="3"/>
      <c r="Z44" s="3"/>
      <c r="AA44" s="3"/>
      <c r="AB44" s="3"/>
      <c r="AC44" s="45"/>
      <c r="AD44" s="46"/>
      <c r="AE44" s="47">
        <v>0.8</v>
      </c>
      <c r="AF44" s="48">
        <v>2.0</v>
      </c>
      <c r="AG44" s="49">
        <v>2.0</v>
      </c>
      <c r="AH44" s="49">
        <f>Max!$B$4*AE44</f>
        <v>80</v>
      </c>
      <c r="AI44" s="3"/>
      <c r="AJ44" s="38"/>
      <c r="AK44" s="39"/>
      <c r="AL44" s="40">
        <v>0.7</v>
      </c>
      <c r="AM44" s="50">
        <v>3.0</v>
      </c>
      <c r="AN44" s="41">
        <v>1.0</v>
      </c>
      <c r="AO44" s="41">
        <f>Max!$B$3*AL44</f>
        <v>70</v>
      </c>
      <c r="AP44" s="3"/>
      <c r="AQ44" s="45">
        <v>3.0</v>
      </c>
      <c r="AR44" s="46" t="s">
        <v>63</v>
      </c>
      <c r="AS44" s="47">
        <v>0.65</v>
      </c>
      <c r="AT44" s="48">
        <v>3.0</v>
      </c>
      <c r="AU44" s="49">
        <v>1.0</v>
      </c>
      <c r="AV44" s="49">
        <f>Max!$B$4*AS44</f>
        <v>65</v>
      </c>
      <c r="AW44" s="3"/>
      <c r="AX44" s="3"/>
      <c r="AY44" s="3"/>
      <c r="AZ44" s="3"/>
      <c r="BA44" s="3"/>
      <c r="BB44" s="3"/>
      <c r="BC44" s="3"/>
      <c r="BD44" s="3"/>
      <c r="BE44" s="3"/>
      <c r="BF44" s="3"/>
    </row>
    <row r="45" ht="12.75" customHeight="1">
      <c r="A45" s="69"/>
      <c r="B45" s="70"/>
      <c r="C45" s="71">
        <v>0.6</v>
      </c>
      <c r="D45" s="72">
        <v>3.0</v>
      </c>
      <c r="E45" s="72">
        <v>1.0</v>
      </c>
      <c r="F45" s="72">
        <f>Max!$B$5*C45</f>
        <v>60</v>
      </c>
      <c r="G45" s="51"/>
      <c r="H45" s="52"/>
      <c r="I45" s="51" t="str">
        <f t="shared" si="15"/>
        <v>#VALUE!</v>
      </c>
      <c r="J45" s="52" t="str">
        <f t="shared" si="16"/>
        <v>#VALUE!</v>
      </c>
      <c r="K45" s="51"/>
      <c r="L45" s="53"/>
      <c r="M45" s="3"/>
      <c r="N45" s="3"/>
      <c r="O45" s="3"/>
      <c r="P45" s="3"/>
      <c r="Q45" s="3"/>
      <c r="R45" s="3"/>
      <c r="S45" s="3"/>
      <c r="T45" s="3"/>
      <c r="U45" s="3"/>
      <c r="V45" s="3"/>
      <c r="W45" s="3"/>
      <c r="X45" s="3"/>
      <c r="Y45" s="3"/>
      <c r="Z45" s="3"/>
      <c r="AA45" s="3"/>
      <c r="AB45" s="3"/>
      <c r="AC45" s="56">
        <v>3.0</v>
      </c>
      <c r="AD45" s="80" t="s">
        <v>54</v>
      </c>
      <c r="AE45" s="58">
        <v>0.75</v>
      </c>
      <c r="AF45" s="55">
        <v>5.0</v>
      </c>
      <c r="AG45" s="55">
        <v>5.0</v>
      </c>
      <c r="AH45" s="55"/>
      <c r="AI45" s="3"/>
      <c r="AJ45" s="38"/>
      <c r="AK45" s="39"/>
      <c r="AL45" s="40">
        <v>0.8</v>
      </c>
      <c r="AM45" s="50">
        <v>3.0</v>
      </c>
      <c r="AN45" s="41">
        <v>4.0</v>
      </c>
      <c r="AO45" s="41">
        <f>Max!$B$3*AL45</f>
        <v>80</v>
      </c>
      <c r="AP45" s="3"/>
      <c r="AQ45" s="45"/>
      <c r="AR45" s="46"/>
      <c r="AS45" s="47">
        <v>0.75</v>
      </c>
      <c r="AT45" s="48">
        <v>3.0</v>
      </c>
      <c r="AU45" s="49">
        <v>1.0</v>
      </c>
      <c r="AV45" s="49">
        <f>Max!$B$4*AS45</f>
        <v>75</v>
      </c>
      <c r="AW45" s="3"/>
      <c r="AX45" s="3"/>
      <c r="AY45" s="3"/>
      <c r="AZ45" s="3"/>
      <c r="BA45" s="3"/>
      <c r="BB45" s="3"/>
      <c r="BC45" s="3"/>
      <c r="BD45" s="3"/>
      <c r="BE45" s="3"/>
      <c r="BF45" s="3"/>
    </row>
    <row r="46" ht="12.75" customHeight="1">
      <c r="A46" s="69"/>
      <c r="B46" s="70"/>
      <c r="C46" s="71">
        <v>0.65</v>
      </c>
      <c r="D46" s="72">
        <v>2.0</v>
      </c>
      <c r="E46" s="72">
        <v>4.0</v>
      </c>
      <c r="F46" s="72">
        <f>Max!$B$5*C46</f>
        <v>65</v>
      </c>
      <c r="G46" s="51">
        <f t="shared" ref="G46:G48" si="17">D30*E30</f>
        <v>32</v>
      </c>
      <c r="H46" s="52">
        <f t="shared" ref="H46:H48" si="18">F30*G46</f>
        <v>0</v>
      </c>
      <c r="I46" s="51"/>
      <c r="J46" s="52"/>
      <c r="K46" s="51"/>
      <c r="L46" s="53"/>
      <c r="M46" s="6">
        <f>G46</f>
        <v>32</v>
      </c>
      <c r="N46" s="6">
        <f>G47</f>
        <v>0</v>
      </c>
      <c r="O46" s="6" t="str">
        <f>G48+G49</f>
        <v>#VALUE!</v>
      </c>
      <c r="P46" s="3">
        <v>0.0</v>
      </c>
      <c r="Q46" s="3">
        <v>0.0</v>
      </c>
      <c r="R46" s="3"/>
      <c r="S46" s="3"/>
      <c r="T46" s="3"/>
      <c r="U46" s="3"/>
      <c r="V46" s="3"/>
      <c r="W46" s="3"/>
      <c r="X46" s="3"/>
      <c r="Y46" s="3"/>
      <c r="Z46" s="3"/>
      <c r="AA46" s="3"/>
      <c r="AB46" s="3"/>
      <c r="AC46" s="56">
        <v>4.0</v>
      </c>
      <c r="AD46" s="80" t="s">
        <v>44</v>
      </c>
      <c r="AE46" s="81">
        <v>0.7</v>
      </c>
      <c r="AF46" s="55">
        <v>6.0</v>
      </c>
      <c r="AG46" s="55">
        <v>5.0</v>
      </c>
      <c r="AH46" s="55"/>
      <c r="AI46" s="3"/>
      <c r="AJ46" s="60">
        <v>4.0</v>
      </c>
      <c r="AK46" s="59" t="s">
        <v>57</v>
      </c>
      <c r="AL46" s="61">
        <v>0.7</v>
      </c>
      <c r="AM46" s="62">
        <v>6.0</v>
      </c>
      <c r="AN46" s="63">
        <v>5.0</v>
      </c>
      <c r="AO46" s="63"/>
      <c r="AP46" s="3"/>
      <c r="AQ46" s="45"/>
      <c r="AR46" s="46"/>
      <c r="AS46" s="47">
        <v>0.85</v>
      </c>
      <c r="AT46" s="48">
        <v>2.0</v>
      </c>
      <c r="AU46" s="49">
        <v>2.0</v>
      </c>
      <c r="AV46" s="49">
        <f>Max!$B$4*AS46</f>
        <v>85</v>
      </c>
      <c r="AW46" s="3"/>
      <c r="AX46" s="3"/>
      <c r="AY46" s="3"/>
      <c r="AZ46" s="3"/>
      <c r="BA46" s="3"/>
      <c r="BB46" s="3"/>
      <c r="BC46" s="3"/>
      <c r="BD46" s="3"/>
      <c r="BE46" s="3"/>
      <c r="BF46" s="3"/>
    </row>
    <row r="47" ht="12.75" customHeight="1">
      <c r="A47" s="56">
        <v>2.0</v>
      </c>
      <c r="B47" s="80" t="s">
        <v>64</v>
      </c>
      <c r="C47" s="58">
        <v>0.8</v>
      </c>
      <c r="D47" s="55">
        <v>5.0</v>
      </c>
      <c r="E47" s="55">
        <v>3.0</v>
      </c>
      <c r="F47" s="55"/>
      <c r="G47" s="51">
        <f t="shared" si="17"/>
        <v>0</v>
      </c>
      <c r="H47" s="52">
        <f t="shared" si="18"/>
        <v>0</v>
      </c>
      <c r="I47" s="51"/>
      <c r="J47" s="52"/>
      <c r="K47" s="51"/>
      <c r="L47" s="53"/>
      <c r="M47" s="3"/>
      <c r="N47" s="3"/>
      <c r="O47" s="3"/>
      <c r="P47" s="3"/>
      <c r="Q47" s="3"/>
      <c r="R47" s="3"/>
      <c r="S47" s="3"/>
      <c r="T47" s="3"/>
      <c r="U47" s="3"/>
      <c r="V47" s="3"/>
      <c r="W47" s="3"/>
      <c r="X47" s="3"/>
      <c r="Y47" s="3"/>
      <c r="Z47" s="3"/>
      <c r="AA47" s="3"/>
      <c r="AB47" s="3"/>
      <c r="AC47" s="56">
        <v>5.0</v>
      </c>
      <c r="AD47" s="80" t="s">
        <v>59</v>
      </c>
      <c r="AE47" s="58">
        <v>0.6</v>
      </c>
      <c r="AF47" s="79">
        <v>10.0</v>
      </c>
      <c r="AG47" s="55">
        <v>3.0</v>
      </c>
      <c r="AH47" s="55"/>
      <c r="AI47" s="3"/>
      <c r="AJ47" s="64">
        <v>5.0</v>
      </c>
      <c r="AK47" s="65" t="s">
        <v>50</v>
      </c>
      <c r="AL47" s="66">
        <v>0.65</v>
      </c>
      <c r="AM47" s="67">
        <v>8.0</v>
      </c>
      <c r="AN47" s="68">
        <v>4.0</v>
      </c>
      <c r="AO47" s="68"/>
      <c r="AP47" s="3"/>
      <c r="AQ47" s="45"/>
      <c r="AR47" s="46"/>
      <c r="AS47" s="47">
        <v>0.9</v>
      </c>
      <c r="AT47" s="48">
        <v>1.0</v>
      </c>
      <c r="AU47" s="49">
        <v>3.0</v>
      </c>
      <c r="AV47" s="49">
        <f>Max!$B$4*AS47</f>
        <v>90</v>
      </c>
      <c r="AW47" s="3"/>
      <c r="AX47" s="3"/>
      <c r="AY47" s="3"/>
      <c r="AZ47" s="3"/>
      <c r="BA47" s="3"/>
      <c r="BB47" s="3"/>
      <c r="BC47" s="3"/>
      <c r="BD47" s="3"/>
      <c r="BE47" s="3"/>
      <c r="BF47" s="3"/>
    </row>
    <row r="48" ht="12.75" customHeight="1">
      <c r="A48" s="69">
        <v>3.0</v>
      </c>
      <c r="B48" s="70" t="s">
        <v>55</v>
      </c>
      <c r="C48" s="71">
        <v>0.55</v>
      </c>
      <c r="D48" s="73">
        <v>3.0</v>
      </c>
      <c r="E48" s="72">
        <v>1.0</v>
      </c>
      <c r="F48" s="72">
        <f>Max!$B$5*C48</f>
        <v>55</v>
      </c>
      <c r="G48" s="51" t="str">
        <f t="shared" si="17"/>
        <v>#VALUE!</v>
      </c>
      <c r="H48" s="52" t="str">
        <f t="shared" si="18"/>
        <v>#VALUE!</v>
      </c>
      <c r="I48" s="51"/>
      <c r="J48" s="52"/>
      <c r="K48" s="51"/>
      <c r="L48" s="5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60">
        <v>4.0</v>
      </c>
      <c r="AR48" s="59" t="s">
        <v>44</v>
      </c>
      <c r="AS48" s="61">
        <v>0.65</v>
      </c>
      <c r="AT48" s="62">
        <v>8.0</v>
      </c>
      <c r="AU48" s="63">
        <v>5.0</v>
      </c>
      <c r="AV48" s="63"/>
      <c r="AW48" s="3"/>
      <c r="AX48" s="3"/>
      <c r="AY48" s="3"/>
      <c r="AZ48" s="3"/>
      <c r="BA48" s="3"/>
      <c r="BB48" s="3"/>
      <c r="BC48" s="3"/>
      <c r="BD48" s="3"/>
      <c r="BE48" s="3"/>
      <c r="BF48" s="3"/>
    </row>
    <row r="49" ht="12.75" customHeight="1">
      <c r="A49" s="69"/>
      <c r="B49" s="70"/>
      <c r="C49" s="71">
        <v>0.65</v>
      </c>
      <c r="D49" s="73">
        <v>3.0</v>
      </c>
      <c r="E49" s="72">
        <v>1.0</v>
      </c>
      <c r="F49" s="72">
        <f>Max!$B$5*C49</f>
        <v>65</v>
      </c>
      <c r="G49" s="51" t="str">
        <f>#REF!*#REF!</f>
        <v>#REF!</v>
      </c>
      <c r="H49" s="52" t="str">
        <f>#REF!*G49</f>
        <v>#REF!</v>
      </c>
      <c r="I49" s="51"/>
      <c r="J49" s="52"/>
      <c r="K49" s="51"/>
      <c r="L49" s="53"/>
      <c r="M49" s="3"/>
      <c r="N49" s="3"/>
      <c r="O49" s="3"/>
      <c r="P49" s="3"/>
      <c r="Q49" s="3"/>
      <c r="R49" s="3"/>
      <c r="S49" s="3"/>
      <c r="T49" s="3"/>
      <c r="U49" s="3"/>
      <c r="V49" s="3"/>
      <c r="W49" s="3"/>
      <c r="X49" s="3"/>
      <c r="Y49" s="3"/>
      <c r="Z49" s="3"/>
      <c r="AA49" s="3"/>
      <c r="AB49" s="3"/>
      <c r="AC49" s="28" t="s">
        <v>61</v>
      </c>
      <c r="AD49" s="28"/>
      <c r="AE49" s="37" t="s">
        <v>33</v>
      </c>
      <c r="AF49" s="26" t="s">
        <v>34</v>
      </c>
      <c r="AG49" s="26" t="s">
        <v>35</v>
      </c>
      <c r="AH49" s="26" t="s">
        <v>36</v>
      </c>
      <c r="AI49" s="3"/>
      <c r="AJ49" s="28" t="s">
        <v>61</v>
      </c>
      <c r="AK49" s="28"/>
      <c r="AL49" s="37" t="s">
        <v>33</v>
      </c>
      <c r="AM49" s="26" t="s">
        <v>34</v>
      </c>
      <c r="AN49" s="26" t="s">
        <v>35</v>
      </c>
      <c r="AO49" s="26" t="s">
        <v>36</v>
      </c>
      <c r="AP49" s="3"/>
      <c r="AQ49" s="64">
        <v>5.0</v>
      </c>
      <c r="AR49" s="65" t="s">
        <v>50</v>
      </c>
      <c r="AS49" s="66">
        <v>0.65</v>
      </c>
      <c r="AT49" s="67">
        <v>8.0</v>
      </c>
      <c r="AU49" s="68">
        <v>4.0</v>
      </c>
      <c r="AV49" s="68"/>
      <c r="AW49" s="3"/>
      <c r="AX49" s="3"/>
      <c r="AY49" s="3"/>
      <c r="AZ49" s="3"/>
      <c r="BA49" s="3"/>
      <c r="BB49" s="3"/>
      <c r="BC49" s="3"/>
      <c r="BD49" s="3"/>
      <c r="BE49" s="3"/>
      <c r="BF49" s="3"/>
    </row>
    <row r="50" ht="12.75" customHeight="1">
      <c r="A50" s="69"/>
      <c r="B50" s="70"/>
      <c r="C50" s="71">
        <v>0.75</v>
      </c>
      <c r="D50" s="73">
        <v>3.0</v>
      </c>
      <c r="E50" s="72">
        <v>1.0</v>
      </c>
      <c r="F50" s="72">
        <f>Max!$B$5*C50</f>
        <v>75</v>
      </c>
      <c r="G50" s="51"/>
      <c r="H50" s="52"/>
      <c r="I50" s="51"/>
      <c r="J50" s="52"/>
      <c r="K50" s="51"/>
      <c r="L50" s="53"/>
      <c r="M50" s="3"/>
      <c r="N50" s="3"/>
      <c r="O50" s="3"/>
      <c r="P50" s="3"/>
      <c r="Q50" s="3"/>
      <c r="R50" s="3"/>
      <c r="S50" s="3"/>
      <c r="T50" s="3"/>
      <c r="U50" s="3"/>
      <c r="V50" s="3"/>
      <c r="W50" s="3"/>
      <c r="X50" s="3"/>
      <c r="Y50" s="3"/>
      <c r="Z50" s="3"/>
      <c r="AA50" s="3"/>
      <c r="AB50" s="3"/>
      <c r="AC50" s="69">
        <v>1.0</v>
      </c>
      <c r="AD50" s="70" t="s">
        <v>65</v>
      </c>
      <c r="AE50" s="71">
        <v>0.5</v>
      </c>
      <c r="AF50" s="72">
        <v>3.0</v>
      </c>
      <c r="AG50" s="72">
        <v>1.0</v>
      </c>
      <c r="AH50" s="72">
        <f>Max!$B$5*AE50</f>
        <v>50</v>
      </c>
      <c r="AI50" s="3"/>
      <c r="AJ50" s="69">
        <v>1.0</v>
      </c>
      <c r="AK50" s="70" t="s">
        <v>65</v>
      </c>
      <c r="AL50" s="71">
        <v>0.5</v>
      </c>
      <c r="AM50" s="72">
        <v>3.0</v>
      </c>
      <c r="AN50" s="72">
        <v>1.0</v>
      </c>
      <c r="AO50" s="72">
        <f>Max!$B$5*AL50</f>
        <v>50</v>
      </c>
      <c r="AP50" s="3"/>
      <c r="AQ50" s="3"/>
      <c r="AR50" s="3"/>
      <c r="AS50" s="3"/>
      <c r="AT50" s="3"/>
      <c r="AU50" s="3"/>
      <c r="AV50" s="3"/>
      <c r="AW50" s="3"/>
      <c r="AX50" s="3"/>
      <c r="AY50" s="3"/>
      <c r="AZ50" s="3"/>
      <c r="BA50" s="3"/>
      <c r="BB50" s="3"/>
      <c r="BC50" s="3"/>
      <c r="BD50" s="3"/>
      <c r="BE50" s="3"/>
      <c r="BF50" s="3"/>
    </row>
    <row r="51" ht="12.75" customHeight="1">
      <c r="A51" s="69"/>
      <c r="B51" s="70"/>
      <c r="C51" s="71">
        <v>0.85</v>
      </c>
      <c r="D51" s="73">
        <v>2.0</v>
      </c>
      <c r="E51" s="72">
        <v>3.0</v>
      </c>
      <c r="F51" s="72">
        <f>Max!$B$5*C51</f>
        <v>85</v>
      </c>
      <c r="G51" s="51"/>
      <c r="H51" s="52"/>
      <c r="I51" s="51"/>
      <c r="J51" s="52"/>
      <c r="K51" s="51"/>
      <c r="L51" s="53"/>
      <c r="M51" s="3"/>
      <c r="N51" s="3"/>
      <c r="O51" s="3"/>
      <c r="P51" s="3"/>
      <c r="Q51" s="3"/>
      <c r="R51" s="3"/>
      <c r="S51" s="3"/>
      <c r="T51" s="3"/>
      <c r="U51" s="3"/>
      <c r="V51" s="3"/>
      <c r="W51" s="3"/>
      <c r="X51" s="3"/>
      <c r="Y51" s="3"/>
      <c r="Z51" s="3"/>
      <c r="AA51" s="3"/>
      <c r="AB51" s="3"/>
      <c r="AC51" s="69"/>
      <c r="AD51" s="70"/>
      <c r="AE51" s="71">
        <v>0.6</v>
      </c>
      <c r="AF51" s="72">
        <v>3.0</v>
      </c>
      <c r="AG51" s="72">
        <v>1.0</v>
      </c>
      <c r="AH51" s="72">
        <f>Max!$B$5*AE51</f>
        <v>60</v>
      </c>
      <c r="AI51" s="3"/>
      <c r="AJ51" s="69"/>
      <c r="AK51" s="70"/>
      <c r="AL51" s="71">
        <v>0.6</v>
      </c>
      <c r="AM51" s="72">
        <v>3.0</v>
      </c>
      <c r="AN51" s="72">
        <v>1.0</v>
      </c>
      <c r="AO51" s="72">
        <f>Max!$B$5*AL51</f>
        <v>60</v>
      </c>
      <c r="AP51" s="3"/>
      <c r="AQ51" s="28" t="s">
        <v>61</v>
      </c>
      <c r="AR51" s="28"/>
      <c r="AS51" s="37" t="s">
        <v>33</v>
      </c>
      <c r="AT51" s="26" t="s">
        <v>34</v>
      </c>
      <c r="AU51" s="26" t="s">
        <v>35</v>
      </c>
      <c r="AV51" s="26" t="s">
        <v>36</v>
      </c>
      <c r="AW51" s="3"/>
      <c r="AX51" s="3"/>
      <c r="AY51" s="3"/>
      <c r="AZ51" s="3"/>
      <c r="BA51" s="3"/>
      <c r="BB51" s="3"/>
      <c r="BC51" s="3"/>
      <c r="BD51" s="3"/>
      <c r="BE51" s="3"/>
      <c r="BF51" s="3"/>
    </row>
    <row r="52" ht="12.75" customHeight="1">
      <c r="A52" s="56">
        <v>4.0</v>
      </c>
      <c r="B52" s="57" t="s">
        <v>54</v>
      </c>
      <c r="C52" s="58">
        <v>0.7</v>
      </c>
      <c r="D52" s="55">
        <v>6.0</v>
      </c>
      <c r="E52" s="55">
        <v>5.0</v>
      </c>
      <c r="F52" s="55"/>
      <c r="G52" s="51"/>
      <c r="H52" s="52"/>
      <c r="I52" s="51"/>
      <c r="J52" s="52"/>
      <c r="K52" s="51"/>
      <c r="L52" s="53"/>
      <c r="M52" s="3"/>
      <c r="N52" s="3"/>
      <c r="O52" s="3"/>
      <c r="P52" s="3"/>
      <c r="Q52" s="3"/>
      <c r="R52" s="3"/>
      <c r="S52" s="3"/>
      <c r="T52" s="3"/>
      <c r="U52" s="3"/>
      <c r="V52" s="3"/>
      <c r="W52" s="3"/>
      <c r="X52" s="3"/>
      <c r="Y52" s="3"/>
      <c r="Z52" s="3"/>
      <c r="AA52" s="3"/>
      <c r="AB52" s="3"/>
      <c r="AC52" s="69"/>
      <c r="AD52" s="70"/>
      <c r="AE52" s="71">
        <v>0.65</v>
      </c>
      <c r="AF52" s="72">
        <v>3.0</v>
      </c>
      <c r="AG52" s="72">
        <v>1.0</v>
      </c>
      <c r="AH52" s="72">
        <f>Max!$B$5*AE52</f>
        <v>65</v>
      </c>
      <c r="AI52" s="3"/>
      <c r="AJ52" s="69"/>
      <c r="AK52" s="70"/>
      <c r="AL52" s="71">
        <v>0.65</v>
      </c>
      <c r="AM52" s="72">
        <v>3.0</v>
      </c>
      <c r="AN52" s="72">
        <v>1.0</v>
      </c>
      <c r="AO52" s="72">
        <f>Max!$B$5*AL52</f>
        <v>65</v>
      </c>
      <c r="AP52" s="3"/>
      <c r="AQ52" s="45">
        <v>1.0</v>
      </c>
      <c r="AR52" s="46" t="s">
        <v>43</v>
      </c>
      <c r="AS52" s="47">
        <v>0.5</v>
      </c>
      <c r="AT52" s="48">
        <v>4.0</v>
      </c>
      <c r="AU52" s="49">
        <v>1.0</v>
      </c>
      <c r="AV52" s="49">
        <f>Max!$B$4*AS52</f>
        <v>50</v>
      </c>
      <c r="AW52" s="3"/>
      <c r="AX52" s="3"/>
      <c r="AY52" s="3"/>
      <c r="AZ52" s="3"/>
      <c r="BA52" s="3"/>
      <c r="BB52" s="3"/>
      <c r="BC52" s="3"/>
      <c r="BD52" s="3"/>
      <c r="BE52" s="3"/>
      <c r="BF52" s="3"/>
    </row>
    <row r="53" ht="12.75" customHeight="1">
      <c r="A53" s="64">
        <v>5.0</v>
      </c>
      <c r="B53" s="65" t="s">
        <v>50</v>
      </c>
      <c r="C53" s="66">
        <v>0.65</v>
      </c>
      <c r="D53" s="68">
        <v>8.0</v>
      </c>
      <c r="E53" s="68">
        <v>4.0</v>
      </c>
      <c r="F53" s="68"/>
      <c r="G53" s="13"/>
      <c r="H53" s="13"/>
      <c r="I53" s="13"/>
      <c r="J53" s="13"/>
      <c r="K53" s="13"/>
      <c r="L53" s="27"/>
      <c r="M53" s="3"/>
      <c r="N53" s="3"/>
      <c r="O53" s="3"/>
      <c r="P53" s="3"/>
      <c r="Q53" s="3"/>
      <c r="R53" s="3"/>
      <c r="S53" s="3"/>
      <c r="T53" s="3"/>
      <c r="U53" s="3"/>
      <c r="V53" s="3"/>
      <c r="W53" s="3"/>
      <c r="X53" s="3"/>
      <c r="Y53" s="3"/>
      <c r="Z53" s="3"/>
      <c r="AA53" s="3"/>
      <c r="AB53" s="3"/>
      <c r="AC53" s="69"/>
      <c r="AD53" s="70"/>
      <c r="AE53" s="71">
        <v>0.75</v>
      </c>
      <c r="AF53" s="72">
        <v>2.0</v>
      </c>
      <c r="AG53" s="72">
        <v>4.0</v>
      </c>
      <c r="AH53" s="72">
        <f>Max!$B$5*AE53</f>
        <v>75</v>
      </c>
      <c r="AI53" s="3"/>
      <c r="AJ53" s="69"/>
      <c r="AK53" s="70"/>
      <c r="AL53" s="71">
        <v>0.75</v>
      </c>
      <c r="AM53" s="72">
        <v>2.0</v>
      </c>
      <c r="AN53" s="72">
        <v>4.0</v>
      </c>
      <c r="AO53" s="72">
        <f>Max!$B$5*AL53</f>
        <v>75</v>
      </c>
      <c r="AP53" s="3"/>
      <c r="AQ53" s="45"/>
      <c r="AR53" s="46"/>
      <c r="AS53" s="47">
        <v>0.6</v>
      </c>
      <c r="AT53" s="48">
        <v>4.0</v>
      </c>
      <c r="AU53" s="49">
        <v>1.0</v>
      </c>
      <c r="AV53" s="49">
        <f>Max!$B$4*AS53</f>
        <v>60</v>
      </c>
      <c r="AW53" s="3"/>
      <c r="AX53" s="3"/>
      <c r="AY53" s="3"/>
      <c r="AZ53" s="3"/>
      <c r="BA53" s="3"/>
      <c r="BB53" s="3"/>
      <c r="BC53" s="3"/>
      <c r="BD53" s="3"/>
      <c r="BE53" s="3"/>
      <c r="BF53" s="3"/>
    </row>
    <row r="54" ht="12.75" customHeight="1">
      <c r="G54" s="82" t="str">
        <f t="shared" ref="G54:L54" si="19">SUM(G7:G52)</f>
        <v>#VALUE!</v>
      </c>
      <c r="H54" s="83" t="str">
        <f t="shared" si="19"/>
        <v>#VALUE!</v>
      </c>
      <c r="I54" s="82" t="str">
        <f t="shared" si="19"/>
        <v>#REF!</v>
      </c>
      <c r="J54" s="83" t="str">
        <f t="shared" si="19"/>
        <v>#REF!</v>
      </c>
      <c r="K54" s="82" t="str">
        <f t="shared" si="19"/>
        <v>#VALUE!</v>
      </c>
      <c r="L54" s="83" t="str">
        <f t="shared" si="19"/>
        <v>#VALUE!</v>
      </c>
      <c r="M54" s="84">
        <f t="shared" ref="M54:Q54" si="20">SUM(M11:M53)</f>
        <v>37</v>
      </c>
      <c r="N54" s="84">
        <f t="shared" si="20"/>
        <v>4</v>
      </c>
      <c r="O54" s="84" t="str">
        <f t="shared" si="20"/>
        <v>#VALUE!</v>
      </c>
      <c r="P54" s="28">
        <f t="shared" si="20"/>
        <v>0</v>
      </c>
      <c r="Q54" s="84">
        <f t="shared" si="20"/>
        <v>0</v>
      </c>
      <c r="R54" s="84" t="str">
        <f t="shared" ref="R54:V54" si="21">SUM(R7:R53)</f>
        <v>#VALUE!</v>
      </c>
      <c r="S54" s="84">
        <f t="shared" si="21"/>
        <v>163</v>
      </c>
      <c r="T54" s="84" t="str">
        <f t="shared" si="21"/>
        <v>#REF!</v>
      </c>
      <c r="U54" s="28">
        <f t="shared" si="21"/>
        <v>0</v>
      </c>
      <c r="V54" s="28">
        <f t="shared" si="21"/>
        <v>0</v>
      </c>
      <c r="W54" s="84">
        <f t="shared" ref="W54:AA54" si="22">SUM(W21:W53)</f>
        <v>0</v>
      </c>
      <c r="X54" s="84" t="str">
        <f t="shared" si="22"/>
        <v>#VALUE!</v>
      </c>
      <c r="Y54" s="84">
        <f t="shared" si="22"/>
        <v>9</v>
      </c>
      <c r="Z54" s="28">
        <f t="shared" si="22"/>
        <v>8</v>
      </c>
      <c r="AA54" s="28">
        <f t="shared" si="22"/>
        <v>0</v>
      </c>
      <c r="AB54" s="28"/>
      <c r="AC54" s="45">
        <v>2.0</v>
      </c>
      <c r="AD54" s="46" t="s">
        <v>66</v>
      </c>
      <c r="AE54" s="47">
        <v>0.5</v>
      </c>
      <c r="AF54" s="48">
        <v>3.0</v>
      </c>
      <c r="AG54" s="49">
        <v>1.0</v>
      </c>
      <c r="AH54" s="49">
        <f>Max!$B$4*AE54</f>
        <v>50</v>
      </c>
      <c r="AI54" s="28"/>
      <c r="AJ54" s="56">
        <v>2.0</v>
      </c>
      <c r="AK54" s="80" t="s">
        <v>64</v>
      </c>
      <c r="AL54" s="58">
        <v>0.85</v>
      </c>
      <c r="AM54" s="79">
        <v>3.0</v>
      </c>
      <c r="AN54" s="55">
        <v>5.0</v>
      </c>
      <c r="AO54" s="55">
        <f>Max!$B$4*AL54</f>
        <v>85</v>
      </c>
      <c r="AP54" s="28"/>
      <c r="AQ54" s="45"/>
      <c r="AR54" s="46"/>
      <c r="AS54" s="47">
        <v>0.7</v>
      </c>
      <c r="AT54" s="48">
        <v>4.0</v>
      </c>
      <c r="AU54" s="49">
        <v>5.0</v>
      </c>
      <c r="AV54" s="49">
        <f>Max!$B$4*AS54</f>
        <v>70</v>
      </c>
      <c r="AW54" s="3"/>
      <c r="AX54" s="3"/>
      <c r="AY54" s="3"/>
      <c r="AZ54" s="3"/>
      <c r="BA54" s="3"/>
      <c r="BB54" s="3"/>
      <c r="BC54" s="3"/>
      <c r="BD54" s="3"/>
      <c r="BE54" s="3"/>
      <c r="BF54" s="3"/>
    </row>
    <row r="55" ht="12.75" customHeight="1">
      <c r="A55" s="3"/>
      <c r="B55" s="3"/>
      <c r="C55" s="3"/>
      <c r="D55" s="3"/>
      <c r="E55" s="3"/>
      <c r="F55" s="3"/>
      <c r="G55" s="51"/>
      <c r="H55" s="52"/>
      <c r="I55" s="51"/>
      <c r="J55" s="52"/>
      <c r="K55" s="51"/>
      <c r="L55" s="53"/>
      <c r="M55" s="3"/>
      <c r="N55" s="3"/>
      <c r="O55" s="3"/>
      <c r="P55" s="3"/>
      <c r="Q55" s="3"/>
      <c r="R55" s="6"/>
      <c r="S55" s="6"/>
      <c r="T55" s="6"/>
      <c r="U55" s="3"/>
      <c r="V55" s="6"/>
      <c r="W55" s="3"/>
      <c r="X55" s="3"/>
      <c r="Y55" s="3"/>
      <c r="Z55" s="3"/>
      <c r="AA55" s="3"/>
      <c r="AB55" s="3"/>
      <c r="AC55" s="45"/>
      <c r="AD55" s="46"/>
      <c r="AE55" s="47">
        <v>0.6</v>
      </c>
      <c r="AF55" s="48">
        <v>3.0</v>
      </c>
      <c r="AG55" s="49">
        <v>1.0</v>
      </c>
      <c r="AH55" s="49">
        <f>Max!$B$4*AE55</f>
        <v>60</v>
      </c>
      <c r="AI55" s="3"/>
      <c r="AJ55" s="56">
        <v>3.0</v>
      </c>
      <c r="AK55" s="80" t="s">
        <v>44</v>
      </c>
      <c r="AL55" s="58">
        <v>0.65</v>
      </c>
      <c r="AM55" s="55">
        <v>8.0</v>
      </c>
      <c r="AN55" s="55">
        <v>5.0</v>
      </c>
      <c r="AO55" s="55"/>
      <c r="AP55" s="3"/>
      <c r="AQ55" s="69">
        <v>3.0</v>
      </c>
      <c r="AR55" s="70" t="s">
        <v>55</v>
      </c>
      <c r="AS55" s="71">
        <v>0.6</v>
      </c>
      <c r="AT55" s="73">
        <v>3.0</v>
      </c>
      <c r="AU55" s="72">
        <v>1.0</v>
      </c>
      <c r="AV55" s="72">
        <f>Max!$B$5*AS55</f>
        <v>60</v>
      </c>
      <c r="AW55" s="3"/>
      <c r="AX55" s="3"/>
      <c r="AY55" s="3"/>
      <c r="AZ55" s="3"/>
      <c r="BA55" s="3"/>
      <c r="BB55" s="3"/>
      <c r="BC55" s="3"/>
      <c r="BD55" s="3"/>
      <c r="BE55" s="3"/>
      <c r="BF55" s="3"/>
    </row>
    <row r="56" ht="12.75" customHeight="1">
      <c r="A56" s="3"/>
      <c r="B56" s="3"/>
      <c r="C56" s="3"/>
      <c r="D56" s="3"/>
      <c r="E56" s="3"/>
      <c r="F56" s="3"/>
      <c r="G56" s="51"/>
      <c r="H56" s="52"/>
      <c r="I56" s="51"/>
      <c r="J56" s="52"/>
      <c r="K56" s="51"/>
      <c r="L56" s="53"/>
      <c r="M56" s="3"/>
      <c r="N56" s="3"/>
      <c r="O56" s="3"/>
      <c r="P56" s="3"/>
      <c r="Q56" s="3"/>
      <c r="R56" s="3"/>
      <c r="S56" s="3"/>
      <c r="T56" s="3"/>
      <c r="U56" s="3"/>
      <c r="V56" s="3"/>
      <c r="W56" s="3"/>
      <c r="X56" s="3"/>
      <c r="Y56" s="3"/>
      <c r="Z56" s="3"/>
      <c r="AA56" s="3"/>
      <c r="AB56" s="3"/>
      <c r="AC56" s="45"/>
      <c r="AD56" s="46"/>
      <c r="AE56" s="47">
        <v>0.7</v>
      </c>
      <c r="AF56" s="48">
        <v>3.0</v>
      </c>
      <c r="AG56" s="49">
        <v>4.0</v>
      </c>
      <c r="AH56" s="49">
        <f>Max!$B$4*AE56</f>
        <v>70</v>
      </c>
      <c r="AI56" s="3"/>
      <c r="AJ56" s="56">
        <v>4.0</v>
      </c>
      <c r="AK56" s="80" t="s">
        <v>54</v>
      </c>
      <c r="AL56" s="81">
        <v>0.7</v>
      </c>
      <c r="AM56" s="55">
        <v>6.0</v>
      </c>
      <c r="AN56" s="55">
        <v>5.0</v>
      </c>
      <c r="AO56" s="55"/>
      <c r="AP56" s="3"/>
      <c r="AQ56" s="69"/>
      <c r="AR56" s="70"/>
      <c r="AS56" s="71">
        <v>0.7</v>
      </c>
      <c r="AT56" s="73">
        <v>3.0</v>
      </c>
      <c r="AU56" s="72">
        <v>1.0</v>
      </c>
      <c r="AV56" s="72">
        <f>Max!$B$5*AS56</f>
        <v>70</v>
      </c>
      <c r="AW56" s="3"/>
      <c r="AX56" s="3"/>
      <c r="AY56" s="3"/>
      <c r="AZ56" s="3"/>
      <c r="BA56" s="3"/>
      <c r="BB56" s="3"/>
      <c r="BC56" s="3"/>
      <c r="BD56" s="3"/>
      <c r="BE56" s="3"/>
      <c r="BF56" s="3"/>
    </row>
    <row r="57" ht="12.75" customHeight="1">
      <c r="A57" s="3"/>
      <c r="B57" s="3"/>
      <c r="C57" s="3"/>
      <c r="D57" s="3"/>
      <c r="E57" s="3"/>
      <c r="F57" s="3"/>
      <c r="G57" s="51">
        <f t="shared" ref="G57:G60" si="23">AF7*AG7</f>
        <v>5</v>
      </c>
      <c r="H57" s="52">
        <f t="shared" ref="H57:H60" si="24">AH7*G57</f>
        <v>250</v>
      </c>
      <c r="I57" s="51"/>
      <c r="J57" s="52"/>
      <c r="K57" s="51"/>
      <c r="L57" s="53"/>
      <c r="M57" s="6">
        <f>G57</f>
        <v>5</v>
      </c>
      <c r="N57" s="6">
        <f>G58</f>
        <v>4</v>
      </c>
      <c r="O57" s="6">
        <f>G59</f>
        <v>3</v>
      </c>
      <c r="P57" s="6">
        <f>G60</f>
        <v>8</v>
      </c>
      <c r="Q57" s="3">
        <v>0.0</v>
      </c>
      <c r="R57" s="3"/>
      <c r="S57" s="3"/>
      <c r="T57" s="3"/>
      <c r="U57" s="3"/>
      <c r="V57" s="3"/>
      <c r="W57" s="3"/>
      <c r="X57" s="3"/>
      <c r="Y57" s="3"/>
      <c r="Z57" s="3"/>
      <c r="AA57" s="3"/>
      <c r="AB57" s="3"/>
      <c r="AC57" s="69">
        <v>3.0</v>
      </c>
      <c r="AD57" s="70" t="s">
        <v>55</v>
      </c>
      <c r="AE57" s="71">
        <v>0.55</v>
      </c>
      <c r="AF57" s="73">
        <v>3.0</v>
      </c>
      <c r="AG57" s="72">
        <v>1.0</v>
      </c>
      <c r="AH57" s="72">
        <f>Max!$B$5*AE57</f>
        <v>55</v>
      </c>
      <c r="AI57" s="3"/>
      <c r="AJ57" s="56">
        <v>5.0</v>
      </c>
      <c r="AK57" s="65" t="s">
        <v>48</v>
      </c>
      <c r="AL57" s="58">
        <v>0.75</v>
      </c>
      <c r="AM57" s="79">
        <v>5.0</v>
      </c>
      <c r="AN57" s="55">
        <v>5.0</v>
      </c>
      <c r="AO57" s="55"/>
      <c r="AP57" s="3"/>
      <c r="AQ57" s="74"/>
      <c r="AR57" s="75"/>
      <c r="AS57" s="76">
        <v>0.8</v>
      </c>
      <c r="AT57" s="77">
        <v>3.0</v>
      </c>
      <c r="AU57" s="78">
        <v>2.0</v>
      </c>
      <c r="AV57" s="78">
        <f>Max!$B$5*AS57</f>
        <v>80</v>
      </c>
      <c r="AW57" s="3"/>
      <c r="AX57" s="3"/>
      <c r="AY57" s="3"/>
      <c r="AZ57" s="3"/>
      <c r="BA57" s="3"/>
      <c r="BB57" s="3"/>
      <c r="BC57" s="3"/>
      <c r="BD57" s="3"/>
      <c r="BE57" s="3"/>
      <c r="BF57" s="3"/>
    </row>
    <row r="58" ht="12.75" customHeight="1">
      <c r="A58" s="3"/>
      <c r="B58" s="3"/>
      <c r="C58" s="3"/>
      <c r="D58" s="3"/>
      <c r="E58" s="3"/>
      <c r="F58" s="3"/>
      <c r="G58" s="51">
        <f t="shared" si="23"/>
        <v>4</v>
      </c>
      <c r="H58" s="52">
        <f t="shared" si="24"/>
        <v>240</v>
      </c>
      <c r="I58" s="51"/>
      <c r="J58" s="52"/>
      <c r="K58" s="51"/>
      <c r="L58" s="53"/>
      <c r="M58" s="3"/>
      <c r="N58" s="3"/>
      <c r="O58" s="3"/>
      <c r="P58" s="3"/>
      <c r="Q58" s="3"/>
      <c r="R58" s="3"/>
      <c r="S58" s="3"/>
      <c r="T58" s="3"/>
      <c r="U58" s="3"/>
      <c r="V58" s="3"/>
      <c r="W58" s="3"/>
      <c r="X58" s="3"/>
      <c r="Y58" s="3"/>
      <c r="Z58" s="3"/>
      <c r="AA58" s="3"/>
      <c r="AB58" s="3"/>
      <c r="AC58" s="69"/>
      <c r="AD58" s="70"/>
      <c r="AE58" s="71">
        <v>0.65</v>
      </c>
      <c r="AF58" s="73">
        <v>3.0</v>
      </c>
      <c r="AG58" s="72">
        <v>1.0</v>
      </c>
      <c r="AH58" s="72">
        <f>Max!$B$5*AE58</f>
        <v>65</v>
      </c>
      <c r="AI58" s="3"/>
      <c r="AP58" s="3"/>
      <c r="AQ58" s="69"/>
      <c r="AR58" s="70"/>
      <c r="AS58" s="71">
        <v>0.85</v>
      </c>
      <c r="AT58" s="73">
        <v>2.0</v>
      </c>
      <c r="AU58" s="72">
        <v>3.0</v>
      </c>
      <c r="AV58" s="72">
        <f>Max!$B$5*AS58</f>
        <v>85</v>
      </c>
      <c r="AW58" s="3"/>
      <c r="AX58" s="3"/>
      <c r="AY58" s="3"/>
      <c r="AZ58" s="3"/>
      <c r="BA58" s="3"/>
      <c r="BB58" s="3"/>
      <c r="BC58" s="3"/>
      <c r="BD58" s="3"/>
      <c r="BE58" s="3"/>
      <c r="BF58" s="3"/>
    </row>
    <row r="59" ht="12.75" customHeight="1">
      <c r="A59" s="3"/>
      <c r="B59" s="3"/>
      <c r="C59" s="3"/>
      <c r="D59" s="3"/>
      <c r="E59" s="3"/>
      <c r="F59" s="3"/>
      <c r="G59" s="51">
        <f t="shared" si="23"/>
        <v>3</v>
      </c>
      <c r="H59" s="52">
        <f t="shared" si="24"/>
        <v>210</v>
      </c>
      <c r="I59" s="51"/>
      <c r="J59" s="52"/>
      <c r="K59" s="51"/>
      <c r="L59" s="53"/>
      <c r="M59" s="3"/>
      <c r="N59" s="3"/>
      <c r="O59" s="3"/>
      <c r="P59" s="3"/>
      <c r="Q59" s="3"/>
      <c r="R59" s="3"/>
      <c r="S59" s="3"/>
      <c r="T59" s="3"/>
      <c r="U59" s="3"/>
      <c r="V59" s="3"/>
      <c r="W59" s="3"/>
      <c r="X59" s="3"/>
      <c r="Y59" s="3"/>
      <c r="Z59" s="3"/>
      <c r="AA59" s="3"/>
      <c r="AB59" s="3"/>
      <c r="AC59" s="69"/>
      <c r="AD59" s="70"/>
      <c r="AE59" s="71">
        <v>0.75</v>
      </c>
      <c r="AF59" s="73">
        <v>3.0</v>
      </c>
      <c r="AG59" s="72">
        <v>1.0</v>
      </c>
      <c r="AH59" s="72">
        <f>Max!$B$5*AE59</f>
        <v>75</v>
      </c>
      <c r="AI59" s="3"/>
      <c r="AP59" s="3"/>
      <c r="AQ59" s="60">
        <v>3.0</v>
      </c>
      <c r="AR59" s="59" t="s">
        <v>57</v>
      </c>
      <c r="AS59" s="61">
        <v>0.7</v>
      </c>
      <c r="AT59" s="62">
        <v>6.0</v>
      </c>
      <c r="AU59" s="63">
        <v>5.0</v>
      </c>
      <c r="AV59" s="63"/>
      <c r="AW59" s="3"/>
      <c r="AX59" s="3"/>
      <c r="AY59" s="3"/>
      <c r="AZ59" s="3"/>
      <c r="BA59" s="3"/>
      <c r="BB59" s="3"/>
      <c r="BC59" s="3"/>
      <c r="BD59" s="3"/>
      <c r="BE59" s="3"/>
      <c r="BF59" s="3"/>
    </row>
    <row r="60" ht="12.75" customHeight="1">
      <c r="A60" s="3"/>
      <c r="B60" s="3"/>
      <c r="C60" s="3"/>
      <c r="D60" s="3"/>
      <c r="E60" s="3"/>
      <c r="F60" s="3"/>
      <c r="G60" s="51">
        <f t="shared" si="23"/>
        <v>8</v>
      </c>
      <c r="H60" s="52">
        <f t="shared" si="24"/>
        <v>640</v>
      </c>
      <c r="I60" s="51"/>
      <c r="J60" s="52"/>
      <c r="K60" s="51"/>
      <c r="L60" s="53"/>
      <c r="M60" s="3"/>
      <c r="N60" s="3"/>
      <c r="O60" s="3"/>
      <c r="P60" s="3"/>
      <c r="Q60" s="3"/>
      <c r="R60" s="3"/>
      <c r="S60" s="3"/>
      <c r="T60" s="3"/>
      <c r="U60" s="3"/>
      <c r="V60" s="3"/>
      <c r="W60" s="3"/>
      <c r="X60" s="3"/>
      <c r="Y60" s="3"/>
      <c r="Z60" s="3"/>
      <c r="AA60" s="3"/>
      <c r="AB60" s="3"/>
      <c r="AC60" s="69"/>
      <c r="AD60" s="70"/>
      <c r="AE60" s="71">
        <v>0.85</v>
      </c>
      <c r="AF60" s="73">
        <v>2.0</v>
      </c>
      <c r="AG60" s="72">
        <v>3.0</v>
      </c>
      <c r="AH60" s="72">
        <f>Max!$B$5*AE60</f>
        <v>85</v>
      </c>
      <c r="AI60" s="3"/>
      <c r="AJ60" s="3"/>
      <c r="AK60" s="3"/>
      <c r="AL60" s="3"/>
      <c r="AM60" s="3"/>
      <c r="AN60" s="3"/>
      <c r="AO60" s="3"/>
      <c r="AP60" s="3"/>
      <c r="AQ60" s="64">
        <v>4.0</v>
      </c>
      <c r="AR60" s="65" t="s">
        <v>67</v>
      </c>
      <c r="AS60" s="66">
        <v>0.75</v>
      </c>
      <c r="AT60" s="67">
        <v>5.0</v>
      </c>
      <c r="AU60" s="68">
        <v>5.0</v>
      </c>
      <c r="AV60" s="68"/>
      <c r="AW60" s="3"/>
      <c r="AX60" s="3"/>
      <c r="AY60" s="3"/>
      <c r="AZ60" s="3"/>
      <c r="BA60" s="3"/>
      <c r="BB60" s="3"/>
      <c r="BC60" s="3"/>
      <c r="BD60" s="3"/>
      <c r="BE60" s="3"/>
      <c r="BF60" s="3"/>
    </row>
    <row r="61" ht="12.75" customHeight="1">
      <c r="A61" s="3"/>
      <c r="B61" s="3"/>
      <c r="C61" s="3"/>
      <c r="D61" s="3"/>
      <c r="E61" s="3"/>
      <c r="F61" s="3"/>
      <c r="G61" s="51"/>
      <c r="H61" s="52"/>
      <c r="I61" s="51">
        <f t="shared" ref="I61:I64" si="25">AF11*AG11</f>
        <v>5</v>
      </c>
      <c r="J61" s="52">
        <f t="shared" ref="J61:J64" si="26">AH11*I61</f>
        <v>250</v>
      </c>
      <c r="K61" s="51"/>
      <c r="L61" s="53"/>
      <c r="M61" s="3"/>
      <c r="N61" s="3"/>
      <c r="O61" s="3"/>
      <c r="P61" s="3"/>
      <c r="Q61" s="3"/>
      <c r="R61" s="6">
        <f>I61</f>
        <v>5</v>
      </c>
      <c r="S61" s="6">
        <f>I62</f>
        <v>4</v>
      </c>
      <c r="T61" s="6">
        <f>I63</f>
        <v>3</v>
      </c>
      <c r="U61" s="6">
        <f>I64</f>
        <v>12</v>
      </c>
      <c r="V61" s="3">
        <v>0.0</v>
      </c>
      <c r="W61" s="3"/>
      <c r="X61" s="3"/>
      <c r="Y61" s="3"/>
      <c r="Z61" s="3"/>
      <c r="AA61" s="3"/>
      <c r="AB61" s="3"/>
      <c r="AC61" s="56">
        <v>4.0</v>
      </c>
      <c r="AD61" s="57" t="s">
        <v>54</v>
      </c>
      <c r="AE61" s="58">
        <v>0.7</v>
      </c>
      <c r="AF61" s="55">
        <v>6.0</v>
      </c>
      <c r="AG61" s="55">
        <v>5.0</v>
      </c>
      <c r="AH61" s="55"/>
      <c r="AI61" s="3"/>
      <c r="AJ61" s="3"/>
      <c r="AK61" s="3"/>
      <c r="AL61" s="3"/>
      <c r="AM61" s="3"/>
      <c r="AN61" s="3"/>
      <c r="AO61" s="3"/>
      <c r="AP61" s="3"/>
      <c r="AW61" s="3"/>
      <c r="AX61" s="3"/>
      <c r="AY61" s="3"/>
      <c r="AZ61" s="3"/>
      <c r="BA61" s="3"/>
      <c r="BB61" s="3"/>
      <c r="BC61" s="3"/>
      <c r="BD61" s="3"/>
      <c r="BE61" s="3"/>
      <c r="BF61" s="3"/>
    </row>
    <row r="62" ht="12.75" customHeight="1">
      <c r="A62" s="3"/>
      <c r="B62" s="3"/>
      <c r="C62" s="3"/>
      <c r="D62" s="3"/>
      <c r="E62" s="3"/>
      <c r="F62" s="3"/>
      <c r="G62" s="51"/>
      <c r="H62" s="52"/>
      <c r="I62" s="51">
        <f t="shared" si="25"/>
        <v>4</v>
      </c>
      <c r="J62" s="52">
        <f t="shared" si="26"/>
        <v>240</v>
      </c>
      <c r="K62" s="51"/>
      <c r="L62" s="53"/>
      <c r="M62" s="3"/>
      <c r="N62" s="3"/>
      <c r="O62" s="3"/>
      <c r="P62" s="3"/>
      <c r="Q62" s="3"/>
      <c r="R62" s="3"/>
      <c r="S62" s="3"/>
      <c r="T62" s="3"/>
      <c r="U62" s="3"/>
      <c r="V62" s="3"/>
      <c r="W62" s="3"/>
      <c r="X62" s="3"/>
      <c r="Y62" s="3"/>
      <c r="Z62" s="3"/>
      <c r="AA62" s="3"/>
      <c r="AB62" s="3"/>
      <c r="AC62" s="64">
        <v>5.0</v>
      </c>
      <c r="AD62" s="65" t="s">
        <v>50</v>
      </c>
      <c r="AE62" s="66">
        <v>0.65</v>
      </c>
      <c r="AF62" s="68">
        <v>8.0</v>
      </c>
      <c r="AG62" s="68">
        <v>4.0</v>
      </c>
      <c r="AH62" s="68"/>
      <c r="AI62" s="3"/>
      <c r="AJ62" s="3"/>
      <c r="AK62" s="3"/>
      <c r="AL62" s="3"/>
      <c r="AM62" s="3"/>
      <c r="AN62" s="3"/>
      <c r="AO62" s="3"/>
      <c r="AP62" s="3"/>
      <c r="AQ62" s="3"/>
      <c r="AR62" s="3"/>
      <c r="AS62" s="3"/>
      <c r="AT62" s="3"/>
      <c r="AU62" s="3"/>
      <c r="AV62" s="3"/>
      <c r="AW62" s="3"/>
      <c r="AX62" s="3"/>
      <c r="AY62" s="3"/>
      <c r="AZ62" s="3"/>
      <c r="BA62" s="3"/>
      <c r="BB62" s="3"/>
      <c r="BC62" s="3"/>
      <c r="BD62" s="3"/>
      <c r="BE62" s="3"/>
      <c r="BF62" s="3"/>
    </row>
    <row r="63" ht="12.75" customHeight="1">
      <c r="A63" s="3"/>
      <c r="B63" s="3"/>
      <c r="C63" s="3"/>
      <c r="D63" s="3"/>
      <c r="E63" s="3"/>
      <c r="F63" s="3"/>
      <c r="G63" s="51"/>
      <c r="H63" s="52"/>
      <c r="I63" s="51">
        <f t="shared" si="25"/>
        <v>3</v>
      </c>
      <c r="J63" s="52">
        <f t="shared" si="26"/>
        <v>210</v>
      </c>
      <c r="K63" s="51"/>
      <c r="L63" s="5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row>
    <row r="64" ht="12.75" customHeight="1">
      <c r="A64" s="3"/>
      <c r="B64" s="3"/>
      <c r="C64" s="3"/>
      <c r="D64" s="3"/>
      <c r="E64" s="3"/>
      <c r="F64" s="3"/>
      <c r="G64" s="51"/>
      <c r="H64" s="52"/>
      <c r="I64" s="51">
        <f t="shared" si="25"/>
        <v>12</v>
      </c>
      <c r="J64" s="52">
        <f t="shared" si="26"/>
        <v>900</v>
      </c>
      <c r="K64" s="51"/>
      <c r="L64" s="5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row>
    <row r="65" ht="12.75" customHeight="1">
      <c r="A65" s="3"/>
      <c r="B65" s="3"/>
      <c r="C65" s="3"/>
      <c r="D65" s="3"/>
      <c r="E65" s="3"/>
      <c r="F65" s="3"/>
      <c r="G65" s="51" t="str">
        <f t="shared" ref="G65:G67" si="27">#REF!*#REF!</f>
        <v>#REF!</v>
      </c>
      <c r="H65" s="52" t="str">
        <f t="shared" ref="H65:H67" si="28">#REF!*G65</f>
        <v>#REF!</v>
      </c>
      <c r="I65" s="51"/>
      <c r="J65" s="52"/>
      <c r="K65" s="51"/>
      <c r="L65" s="53"/>
      <c r="M65" s="6" t="str">
        <f>G65</f>
        <v>#REF!</v>
      </c>
      <c r="N65" s="6" t="str">
        <f>G66</f>
        <v>#REF!</v>
      </c>
      <c r="O65" s="6" t="str">
        <f>G67</f>
        <v>#REF!</v>
      </c>
      <c r="P65" s="3">
        <v>0.0</v>
      </c>
      <c r="Q65" s="3">
        <v>0.0</v>
      </c>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row>
    <row r="66" ht="12.75" customHeight="1">
      <c r="A66" s="3"/>
      <c r="B66" s="3"/>
      <c r="C66" s="3"/>
      <c r="D66" s="3"/>
      <c r="E66" s="3"/>
      <c r="F66" s="3"/>
      <c r="G66" s="51" t="str">
        <f t="shared" si="27"/>
        <v>#REF!</v>
      </c>
      <c r="H66" s="52" t="str">
        <f t="shared" si="28"/>
        <v>#REF!</v>
      </c>
      <c r="I66" s="51"/>
      <c r="J66" s="52"/>
      <c r="K66" s="51"/>
      <c r="L66" s="5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row>
    <row r="67" ht="12.75" customHeight="1">
      <c r="A67" s="3"/>
      <c r="B67" s="3"/>
      <c r="C67" s="3"/>
      <c r="D67" s="3"/>
      <c r="E67" s="3"/>
      <c r="F67" s="3"/>
      <c r="G67" s="51" t="str">
        <f t="shared" si="27"/>
        <v>#REF!</v>
      </c>
      <c r="H67" s="52" t="str">
        <f t="shared" si="28"/>
        <v>#REF!</v>
      </c>
      <c r="I67" s="51"/>
      <c r="J67" s="52"/>
      <c r="K67" s="51"/>
      <c r="L67" s="5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row>
    <row r="68" ht="12.75" customHeight="1">
      <c r="A68" s="3"/>
      <c r="B68" s="3"/>
      <c r="C68" s="3"/>
      <c r="D68" s="3"/>
      <c r="E68" s="3"/>
      <c r="F68" s="3"/>
      <c r="G68" s="51"/>
      <c r="H68" s="52"/>
      <c r="I68" s="51"/>
      <c r="J68" s="52"/>
      <c r="K68" s="51"/>
      <c r="L68" s="5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row>
    <row r="69" ht="12.75" customHeight="1">
      <c r="A69" s="3"/>
      <c r="B69" s="3"/>
      <c r="C69" s="3"/>
      <c r="D69" s="3"/>
      <c r="E69" s="3"/>
      <c r="F69" s="3"/>
      <c r="G69" s="51"/>
      <c r="H69" s="52"/>
      <c r="I69" s="51"/>
      <c r="J69" s="52"/>
      <c r="K69" s="51"/>
      <c r="L69" s="5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row>
    <row r="70" ht="12.75" customHeight="1">
      <c r="A70" s="3"/>
      <c r="B70" s="3"/>
      <c r="C70" s="3"/>
      <c r="D70" s="3"/>
      <c r="E70" s="3"/>
      <c r="F70" s="3"/>
      <c r="G70" s="51"/>
      <c r="H70" s="52"/>
      <c r="I70" s="51"/>
      <c r="J70" s="52"/>
      <c r="K70" s="51"/>
      <c r="L70" s="5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row>
    <row r="71" ht="12.75" customHeight="1">
      <c r="A71" s="3"/>
      <c r="B71" s="3"/>
      <c r="C71" s="3"/>
      <c r="D71" s="3"/>
      <c r="E71" s="3"/>
      <c r="F71" s="3"/>
      <c r="G71" s="51"/>
      <c r="H71" s="52"/>
      <c r="I71" s="51"/>
      <c r="J71" s="52"/>
      <c r="K71" s="51"/>
      <c r="L71" s="5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row>
    <row r="72" ht="12.75" customHeight="1">
      <c r="A72" s="3"/>
      <c r="B72" s="3"/>
      <c r="C72" s="3"/>
      <c r="D72" s="3"/>
      <c r="E72" s="3"/>
      <c r="F72" s="3"/>
      <c r="G72" s="51"/>
      <c r="H72" s="52"/>
      <c r="I72" s="51"/>
      <c r="J72" s="52"/>
      <c r="K72" s="51"/>
      <c r="L72" s="5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row>
    <row r="73" ht="12.75" customHeight="1">
      <c r="A73" s="28"/>
      <c r="B73" s="57"/>
      <c r="C73" s="36"/>
      <c r="D73" s="13"/>
      <c r="E73" s="13"/>
      <c r="F73" s="13"/>
      <c r="G73" s="51"/>
      <c r="H73" s="52"/>
      <c r="I73" s="51"/>
      <c r="J73" s="52"/>
      <c r="K73" s="51" t="str">
        <f t="shared" ref="K73:K75" si="29">#REF!*#REF!</f>
        <v>#REF!</v>
      </c>
      <c r="L73" s="53" t="str">
        <f t="shared" ref="L73:L75" si="30">#REF!*K73</f>
        <v>#REF!</v>
      </c>
      <c r="M73" s="3"/>
      <c r="N73" s="3"/>
      <c r="O73" s="3"/>
      <c r="P73" s="3"/>
      <c r="Q73" s="3"/>
      <c r="R73" s="3"/>
      <c r="S73" s="3"/>
      <c r="T73" s="3"/>
      <c r="U73" s="3"/>
      <c r="V73" s="3"/>
      <c r="W73" s="6" t="str">
        <f>K73</f>
        <v>#REF!</v>
      </c>
      <c r="X73" s="6" t="str">
        <f>K74</f>
        <v>#REF!</v>
      </c>
      <c r="Y73" s="6" t="str">
        <f>K75</f>
        <v>#REF!</v>
      </c>
      <c r="Z73" s="3">
        <v>0.0</v>
      </c>
      <c r="AA73" s="3">
        <v>0.0</v>
      </c>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row>
    <row r="74" ht="12.75" customHeight="1">
      <c r="A74" s="28"/>
      <c r="B74" s="57"/>
      <c r="C74" s="36"/>
      <c r="D74" s="13"/>
      <c r="E74" s="13"/>
      <c r="F74" s="13"/>
      <c r="G74" s="51"/>
      <c r="H74" s="52"/>
      <c r="I74" s="51"/>
      <c r="J74" s="52"/>
      <c r="K74" s="51" t="str">
        <f t="shared" si="29"/>
        <v>#REF!</v>
      </c>
      <c r="L74" s="53" t="str">
        <f t="shared" si="30"/>
        <v>#REF!</v>
      </c>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row>
    <row r="75" ht="12.75" customHeight="1">
      <c r="A75" s="28"/>
      <c r="B75" s="57"/>
      <c r="C75" s="36"/>
      <c r="D75" s="13"/>
      <c r="E75" s="13"/>
      <c r="F75" s="13"/>
      <c r="G75" s="51"/>
      <c r="H75" s="52"/>
      <c r="I75" s="51"/>
      <c r="J75" s="52"/>
      <c r="K75" s="51" t="str">
        <f t="shared" si="29"/>
        <v>#REF!</v>
      </c>
      <c r="L75" s="53" t="str">
        <f t="shared" si="30"/>
        <v>#REF!</v>
      </c>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row>
    <row r="76" ht="12.75" customHeight="1">
      <c r="A76" s="28"/>
      <c r="B76" s="57"/>
      <c r="C76" s="36"/>
      <c r="D76" s="13"/>
      <c r="E76" s="13"/>
      <c r="F76" s="13"/>
      <c r="G76" s="51"/>
      <c r="H76" s="52"/>
      <c r="I76" s="51">
        <f t="shared" ref="I76:I78" si="31">AF20*AG20</f>
        <v>0</v>
      </c>
      <c r="J76" s="52">
        <f t="shared" ref="J76:J78" si="32">AH20*I76</f>
        <v>0</v>
      </c>
      <c r="K76" s="51"/>
      <c r="L76" s="53"/>
      <c r="M76" s="3"/>
      <c r="N76" s="3"/>
      <c r="O76" s="3"/>
      <c r="P76" s="3"/>
      <c r="Q76" s="3"/>
      <c r="R76" s="6">
        <f>I76</f>
        <v>0</v>
      </c>
      <c r="S76" s="6" t="str">
        <f>I77</f>
        <v>#VALUE!</v>
      </c>
      <c r="T76" s="6">
        <f>I78</f>
        <v>5</v>
      </c>
      <c r="U76" s="3">
        <v>0.0</v>
      </c>
      <c r="V76" s="3">
        <v>0.0</v>
      </c>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row>
    <row r="77" ht="12.75" customHeight="1">
      <c r="A77" s="28"/>
      <c r="B77" s="57"/>
      <c r="C77" s="36"/>
      <c r="D77" s="13"/>
      <c r="E77" s="13"/>
      <c r="F77" s="13"/>
      <c r="G77" s="51"/>
      <c r="H77" s="52"/>
      <c r="I77" s="51" t="str">
        <f t="shared" si="31"/>
        <v>#VALUE!</v>
      </c>
      <c r="J77" s="52" t="str">
        <f t="shared" si="32"/>
        <v>#VALUE!</v>
      </c>
      <c r="K77" s="51"/>
      <c r="L77" s="5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row>
    <row r="78" ht="12.75" customHeight="1">
      <c r="A78" s="28"/>
      <c r="B78" s="57"/>
      <c r="C78" s="36"/>
      <c r="D78" s="13"/>
      <c r="E78" s="13"/>
      <c r="F78" s="13"/>
      <c r="G78" s="51"/>
      <c r="H78" s="52"/>
      <c r="I78" s="51">
        <f t="shared" si="31"/>
        <v>5</v>
      </c>
      <c r="J78" s="52">
        <f t="shared" si="32"/>
        <v>250</v>
      </c>
      <c r="K78" s="51"/>
      <c r="L78" s="5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row>
    <row r="79" ht="12.75" customHeight="1">
      <c r="A79" s="28"/>
      <c r="B79" s="57"/>
      <c r="C79" s="36"/>
      <c r="D79" s="13"/>
      <c r="E79" s="13"/>
      <c r="F79" s="13"/>
      <c r="G79" s="51"/>
      <c r="H79" s="52"/>
      <c r="I79" s="51"/>
      <c r="J79" s="52"/>
      <c r="K79" s="51">
        <f t="shared" ref="K79:K81" si="33">AF23*AG23</f>
        <v>4</v>
      </c>
      <c r="L79" s="53">
        <f t="shared" ref="L79:L81" si="34">AH23*K79</f>
        <v>240</v>
      </c>
      <c r="M79" s="3"/>
      <c r="N79" s="3"/>
      <c r="O79" s="3"/>
      <c r="P79" s="3"/>
      <c r="Q79" s="3"/>
      <c r="R79" s="3"/>
      <c r="S79" s="3"/>
      <c r="T79" s="3"/>
      <c r="U79" s="3"/>
      <c r="V79" s="3"/>
      <c r="W79" s="6">
        <f>K79</f>
        <v>4</v>
      </c>
      <c r="X79" s="6">
        <f>K80</f>
        <v>3</v>
      </c>
      <c r="Y79" s="6" t="str">
        <f>K81+K82</f>
        <v>#REF!</v>
      </c>
      <c r="Z79" s="3">
        <v>0.0</v>
      </c>
      <c r="AA79" s="3">
        <v>0.0</v>
      </c>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row>
    <row r="80" ht="12.75" customHeight="1">
      <c r="A80" s="28"/>
      <c r="B80" s="57"/>
      <c r="C80" s="36"/>
      <c r="D80" s="13"/>
      <c r="E80" s="13"/>
      <c r="F80" s="13"/>
      <c r="G80" s="51"/>
      <c r="H80" s="52"/>
      <c r="I80" s="51"/>
      <c r="J80" s="52"/>
      <c r="K80" s="51">
        <f t="shared" si="33"/>
        <v>3</v>
      </c>
      <c r="L80" s="53">
        <f t="shared" si="34"/>
        <v>210</v>
      </c>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row>
    <row r="81" ht="12.75" customHeight="1">
      <c r="A81" s="28"/>
      <c r="B81" s="57"/>
      <c r="C81" s="36"/>
      <c r="D81" s="13"/>
      <c r="E81" s="13"/>
      <c r="F81" s="13"/>
      <c r="G81" s="51"/>
      <c r="H81" s="52"/>
      <c r="I81" s="51"/>
      <c r="J81" s="52"/>
      <c r="K81" s="51">
        <f t="shared" si="33"/>
        <v>10</v>
      </c>
      <c r="L81" s="53">
        <f t="shared" si="34"/>
        <v>800</v>
      </c>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row>
    <row r="82" ht="12.75" customHeight="1">
      <c r="A82" s="28"/>
      <c r="B82" s="57"/>
      <c r="C82" s="36"/>
      <c r="D82" s="13"/>
      <c r="E82" s="13"/>
      <c r="F82" s="13"/>
      <c r="G82" s="51"/>
      <c r="H82" s="52"/>
      <c r="I82" s="51"/>
      <c r="J82" s="52"/>
      <c r="K82" s="51" t="str">
        <f>#REF!*#REF!</f>
        <v>#REF!</v>
      </c>
      <c r="L82" s="53" t="str">
        <f>#REF!*K82</f>
        <v>#REF!</v>
      </c>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row>
    <row r="83" ht="12.75" customHeight="1">
      <c r="A83" s="28"/>
      <c r="B83" s="57"/>
      <c r="C83" s="36"/>
      <c r="D83" s="13"/>
      <c r="E83" s="13"/>
      <c r="F83" s="13"/>
      <c r="G83" s="51"/>
      <c r="H83" s="52"/>
      <c r="I83" s="51"/>
      <c r="J83" s="52"/>
      <c r="K83" s="51"/>
      <c r="L83" s="5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row>
    <row r="84" ht="12.75" customHeight="1">
      <c r="A84" s="28"/>
      <c r="B84" s="57"/>
      <c r="C84" s="36"/>
      <c r="D84" s="13"/>
      <c r="E84" s="13"/>
      <c r="F84" s="13"/>
      <c r="G84" s="51"/>
      <c r="H84" s="52"/>
      <c r="I84" s="51"/>
      <c r="J84" s="52"/>
      <c r="K84" s="51"/>
      <c r="L84" s="5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row>
    <row r="85" ht="12.75" customHeight="1">
      <c r="A85" s="28"/>
      <c r="B85" s="57"/>
      <c r="C85" s="36"/>
      <c r="D85" s="13"/>
      <c r="E85" s="13"/>
      <c r="F85" s="13"/>
      <c r="G85" s="51"/>
      <c r="H85" s="52"/>
      <c r="I85" s="51"/>
      <c r="J85" s="52"/>
      <c r="K85" s="51"/>
      <c r="L85" s="5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row>
    <row r="86" ht="12.75" customHeight="1">
      <c r="A86" s="28"/>
      <c r="B86" s="57"/>
      <c r="C86" s="36"/>
      <c r="D86" s="13"/>
      <c r="E86" s="13"/>
      <c r="F86" s="13"/>
      <c r="G86" s="51">
        <f t="shared" ref="G86:G91" si="35">AF31*AG31</f>
        <v>30</v>
      </c>
      <c r="H86" s="52">
        <f t="shared" ref="H86:H91" si="36">AH31*G86</f>
        <v>0</v>
      </c>
      <c r="I86" s="51"/>
      <c r="J86" s="52"/>
      <c r="K86" s="51"/>
      <c r="L86" s="53"/>
      <c r="M86" s="6">
        <f>G86</f>
        <v>30</v>
      </c>
      <c r="N86" s="6">
        <f>G87</f>
        <v>32</v>
      </c>
      <c r="O86" s="6" t="str">
        <f>G88+G89</f>
        <v>#VALUE!</v>
      </c>
      <c r="P86" s="6">
        <f>G90+G91</f>
        <v>7</v>
      </c>
      <c r="Q86" s="3">
        <v>0.0</v>
      </c>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row>
    <row r="87" ht="12.75" customHeight="1">
      <c r="A87" s="28"/>
      <c r="B87" s="57"/>
      <c r="C87" s="36"/>
      <c r="D87" s="13"/>
      <c r="E87" s="13"/>
      <c r="F87" s="13"/>
      <c r="G87" s="51">
        <f t="shared" si="35"/>
        <v>32</v>
      </c>
      <c r="H87" s="52">
        <f t="shared" si="36"/>
        <v>0</v>
      </c>
      <c r="I87" s="51"/>
      <c r="J87" s="52"/>
      <c r="K87" s="51"/>
      <c r="L87" s="53"/>
      <c r="M87" s="6"/>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row>
    <row r="88" ht="12.75" customHeight="1">
      <c r="A88" s="28"/>
      <c r="B88" s="57"/>
      <c r="C88" s="36"/>
      <c r="D88" s="13"/>
      <c r="E88" s="13"/>
      <c r="F88" s="13"/>
      <c r="G88" s="51">
        <f t="shared" si="35"/>
        <v>0</v>
      </c>
      <c r="H88" s="52">
        <f t="shared" si="36"/>
        <v>0</v>
      </c>
      <c r="I88" s="51"/>
      <c r="J88" s="52"/>
      <c r="K88" s="51"/>
      <c r="L88" s="5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row>
    <row r="89" ht="12.75" customHeight="1">
      <c r="A89" s="28"/>
      <c r="B89" s="57"/>
      <c r="C89" s="36"/>
      <c r="D89" s="13"/>
      <c r="E89" s="13"/>
      <c r="F89" s="13"/>
      <c r="G89" s="51" t="str">
        <f t="shared" si="35"/>
        <v>#VALUE!</v>
      </c>
      <c r="H89" s="52" t="str">
        <f t="shared" si="36"/>
        <v>#VALUE!</v>
      </c>
      <c r="I89" s="51"/>
      <c r="J89" s="52"/>
      <c r="K89" s="51"/>
      <c r="L89" s="5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row>
    <row r="90" ht="12.75" customHeight="1">
      <c r="A90" s="28"/>
      <c r="B90" s="57"/>
      <c r="C90" s="36"/>
      <c r="D90" s="13"/>
      <c r="E90" s="13"/>
      <c r="F90" s="13"/>
      <c r="G90" s="51">
        <f t="shared" si="35"/>
        <v>4</v>
      </c>
      <c r="H90" s="52">
        <f t="shared" si="36"/>
        <v>200</v>
      </c>
      <c r="I90" s="51"/>
      <c r="J90" s="52"/>
      <c r="K90" s="51"/>
      <c r="L90" s="5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row>
    <row r="91" ht="12.75" customHeight="1">
      <c r="A91" s="28"/>
      <c r="B91" s="57"/>
      <c r="C91" s="36"/>
      <c r="D91" s="13"/>
      <c r="E91" s="13"/>
      <c r="F91" s="13"/>
      <c r="G91" s="51">
        <f t="shared" si="35"/>
        <v>3</v>
      </c>
      <c r="H91" s="52">
        <f t="shared" si="36"/>
        <v>180</v>
      </c>
      <c r="I91" s="51"/>
      <c r="J91" s="52"/>
      <c r="K91" s="51"/>
      <c r="L91" s="5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row>
    <row r="92" ht="12.75" customHeight="1">
      <c r="A92" s="28"/>
      <c r="B92" s="57"/>
      <c r="C92" s="36"/>
      <c r="D92" s="13"/>
      <c r="E92" s="13"/>
      <c r="F92" s="13"/>
      <c r="G92" s="51"/>
      <c r="H92" s="52"/>
      <c r="I92" s="51">
        <f t="shared" ref="I92:I94" si="37">AF38*AG38</f>
        <v>8</v>
      </c>
      <c r="J92" s="52">
        <f t="shared" ref="J92:J94" si="38">AH38*I92</f>
        <v>640</v>
      </c>
      <c r="K92" s="51"/>
      <c r="L92" s="53"/>
      <c r="M92" s="3"/>
      <c r="N92" s="3"/>
      <c r="O92" s="3"/>
      <c r="P92" s="3"/>
      <c r="Q92" s="3"/>
      <c r="R92" s="6">
        <f>I92+I100</f>
        <v>33</v>
      </c>
      <c r="S92" s="6">
        <f>I93+I99</f>
        <v>9</v>
      </c>
      <c r="T92" s="6" t="str">
        <f>I94+I95+I98</f>
        <v>#REF!</v>
      </c>
      <c r="U92" s="6" t="str">
        <f>I96+I97</f>
        <v>#REF!</v>
      </c>
      <c r="V92" s="3">
        <v>0.0</v>
      </c>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row>
    <row r="93" ht="12.75" customHeight="1">
      <c r="A93" s="28"/>
      <c r="B93" s="57"/>
      <c r="C93" s="36"/>
      <c r="D93" s="13"/>
      <c r="E93" s="13"/>
      <c r="F93" s="13"/>
      <c r="G93" s="51"/>
      <c r="H93" s="52"/>
      <c r="I93" s="51">
        <f t="shared" si="37"/>
        <v>5</v>
      </c>
      <c r="J93" s="52">
        <f t="shared" si="38"/>
        <v>250</v>
      </c>
      <c r="K93" s="51"/>
      <c r="L93" s="5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row>
    <row r="94" ht="12.75" customHeight="1">
      <c r="A94" s="28"/>
      <c r="B94" s="57"/>
      <c r="C94" s="36"/>
      <c r="D94" s="13"/>
      <c r="E94" s="13"/>
      <c r="F94" s="13"/>
      <c r="G94" s="51"/>
      <c r="H94" s="52"/>
      <c r="I94" s="51">
        <f t="shared" si="37"/>
        <v>4</v>
      </c>
      <c r="J94" s="52">
        <f t="shared" si="38"/>
        <v>240</v>
      </c>
      <c r="K94" s="51"/>
      <c r="L94" s="5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row>
    <row r="95" ht="12.75" customHeight="1">
      <c r="A95" s="28"/>
      <c r="B95" s="57"/>
      <c r="C95" s="36"/>
      <c r="D95" s="13"/>
      <c r="E95" s="13"/>
      <c r="F95" s="13"/>
      <c r="G95" s="51"/>
      <c r="H95" s="52"/>
      <c r="I95" s="51" t="str">
        <f t="shared" ref="I95:I98" si="39">#REF!*#REF!</f>
        <v>#REF!</v>
      </c>
      <c r="J95" s="52" t="str">
        <f t="shared" ref="J95:J98" si="40">#REF!*I95</f>
        <v>#REF!</v>
      </c>
      <c r="K95" s="51"/>
      <c r="L95" s="5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row>
    <row r="96" ht="12.75" customHeight="1">
      <c r="A96" s="28"/>
      <c r="B96" s="57"/>
      <c r="C96" s="36"/>
      <c r="D96" s="13"/>
      <c r="E96" s="13"/>
      <c r="F96" s="13"/>
      <c r="G96" s="51"/>
      <c r="H96" s="52"/>
      <c r="I96" s="51" t="str">
        <f t="shared" si="39"/>
        <v>#REF!</v>
      </c>
      <c r="J96" s="52" t="str">
        <f t="shared" si="40"/>
        <v>#REF!</v>
      </c>
      <c r="K96" s="51"/>
      <c r="L96" s="53"/>
      <c r="M96" s="3"/>
      <c r="N96" s="3"/>
      <c r="O96" s="85"/>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row>
    <row r="97" ht="12.75" customHeight="1">
      <c r="A97" s="28"/>
      <c r="B97" s="57"/>
      <c r="C97" s="36"/>
      <c r="D97" s="13"/>
      <c r="E97" s="13"/>
      <c r="F97" s="13"/>
      <c r="G97" s="51"/>
      <c r="H97" s="52"/>
      <c r="I97" s="51" t="str">
        <f t="shared" si="39"/>
        <v>#REF!</v>
      </c>
      <c r="J97" s="52" t="str">
        <f t="shared" si="40"/>
        <v>#REF!</v>
      </c>
      <c r="K97" s="51"/>
      <c r="L97" s="53"/>
      <c r="M97" s="3"/>
      <c r="N97" s="3"/>
      <c r="O97" s="85"/>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row>
    <row r="98" ht="12.75" customHeight="1">
      <c r="A98" s="28"/>
      <c r="B98" s="57"/>
      <c r="C98" s="36"/>
      <c r="D98" s="13"/>
      <c r="E98" s="13"/>
      <c r="F98" s="13"/>
      <c r="G98" s="51"/>
      <c r="H98" s="52"/>
      <c r="I98" s="51" t="str">
        <f t="shared" si="39"/>
        <v>#REF!</v>
      </c>
      <c r="J98" s="52" t="str">
        <f t="shared" si="40"/>
        <v>#REF!</v>
      </c>
      <c r="K98" s="51"/>
      <c r="L98" s="5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row>
    <row r="99" ht="12.75" customHeight="1">
      <c r="A99" s="28"/>
      <c r="B99" s="57"/>
      <c r="C99" s="36"/>
      <c r="D99" s="13"/>
      <c r="E99" s="13"/>
      <c r="F99" s="13"/>
      <c r="G99" s="51"/>
      <c r="H99" s="52"/>
      <c r="I99" s="51">
        <f t="shared" ref="I99:I100" si="41">AF44*AG44</f>
        <v>4</v>
      </c>
      <c r="J99" s="52">
        <f t="shared" ref="J99:J100" si="42">AH44*I99</f>
        <v>320</v>
      </c>
      <c r="K99" s="51"/>
      <c r="L99" s="5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row>
    <row r="100" ht="12.75" customHeight="1">
      <c r="A100" s="28"/>
      <c r="B100" s="57"/>
      <c r="C100" s="36"/>
      <c r="D100" s="13"/>
      <c r="E100" s="13"/>
      <c r="F100" s="13"/>
      <c r="G100" s="51"/>
      <c r="H100" s="52"/>
      <c r="I100" s="51">
        <f t="shared" si="41"/>
        <v>25</v>
      </c>
      <c r="J100" s="52">
        <f t="shared" si="42"/>
        <v>0</v>
      </c>
      <c r="K100" s="51"/>
      <c r="L100" s="5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row>
    <row r="101" ht="12.75" customHeight="1">
      <c r="A101" s="28"/>
      <c r="B101" s="57"/>
      <c r="C101" s="36"/>
      <c r="D101" s="13"/>
      <c r="E101" s="13"/>
      <c r="F101" s="13"/>
      <c r="G101" s="51"/>
      <c r="H101" s="52"/>
      <c r="I101" s="51"/>
      <c r="J101" s="52"/>
      <c r="K101" s="51"/>
      <c r="L101" s="5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row>
    <row r="102" ht="12.75" customHeight="1">
      <c r="A102" s="28"/>
      <c r="B102" s="57"/>
      <c r="C102" s="36"/>
      <c r="D102" s="13"/>
      <c r="E102" s="13"/>
      <c r="F102" s="13"/>
      <c r="G102" s="51"/>
      <c r="H102" s="52"/>
      <c r="I102" s="51"/>
      <c r="J102" s="52"/>
      <c r="K102" s="51"/>
      <c r="L102" s="5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row>
    <row r="103" ht="12.75" customHeight="1">
      <c r="A103" s="28"/>
      <c r="B103" s="57"/>
      <c r="C103" s="36"/>
      <c r="D103" s="13"/>
      <c r="E103" s="13"/>
      <c r="F103" s="13"/>
      <c r="G103" s="51"/>
      <c r="H103" s="52"/>
      <c r="I103" s="51"/>
      <c r="J103" s="52"/>
      <c r="K103" s="51"/>
      <c r="L103" s="5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row>
    <row r="104" ht="12.75" customHeight="1">
      <c r="A104" s="28"/>
      <c r="B104" s="28"/>
      <c r="C104" s="28"/>
      <c r="D104" s="28"/>
      <c r="E104" s="28"/>
      <c r="F104" s="28"/>
      <c r="G104" s="82" t="str">
        <f t="shared" ref="G104:Q104" si="43">SUM(G57:G103)</f>
        <v>#REF!</v>
      </c>
      <c r="H104" s="83" t="str">
        <f t="shared" si="43"/>
        <v>#REF!</v>
      </c>
      <c r="I104" s="82" t="str">
        <f t="shared" si="43"/>
        <v>#VALUE!</v>
      </c>
      <c r="J104" s="83" t="str">
        <f t="shared" si="43"/>
        <v>#VALUE!</v>
      </c>
      <c r="K104" s="82" t="str">
        <f t="shared" si="43"/>
        <v>#REF!</v>
      </c>
      <c r="L104" s="86" t="str">
        <f t="shared" si="43"/>
        <v>#REF!</v>
      </c>
      <c r="M104" s="84" t="str">
        <f t="shared" si="43"/>
        <v>#REF!</v>
      </c>
      <c r="N104" s="84" t="str">
        <f t="shared" si="43"/>
        <v>#REF!</v>
      </c>
      <c r="O104" s="84" t="str">
        <f t="shared" si="43"/>
        <v>#REF!</v>
      </c>
      <c r="P104" s="84">
        <f t="shared" si="43"/>
        <v>15</v>
      </c>
      <c r="Q104" s="28">
        <f t="shared" si="43"/>
        <v>0</v>
      </c>
      <c r="R104" s="84">
        <f t="shared" ref="R104:V104" si="44">SUM(R61:R103)</f>
        <v>38</v>
      </c>
      <c r="S104" s="84" t="str">
        <f t="shared" si="44"/>
        <v>#VALUE!</v>
      </c>
      <c r="T104" s="84" t="str">
        <f t="shared" si="44"/>
        <v>#REF!</v>
      </c>
      <c r="U104" s="84" t="str">
        <f t="shared" si="44"/>
        <v>#REF!</v>
      </c>
      <c r="V104" s="28">
        <f t="shared" si="44"/>
        <v>0</v>
      </c>
      <c r="W104" s="84" t="str">
        <f t="shared" ref="W104:AA104" si="45">SUM(W73:W103)</f>
        <v>#REF!</v>
      </c>
      <c r="X104" s="84" t="str">
        <f t="shared" si="45"/>
        <v>#REF!</v>
      </c>
      <c r="Y104" s="84" t="str">
        <f t="shared" si="45"/>
        <v>#REF!</v>
      </c>
      <c r="Z104" s="28">
        <f t="shared" si="45"/>
        <v>0</v>
      </c>
      <c r="AA104" s="28">
        <f t="shared" si="45"/>
        <v>0</v>
      </c>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3"/>
      <c r="AX104" s="3"/>
      <c r="AY104" s="3"/>
      <c r="AZ104" s="3"/>
      <c r="BA104" s="3"/>
      <c r="BB104" s="3"/>
      <c r="BC104" s="3"/>
      <c r="BD104" s="3"/>
      <c r="BE104" s="3"/>
      <c r="BF104" s="3"/>
    </row>
    <row r="105" ht="12.75" customHeight="1">
      <c r="A105" s="28"/>
      <c r="B105" s="57"/>
      <c r="C105" s="36"/>
      <c r="D105" s="13"/>
      <c r="E105" s="13"/>
      <c r="F105" s="13"/>
      <c r="G105" s="51"/>
      <c r="H105" s="52"/>
      <c r="I105" s="51"/>
      <c r="J105" s="52"/>
      <c r="K105" s="51"/>
      <c r="L105" s="53"/>
      <c r="M105" s="3"/>
      <c r="N105" s="6"/>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row>
    <row r="106" ht="12.75" customHeight="1">
      <c r="A106" s="28"/>
      <c r="B106" s="57"/>
      <c r="C106" s="36"/>
      <c r="D106" s="13"/>
      <c r="E106" s="13"/>
      <c r="F106" s="13"/>
      <c r="G106" s="51"/>
      <c r="H106" s="52"/>
      <c r="I106" s="51"/>
      <c r="J106" s="52"/>
      <c r="K106" s="51"/>
      <c r="L106" s="5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row>
    <row r="107" ht="12.75" customHeight="1">
      <c r="A107" s="28"/>
      <c r="B107" s="57"/>
      <c r="C107" s="36"/>
      <c r="D107" s="13"/>
      <c r="E107" s="13"/>
      <c r="F107" s="13"/>
      <c r="G107" s="51">
        <f t="shared" ref="G107:G110" si="46">AM7*AN7</f>
        <v>5</v>
      </c>
      <c r="H107" s="52">
        <f t="shared" ref="H107:H110" si="47">AO7*G107</f>
        <v>250</v>
      </c>
      <c r="I107" s="51"/>
      <c r="J107" s="52"/>
      <c r="K107" s="51"/>
      <c r="L107" s="53"/>
      <c r="M107" s="6">
        <f>G107</f>
        <v>5</v>
      </c>
      <c r="N107" s="6">
        <f>G108</f>
        <v>4</v>
      </c>
      <c r="O107" s="6">
        <f>G109</f>
        <v>3</v>
      </c>
      <c r="P107" s="6">
        <f>G110</f>
        <v>10</v>
      </c>
      <c r="Q107" s="3">
        <v>0.0</v>
      </c>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row>
    <row r="108" ht="12.75" customHeight="1">
      <c r="A108" s="28"/>
      <c r="B108" s="57"/>
      <c r="C108" s="36"/>
      <c r="D108" s="13"/>
      <c r="E108" s="13"/>
      <c r="F108" s="13"/>
      <c r="G108" s="51">
        <f t="shared" si="46"/>
        <v>4</v>
      </c>
      <c r="H108" s="52">
        <f t="shared" si="47"/>
        <v>240</v>
      </c>
      <c r="I108" s="51"/>
      <c r="J108" s="52"/>
      <c r="K108" s="51"/>
      <c r="L108" s="5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row>
    <row r="109" ht="12.75" customHeight="1">
      <c r="A109" s="28"/>
      <c r="B109" s="57"/>
      <c r="C109" s="36"/>
      <c r="D109" s="13"/>
      <c r="E109" s="13"/>
      <c r="F109" s="13"/>
      <c r="G109" s="51">
        <f t="shared" si="46"/>
        <v>3</v>
      </c>
      <c r="H109" s="52">
        <f t="shared" si="47"/>
        <v>210</v>
      </c>
      <c r="I109" s="51"/>
      <c r="J109" s="52"/>
      <c r="K109" s="51"/>
      <c r="L109" s="5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row>
    <row r="110" ht="12.75" customHeight="1">
      <c r="A110" s="28"/>
      <c r="B110" s="57"/>
      <c r="C110" s="36"/>
      <c r="D110" s="13"/>
      <c r="E110" s="13"/>
      <c r="F110" s="13"/>
      <c r="G110" s="51">
        <f t="shared" si="46"/>
        <v>10</v>
      </c>
      <c r="H110" s="52">
        <f t="shared" si="47"/>
        <v>800</v>
      </c>
      <c r="I110" s="51"/>
      <c r="J110" s="52"/>
      <c r="K110" s="51"/>
      <c r="L110" s="5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row>
    <row r="111" ht="12.75" customHeight="1">
      <c r="A111" s="28"/>
      <c r="B111" s="57"/>
      <c r="C111" s="36"/>
      <c r="D111" s="13"/>
      <c r="E111" s="13"/>
      <c r="F111" s="13"/>
      <c r="G111" s="51"/>
      <c r="H111" s="52"/>
      <c r="I111" s="51">
        <f t="shared" ref="I111:I114" si="48">AM11*AN11</f>
        <v>5</v>
      </c>
      <c r="J111" s="52">
        <f t="shared" ref="J111:J114" si="49">AO11*I111</f>
        <v>275</v>
      </c>
      <c r="K111" s="51"/>
      <c r="L111" s="53"/>
      <c r="M111" s="3"/>
      <c r="N111" s="3"/>
      <c r="O111" s="3"/>
      <c r="P111" s="3"/>
      <c r="Q111" s="3"/>
      <c r="R111" s="6">
        <f>I111</f>
        <v>5</v>
      </c>
      <c r="S111" s="6">
        <f>I112</f>
        <v>4</v>
      </c>
      <c r="T111" s="6">
        <f>I113</f>
        <v>3</v>
      </c>
      <c r="U111" s="6">
        <f>I114</f>
        <v>8</v>
      </c>
      <c r="V111" s="3">
        <v>0.0</v>
      </c>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row>
    <row r="112" ht="12.75" customHeight="1">
      <c r="A112" s="28"/>
      <c r="B112" s="57"/>
      <c r="C112" s="36"/>
      <c r="D112" s="13"/>
      <c r="E112" s="13"/>
      <c r="F112" s="13"/>
      <c r="G112" s="51"/>
      <c r="H112" s="52"/>
      <c r="I112" s="51">
        <f t="shared" si="48"/>
        <v>4</v>
      </c>
      <c r="J112" s="52">
        <f t="shared" si="49"/>
        <v>260</v>
      </c>
      <c r="K112" s="51"/>
      <c r="L112" s="5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row>
    <row r="113" ht="12.75" customHeight="1">
      <c r="A113" s="28"/>
      <c r="B113" s="57"/>
      <c r="C113" s="36"/>
      <c r="D113" s="13"/>
      <c r="E113" s="13"/>
      <c r="F113" s="13"/>
      <c r="G113" s="51"/>
      <c r="H113" s="52"/>
      <c r="I113" s="51">
        <f t="shared" si="48"/>
        <v>3</v>
      </c>
      <c r="J113" s="52">
        <f t="shared" si="49"/>
        <v>225</v>
      </c>
      <c r="K113" s="51"/>
      <c r="L113" s="5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row>
    <row r="114" ht="12.75" customHeight="1">
      <c r="A114" s="28"/>
      <c r="B114" s="57"/>
      <c r="C114" s="36"/>
      <c r="D114" s="13"/>
      <c r="E114" s="13"/>
      <c r="F114" s="13"/>
      <c r="G114" s="51"/>
      <c r="H114" s="52"/>
      <c r="I114" s="51">
        <f t="shared" si="48"/>
        <v>8</v>
      </c>
      <c r="J114" s="52">
        <f t="shared" si="49"/>
        <v>680</v>
      </c>
      <c r="K114" s="51"/>
      <c r="L114" s="5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row>
    <row r="115" ht="12.75" customHeight="1">
      <c r="A115" s="28"/>
      <c r="B115" s="57"/>
      <c r="C115" s="36"/>
      <c r="D115" s="13"/>
      <c r="E115" s="13"/>
      <c r="F115" s="13"/>
      <c r="G115" s="51" t="str">
        <f t="shared" ref="G115:G117" si="50">#REF!*#REF!</f>
        <v>#REF!</v>
      </c>
      <c r="H115" s="52" t="str">
        <f t="shared" ref="H115:H117" si="51">#REF!*G115</f>
        <v>#REF!</v>
      </c>
      <c r="I115" s="51"/>
      <c r="J115" s="52"/>
      <c r="K115" s="51"/>
      <c r="L115" s="53"/>
      <c r="M115" s="6" t="str">
        <f>G115</f>
        <v>#REF!</v>
      </c>
      <c r="N115" s="6" t="str">
        <f>G116</f>
        <v>#REF!</v>
      </c>
      <c r="O115" s="6" t="str">
        <f>G117</f>
        <v>#REF!</v>
      </c>
      <c r="P115" s="3">
        <v>0.0</v>
      </c>
      <c r="Q115" s="3">
        <v>0.0</v>
      </c>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row>
    <row r="116" ht="12.75" customHeight="1">
      <c r="A116" s="28"/>
      <c r="B116" s="57"/>
      <c r="C116" s="36"/>
      <c r="D116" s="13"/>
      <c r="E116" s="13"/>
      <c r="F116" s="13"/>
      <c r="G116" s="51" t="str">
        <f t="shared" si="50"/>
        <v>#REF!</v>
      </c>
      <c r="H116" s="52" t="str">
        <f t="shared" si="51"/>
        <v>#REF!</v>
      </c>
      <c r="I116" s="51"/>
      <c r="J116" s="52"/>
      <c r="K116" s="51"/>
      <c r="L116" s="5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row>
    <row r="117" ht="12.75" customHeight="1">
      <c r="A117" s="28"/>
      <c r="B117" s="57"/>
      <c r="C117" s="36"/>
      <c r="D117" s="13"/>
      <c r="E117" s="13"/>
      <c r="F117" s="13"/>
      <c r="G117" s="51" t="str">
        <f t="shared" si="50"/>
        <v>#REF!</v>
      </c>
      <c r="H117" s="52" t="str">
        <f t="shared" si="51"/>
        <v>#REF!</v>
      </c>
      <c r="I117" s="51"/>
      <c r="J117" s="52"/>
      <c r="K117" s="51"/>
      <c r="L117" s="5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row>
    <row r="118" ht="12.75" customHeight="1">
      <c r="A118" s="28"/>
      <c r="B118" s="57"/>
      <c r="C118" s="36"/>
      <c r="D118" s="13"/>
      <c r="E118" s="13"/>
      <c r="F118" s="13"/>
      <c r="G118" s="51"/>
      <c r="H118" s="52"/>
      <c r="I118" s="51"/>
      <c r="J118" s="52"/>
      <c r="K118" s="51"/>
      <c r="L118" s="5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row>
    <row r="119" ht="12.75" customHeight="1">
      <c r="A119" s="28"/>
      <c r="B119" s="57"/>
      <c r="C119" s="36"/>
      <c r="D119" s="13"/>
      <c r="E119" s="13"/>
      <c r="F119" s="13"/>
      <c r="G119" s="51"/>
      <c r="H119" s="52"/>
      <c r="I119" s="51"/>
      <c r="J119" s="52"/>
      <c r="K119" s="51"/>
      <c r="L119" s="5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row>
    <row r="120" ht="12.75" customHeight="1">
      <c r="A120" s="28"/>
      <c r="B120" s="57"/>
      <c r="C120" s="36"/>
      <c r="D120" s="13"/>
      <c r="E120" s="13"/>
      <c r="F120" s="13"/>
      <c r="G120" s="51"/>
      <c r="H120" s="52"/>
      <c r="I120" s="51"/>
      <c r="J120" s="52"/>
      <c r="K120" s="51"/>
      <c r="L120" s="5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row>
    <row r="121" ht="12.75" customHeight="1">
      <c r="A121" s="28"/>
      <c r="B121" s="57"/>
      <c r="C121" s="36"/>
      <c r="D121" s="13"/>
      <c r="E121" s="13"/>
      <c r="F121" s="13"/>
      <c r="G121" s="51"/>
      <c r="H121" s="52"/>
      <c r="I121" s="51"/>
      <c r="J121" s="52"/>
      <c r="K121" s="51"/>
      <c r="L121" s="5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row>
    <row r="122" ht="12.75" customHeight="1">
      <c r="A122" s="28"/>
      <c r="B122" s="57"/>
      <c r="C122" s="36"/>
      <c r="D122" s="13"/>
      <c r="E122" s="13"/>
      <c r="F122" s="13"/>
      <c r="G122" s="51"/>
      <c r="H122" s="52"/>
      <c r="I122" s="51"/>
      <c r="J122" s="52"/>
      <c r="K122" s="51"/>
      <c r="L122" s="5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row>
    <row r="123" ht="12.75" customHeight="1">
      <c r="A123" s="28"/>
      <c r="B123" s="57"/>
      <c r="C123" s="36"/>
      <c r="D123" s="13"/>
      <c r="E123" s="13"/>
      <c r="F123" s="13"/>
      <c r="G123" s="51"/>
      <c r="H123" s="52"/>
      <c r="I123" s="51"/>
      <c r="J123" s="52"/>
      <c r="K123" s="51">
        <f t="shared" ref="K123:K125" si="52">AM20*AN20</f>
        <v>3</v>
      </c>
      <c r="L123" s="53">
        <f t="shared" ref="L123:L125" si="53">AO20*K123</f>
        <v>150</v>
      </c>
      <c r="M123" s="3"/>
      <c r="N123" s="3"/>
      <c r="O123" s="3"/>
      <c r="P123" s="3"/>
      <c r="Q123" s="3"/>
      <c r="R123" s="3"/>
      <c r="S123" s="3"/>
      <c r="T123" s="3"/>
      <c r="U123" s="3"/>
      <c r="V123" s="3"/>
      <c r="W123" s="6">
        <f>K123</f>
        <v>3</v>
      </c>
      <c r="X123" s="6">
        <f>K124</f>
        <v>3</v>
      </c>
      <c r="Y123" s="6">
        <f>K125</f>
        <v>3</v>
      </c>
      <c r="Z123" s="3">
        <v>0.0</v>
      </c>
      <c r="AA123" s="3">
        <v>0.0</v>
      </c>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row>
    <row r="124" ht="12.75" customHeight="1">
      <c r="A124" s="28"/>
      <c r="B124" s="57"/>
      <c r="C124" s="36"/>
      <c r="D124" s="13"/>
      <c r="E124" s="13"/>
      <c r="F124" s="13"/>
      <c r="G124" s="51"/>
      <c r="H124" s="52"/>
      <c r="I124" s="51"/>
      <c r="J124" s="52"/>
      <c r="K124" s="51">
        <f t="shared" si="52"/>
        <v>3</v>
      </c>
      <c r="L124" s="53">
        <f t="shared" si="53"/>
        <v>180</v>
      </c>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row>
    <row r="125" ht="12.75" customHeight="1">
      <c r="A125" s="28"/>
      <c r="B125" s="57"/>
      <c r="C125" s="36"/>
      <c r="D125" s="13"/>
      <c r="E125" s="13"/>
      <c r="F125" s="13"/>
      <c r="G125" s="51"/>
      <c r="H125" s="52"/>
      <c r="I125" s="51"/>
      <c r="J125" s="52"/>
      <c r="K125" s="51">
        <f t="shared" si="52"/>
        <v>3</v>
      </c>
      <c r="L125" s="53">
        <f t="shared" si="53"/>
        <v>195</v>
      </c>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row>
    <row r="126" ht="12.75" customHeight="1">
      <c r="A126" s="28"/>
      <c r="B126" s="57"/>
      <c r="C126" s="36"/>
      <c r="D126" s="13"/>
      <c r="E126" s="13"/>
      <c r="F126" s="13"/>
      <c r="G126" s="51"/>
      <c r="H126" s="52"/>
      <c r="I126" s="51">
        <f t="shared" ref="I126:I131" si="54">AM23*AN23</f>
        <v>8</v>
      </c>
      <c r="J126" s="52">
        <f t="shared" ref="J126:J131" si="55">AO23*I126</f>
        <v>560</v>
      </c>
      <c r="K126" s="51"/>
      <c r="L126" s="53"/>
      <c r="M126" s="3"/>
      <c r="N126" s="3"/>
      <c r="O126" s="3"/>
      <c r="P126" s="3"/>
      <c r="Q126" s="3"/>
      <c r="R126" s="6">
        <f>I126</f>
        <v>8</v>
      </c>
      <c r="S126" s="6">
        <f>I128</f>
        <v>3</v>
      </c>
      <c r="T126" s="6">
        <f>I128</f>
        <v>3</v>
      </c>
      <c r="U126" s="6">
        <f>I129+I130+I131</f>
        <v>15</v>
      </c>
      <c r="V126" s="3">
        <v>0.0</v>
      </c>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row>
    <row r="127" ht="12.75" customHeight="1">
      <c r="A127" s="28"/>
      <c r="B127" s="57"/>
      <c r="C127" s="36"/>
      <c r="D127" s="13"/>
      <c r="E127" s="13"/>
      <c r="F127" s="13"/>
      <c r="G127" s="51"/>
      <c r="H127" s="52"/>
      <c r="I127" s="51">
        <f t="shared" si="54"/>
        <v>3</v>
      </c>
      <c r="J127" s="52">
        <f t="shared" si="55"/>
        <v>150</v>
      </c>
      <c r="K127" s="51"/>
      <c r="L127" s="5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row>
    <row r="128" ht="12.75" customHeight="1">
      <c r="A128" s="28"/>
      <c r="B128" s="57"/>
      <c r="C128" s="36"/>
      <c r="D128" s="13"/>
      <c r="E128" s="13"/>
      <c r="F128" s="13"/>
      <c r="G128" s="51"/>
      <c r="H128" s="52"/>
      <c r="I128" s="51">
        <f t="shared" si="54"/>
        <v>3</v>
      </c>
      <c r="J128" s="52">
        <f t="shared" si="55"/>
        <v>180</v>
      </c>
      <c r="K128" s="51"/>
      <c r="L128" s="5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row>
    <row r="129" ht="12.75" customHeight="1">
      <c r="A129" s="28"/>
      <c r="B129" s="57"/>
      <c r="C129" s="36"/>
      <c r="D129" s="13"/>
      <c r="E129" s="13"/>
      <c r="F129" s="13"/>
      <c r="G129" s="51"/>
      <c r="H129" s="52"/>
      <c r="I129" s="51">
        <f t="shared" si="54"/>
        <v>3</v>
      </c>
      <c r="J129" s="52">
        <f t="shared" si="55"/>
        <v>210</v>
      </c>
      <c r="K129" s="51"/>
      <c r="L129" s="5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row>
    <row r="130" ht="12.75" customHeight="1">
      <c r="A130" s="28"/>
      <c r="B130" s="57"/>
      <c r="C130" s="36"/>
      <c r="D130" s="13"/>
      <c r="E130" s="13"/>
      <c r="F130" s="13"/>
      <c r="G130" s="51"/>
      <c r="H130" s="52"/>
      <c r="I130" s="51">
        <f t="shared" si="54"/>
        <v>8</v>
      </c>
      <c r="J130" s="52">
        <f t="shared" si="55"/>
        <v>640</v>
      </c>
      <c r="K130" s="51"/>
      <c r="L130" s="5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row>
    <row r="131" ht="12.75" customHeight="1">
      <c r="A131" s="28"/>
      <c r="B131" s="57"/>
      <c r="C131" s="36"/>
      <c r="D131" s="13"/>
      <c r="E131" s="13"/>
      <c r="F131" s="13"/>
      <c r="G131" s="51"/>
      <c r="H131" s="52"/>
      <c r="I131" s="51">
        <f t="shared" si="54"/>
        <v>4</v>
      </c>
      <c r="J131" s="52">
        <f t="shared" si="55"/>
        <v>240</v>
      </c>
      <c r="K131" s="51"/>
      <c r="L131" s="5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row>
    <row r="132" ht="12.75" customHeight="1">
      <c r="A132" s="28"/>
      <c r="B132" s="57"/>
      <c r="C132" s="36"/>
      <c r="D132" s="13"/>
      <c r="E132" s="13"/>
      <c r="F132" s="13"/>
      <c r="G132" s="51"/>
      <c r="H132" s="52"/>
      <c r="I132" s="51"/>
      <c r="J132" s="52"/>
      <c r="K132" s="51">
        <f t="shared" ref="K132:K133" si="56">AM29*AN29</f>
        <v>4</v>
      </c>
      <c r="L132" s="53">
        <f t="shared" ref="L132:L133" si="57">AO29*K132</f>
        <v>280</v>
      </c>
      <c r="M132" s="3"/>
      <c r="N132" s="3"/>
      <c r="O132" s="3"/>
      <c r="P132" s="3"/>
      <c r="Q132" s="3"/>
      <c r="R132" s="3"/>
      <c r="S132" s="3"/>
      <c r="T132" s="3"/>
      <c r="U132" s="3"/>
      <c r="V132" s="3"/>
      <c r="W132" s="3">
        <v>0.0</v>
      </c>
      <c r="X132" s="6">
        <f>K132</f>
        <v>4</v>
      </c>
      <c r="Y132" s="6">
        <f>K133</f>
        <v>16</v>
      </c>
      <c r="Z132" s="6" t="str">
        <f>K134+K135</f>
        <v>#REF!</v>
      </c>
      <c r="AA132" s="6" t="str">
        <f>K136</f>
        <v>#REF!</v>
      </c>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row>
    <row r="133" ht="12.75" customHeight="1">
      <c r="A133" s="28"/>
      <c r="B133" s="57"/>
      <c r="C133" s="36"/>
      <c r="D133" s="13"/>
      <c r="E133" s="13"/>
      <c r="F133" s="13"/>
      <c r="G133" s="51"/>
      <c r="H133" s="52"/>
      <c r="I133" s="51"/>
      <c r="J133" s="52"/>
      <c r="K133" s="51">
        <f t="shared" si="56"/>
        <v>16</v>
      </c>
      <c r="L133" s="53">
        <f t="shared" si="57"/>
        <v>1280</v>
      </c>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row>
    <row r="134" ht="12.75" customHeight="1">
      <c r="A134" s="28"/>
      <c r="B134" s="57"/>
      <c r="C134" s="36"/>
      <c r="D134" s="13"/>
      <c r="E134" s="13"/>
      <c r="F134" s="13"/>
      <c r="G134" s="51"/>
      <c r="H134" s="52"/>
      <c r="I134" s="51"/>
      <c r="J134" s="52"/>
      <c r="K134" s="51" t="str">
        <f t="shared" ref="K134:K136" si="58">#REF!*#REF!</f>
        <v>#REF!</v>
      </c>
      <c r="L134" s="53" t="str">
        <f t="shared" ref="L134:L136" si="59">#REF!*K134</f>
        <v>#REF!</v>
      </c>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row>
    <row r="135" ht="12.75" customHeight="1">
      <c r="A135" s="28"/>
      <c r="B135" s="57"/>
      <c r="C135" s="36"/>
      <c r="D135" s="13"/>
      <c r="E135" s="13"/>
      <c r="F135" s="13"/>
      <c r="G135" s="51"/>
      <c r="H135" s="52"/>
      <c r="I135" s="51"/>
      <c r="J135" s="52"/>
      <c r="K135" s="51" t="str">
        <f t="shared" si="58"/>
        <v>#REF!</v>
      </c>
      <c r="L135" s="53" t="str">
        <f t="shared" si="59"/>
        <v>#REF!</v>
      </c>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row>
    <row r="136" ht="12.75" customHeight="1">
      <c r="A136" s="28"/>
      <c r="B136" s="57"/>
      <c r="C136" s="36"/>
      <c r="D136" s="13"/>
      <c r="E136" s="13"/>
      <c r="F136" s="13"/>
      <c r="G136" s="51"/>
      <c r="H136" s="52"/>
      <c r="I136" s="51"/>
      <c r="J136" s="52"/>
      <c r="K136" s="51" t="str">
        <f t="shared" si="58"/>
        <v>#REF!</v>
      </c>
      <c r="L136" s="53" t="str">
        <f t="shared" si="59"/>
        <v>#REF!</v>
      </c>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row>
    <row r="137" ht="12.75" customHeight="1">
      <c r="A137" s="28"/>
      <c r="B137" s="57"/>
      <c r="C137" s="36"/>
      <c r="D137" s="13"/>
      <c r="E137" s="13"/>
      <c r="F137" s="13"/>
      <c r="G137" s="51"/>
      <c r="H137" s="52"/>
      <c r="I137" s="51"/>
      <c r="J137" s="52"/>
      <c r="K137" s="51"/>
      <c r="L137" s="5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row>
    <row r="138" ht="12.75" customHeight="1">
      <c r="A138" s="28"/>
      <c r="B138" s="57"/>
      <c r="C138" s="36"/>
      <c r="D138" s="13"/>
      <c r="E138" s="13"/>
      <c r="F138" s="13"/>
      <c r="G138" s="51"/>
      <c r="H138" s="52"/>
      <c r="I138" s="51"/>
      <c r="J138" s="52"/>
      <c r="K138" s="51"/>
      <c r="L138" s="5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row>
    <row r="139" ht="12.75" customHeight="1">
      <c r="A139" s="28"/>
      <c r="B139" s="57"/>
      <c r="C139" s="36"/>
      <c r="D139" s="13"/>
      <c r="E139" s="13"/>
      <c r="F139" s="13"/>
      <c r="G139" s="51"/>
      <c r="H139" s="52"/>
      <c r="I139" s="51"/>
      <c r="J139" s="52"/>
      <c r="K139" s="51"/>
      <c r="L139" s="5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row>
    <row r="140" ht="12.75" customHeight="1">
      <c r="A140" s="28"/>
      <c r="B140" s="57"/>
      <c r="C140" s="36"/>
      <c r="D140" s="13"/>
      <c r="E140" s="13"/>
      <c r="F140" s="13"/>
      <c r="G140" s="51"/>
      <c r="H140" s="52"/>
      <c r="I140" s="51"/>
      <c r="J140" s="52"/>
      <c r="K140" s="51"/>
      <c r="L140" s="5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row>
    <row r="141" ht="12.75" customHeight="1">
      <c r="A141" s="28"/>
      <c r="B141" s="57"/>
      <c r="C141" s="36"/>
      <c r="D141" s="13"/>
      <c r="E141" s="13"/>
      <c r="F141" s="13"/>
      <c r="G141" s="51"/>
      <c r="H141" s="52"/>
      <c r="I141" s="51" t="str">
        <f t="shared" ref="I141:I144" si="60">AM33:AM34*AN33:AN34</f>
        <v>#VALUE!</v>
      </c>
      <c r="J141" s="52" t="str">
        <f t="shared" ref="J141:J144" si="61">AO33:AO34*I141</f>
        <v>#VALUE!</v>
      </c>
      <c r="K141" s="51"/>
      <c r="L141" s="53"/>
      <c r="M141" s="3"/>
      <c r="N141" s="3"/>
      <c r="O141" s="3"/>
      <c r="P141" s="3"/>
      <c r="Q141" s="3"/>
      <c r="R141" s="6" t="str">
        <f>I141</f>
        <v>#VALUE!</v>
      </c>
      <c r="S141" s="6" t="str">
        <f>I142</f>
        <v>#VALUE!</v>
      </c>
      <c r="T141" s="6" t="str">
        <f>I143</f>
        <v>#VALUE!</v>
      </c>
      <c r="U141" s="6" t="str">
        <f>I144</f>
        <v>#VALUE!</v>
      </c>
      <c r="V141" s="3">
        <v>0.0</v>
      </c>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row>
    <row r="142" ht="12.75" customHeight="1">
      <c r="A142" s="28"/>
      <c r="B142" s="57"/>
      <c r="C142" s="36"/>
      <c r="D142" s="13"/>
      <c r="E142" s="13"/>
      <c r="F142" s="13"/>
      <c r="G142" s="51"/>
      <c r="H142" s="52"/>
      <c r="I142" s="51" t="str">
        <f t="shared" si="60"/>
        <v>#VALUE!</v>
      </c>
      <c r="J142" s="52" t="str">
        <f t="shared" si="61"/>
        <v>#VALUE!</v>
      </c>
      <c r="K142" s="51"/>
      <c r="L142" s="5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row>
    <row r="143" ht="12.75" customHeight="1">
      <c r="A143" s="28"/>
      <c r="B143" s="57"/>
      <c r="C143" s="36"/>
      <c r="D143" s="13"/>
      <c r="E143" s="13"/>
      <c r="F143" s="13"/>
      <c r="G143" s="51"/>
      <c r="H143" s="52"/>
      <c r="I143" s="51" t="str">
        <f t="shared" si="60"/>
        <v>#VALUE!</v>
      </c>
      <c r="J143" s="52" t="str">
        <f t="shared" si="61"/>
        <v>#VALUE!</v>
      </c>
      <c r="K143" s="51"/>
      <c r="L143" s="5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row>
    <row r="144" ht="12.75" customHeight="1">
      <c r="A144" s="28"/>
      <c r="B144" s="57"/>
      <c r="C144" s="36"/>
      <c r="D144" s="13"/>
      <c r="E144" s="13"/>
      <c r="F144" s="13"/>
      <c r="G144" s="51"/>
      <c r="H144" s="52"/>
      <c r="I144" s="51" t="str">
        <f t="shared" si="60"/>
        <v>#VALUE!</v>
      </c>
      <c r="J144" s="52" t="str">
        <f t="shared" si="61"/>
        <v>#VALUE!</v>
      </c>
      <c r="K144" s="51"/>
      <c r="L144" s="5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row>
    <row r="145" ht="12.75" customHeight="1">
      <c r="A145" s="28"/>
      <c r="B145" s="57"/>
      <c r="C145" s="36"/>
      <c r="D145" s="13"/>
      <c r="E145" s="13"/>
      <c r="F145" s="13"/>
      <c r="G145" s="51">
        <f t="shared" ref="G145:G147" si="62">AM37*AN37</f>
        <v>3</v>
      </c>
      <c r="H145" s="52">
        <f t="shared" ref="H145:H147" si="63">AO37*G145</f>
        <v>225</v>
      </c>
      <c r="I145" s="51"/>
      <c r="J145" s="52"/>
      <c r="K145" s="51"/>
      <c r="L145" s="53"/>
      <c r="M145" s="6">
        <f>G145</f>
        <v>3</v>
      </c>
      <c r="N145" s="6">
        <f>G146</f>
        <v>8</v>
      </c>
      <c r="O145" s="6">
        <f>G147</f>
        <v>5</v>
      </c>
      <c r="P145" s="6" t="str">
        <f>G148</f>
        <v>#REF!</v>
      </c>
      <c r="Q145" s="3">
        <v>0.0</v>
      </c>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row>
    <row r="146" ht="12.75" customHeight="1">
      <c r="A146" s="28"/>
      <c r="B146" s="57"/>
      <c r="C146" s="36"/>
      <c r="D146" s="13"/>
      <c r="E146" s="13"/>
      <c r="F146" s="13"/>
      <c r="G146" s="51">
        <f t="shared" si="62"/>
        <v>8</v>
      </c>
      <c r="H146" s="52">
        <f t="shared" si="63"/>
        <v>680</v>
      </c>
      <c r="I146" s="51"/>
      <c r="J146" s="52"/>
      <c r="K146" s="51"/>
      <c r="L146" s="5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row>
    <row r="147" ht="12.75" customHeight="1">
      <c r="A147" s="28"/>
      <c r="B147" s="57"/>
      <c r="C147" s="36"/>
      <c r="D147" s="13"/>
      <c r="E147" s="13"/>
      <c r="F147" s="13"/>
      <c r="G147" s="51">
        <f t="shared" si="62"/>
        <v>5</v>
      </c>
      <c r="H147" s="52">
        <f t="shared" si="63"/>
        <v>250</v>
      </c>
      <c r="I147" s="51"/>
      <c r="J147" s="52"/>
      <c r="K147" s="51"/>
      <c r="L147" s="5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row>
    <row r="148" ht="12.75" customHeight="1">
      <c r="A148" s="28"/>
      <c r="B148" s="57"/>
      <c r="C148" s="36"/>
      <c r="D148" s="13"/>
      <c r="E148" s="13"/>
      <c r="F148" s="13"/>
      <c r="G148" s="51" t="str">
        <f>#REF!*#REF!</f>
        <v>#REF!</v>
      </c>
      <c r="H148" s="52" t="str">
        <f>#REF!*G148</f>
        <v>#REF!</v>
      </c>
      <c r="I148" s="51"/>
      <c r="J148" s="52"/>
      <c r="K148" s="51"/>
      <c r="L148" s="5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row>
    <row r="149" ht="12.75" customHeight="1">
      <c r="A149" s="28"/>
      <c r="B149" s="57"/>
      <c r="C149" s="36"/>
      <c r="D149" s="13"/>
      <c r="E149" s="13"/>
      <c r="F149" s="13"/>
      <c r="G149" s="51"/>
      <c r="H149" s="52"/>
      <c r="I149" s="51">
        <f t="shared" ref="I149:I151" si="64">AM40*AN40</f>
        <v>5</v>
      </c>
      <c r="J149" s="52">
        <f t="shared" ref="J149:J151" si="65">AO40*I149</f>
        <v>300</v>
      </c>
      <c r="K149" s="51"/>
      <c r="L149" s="53"/>
      <c r="M149" s="3"/>
      <c r="N149" s="3"/>
      <c r="O149" s="3"/>
      <c r="P149" s="3"/>
      <c r="Q149" s="3"/>
      <c r="R149" s="6">
        <f>I149</f>
        <v>5</v>
      </c>
      <c r="S149" s="6">
        <f>I150+I151</f>
        <v>28</v>
      </c>
      <c r="T149" s="3">
        <v>0.0</v>
      </c>
      <c r="U149" s="3">
        <v>0.0</v>
      </c>
      <c r="V149" s="3">
        <v>0.0</v>
      </c>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row>
    <row r="150" ht="12.75" customHeight="1">
      <c r="A150" s="28"/>
      <c r="B150" s="57"/>
      <c r="C150" s="36"/>
      <c r="D150" s="13"/>
      <c r="E150" s="13"/>
      <c r="F150" s="13"/>
      <c r="G150" s="51"/>
      <c r="H150" s="52"/>
      <c r="I150" s="51">
        <f t="shared" si="64"/>
        <v>25</v>
      </c>
      <c r="J150" s="52">
        <f t="shared" si="65"/>
        <v>1750</v>
      </c>
      <c r="K150" s="51"/>
      <c r="L150" s="5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row>
    <row r="151" ht="12.75" customHeight="1">
      <c r="A151" s="28"/>
      <c r="B151" s="57"/>
      <c r="C151" s="36"/>
      <c r="D151" s="13"/>
      <c r="E151" s="13"/>
      <c r="F151" s="13"/>
      <c r="G151" s="51"/>
      <c r="H151" s="52"/>
      <c r="I151" s="51">
        <f t="shared" si="64"/>
        <v>3</v>
      </c>
      <c r="J151" s="52">
        <f t="shared" si="65"/>
        <v>150</v>
      </c>
      <c r="K151" s="51"/>
      <c r="L151" s="5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row>
    <row r="152" ht="12.75" customHeight="1">
      <c r="A152" s="28"/>
      <c r="B152" s="57"/>
      <c r="C152" s="36"/>
      <c r="D152" s="13"/>
      <c r="E152" s="13"/>
      <c r="F152" s="13"/>
      <c r="G152" s="51"/>
      <c r="H152" s="52"/>
      <c r="I152" s="51"/>
      <c r="J152" s="52"/>
      <c r="K152" s="51"/>
      <c r="L152" s="5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row>
    <row r="153" ht="12.75" customHeight="1">
      <c r="A153" s="28"/>
      <c r="B153" s="57"/>
      <c r="C153" s="36"/>
      <c r="D153" s="13"/>
      <c r="E153" s="13"/>
      <c r="F153" s="13"/>
      <c r="G153" s="51"/>
      <c r="H153" s="52"/>
      <c r="I153" s="51"/>
      <c r="J153" s="52"/>
      <c r="K153" s="51"/>
      <c r="L153" s="5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row>
    <row r="154" ht="12.75" customHeight="1">
      <c r="A154" s="28"/>
      <c r="B154" s="57"/>
      <c r="C154" s="36"/>
      <c r="D154" s="13"/>
      <c r="E154" s="13"/>
      <c r="F154" s="13"/>
      <c r="G154" s="51"/>
      <c r="H154" s="52"/>
      <c r="I154" s="51"/>
      <c r="J154" s="52"/>
      <c r="K154" s="51"/>
      <c r="L154" s="5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row>
    <row r="155" ht="12.75" customHeight="1">
      <c r="A155" s="28"/>
      <c r="B155" s="28"/>
      <c r="C155" s="28"/>
      <c r="D155" s="28"/>
      <c r="E155" s="28"/>
      <c r="F155" s="28"/>
      <c r="G155" s="82" t="str">
        <f t="shared" ref="G155:Q155" si="66">SUM(G107:G154)</f>
        <v>#REF!</v>
      </c>
      <c r="H155" s="83" t="str">
        <f t="shared" si="66"/>
        <v>#REF!</v>
      </c>
      <c r="I155" s="82" t="str">
        <f t="shared" si="66"/>
        <v>#VALUE!</v>
      </c>
      <c r="J155" s="83" t="str">
        <f t="shared" si="66"/>
        <v>#VALUE!</v>
      </c>
      <c r="K155" s="82" t="str">
        <f t="shared" si="66"/>
        <v>#REF!</v>
      </c>
      <c r="L155" s="83" t="str">
        <f t="shared" si="66"/>
        <v>#REF!</v>
      </c>
      <c r="M155" s="84" t="str">
        <f t="shared" si="66"/>
        <v>#REF!</v>
      </c>
      <c r="N155" s="84" t="str">
        <f t="shared" si="66"/>
        <v>#REF!</v>
      </c>
      <c r="O155" s="84" t="str">
        <f t="shared" si="66"/>
        <v>#REF!</v>
      </c>
      <c r="P155" s="84" t="str">
        <f t="shared" si="66"/>
        <v>#REF!</v>
      </c>
      <c r="Q155" s="84">
        <f t="shared" si="66"/>
        <v>0</v>
      </c>
      <c r="R155" s="84" t="str">
        <f t="shared" ref="R155:V155" si="67">SUM(R111:R154)</f>
        <v>#VALUE!</v>
      </c>
      <c r="S155" s="84" t="str">
        <f t="shared" si="67"/>
        <v>#VALUE!</v>
      </c>
      <c r="T155" s="84" t="str">
        <f t="shared" si="67"/>
        <v>#VALUE!</v>
      </c>
      <c r="U155" s="84" t="str">
        <f t="shared" si="67"/>
        <v>#VALUE!</v>
      </c>
      <c r="V155" s="28">
        <f t="shared" si="67"/>
        <v>0</v>
      </c>
      <c r="W155" s="84">
        <f t="shared" ref="W155:AA155" si="68">SUM(W123:W154)</f>
        <v>3</v>
      </c>
      <c r="X155" s="84">
        <f t="shared" si="68"/>
        <v>7</v>
      </c>
      <c r="Y155" s="84">
        <f t="shared" si="68"/>
        <v>19</v>
      </c>
      <c r="Z155" s="28" t="str">
        <f t="shared" si="68"/>
        <v>#REF!</v>
      </c>
      <c r="AA155" s="28" t="str">
        <f t="shared" si="68"/>
        <v>#REF!</v>
      </c>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3"/>
      <c r="AX155" s="3"/>
      <c r="AY155" s="3"/>
      <c r="AZ155" s="3"/>
      <c r="BA155" s="3"/>
      <c r="BB155" s="3"/>
      <c r="BC155" s="3"/>
      <c r="BD155" s="3"/>
      <c r="BE155" s="3"/>
      <c r="BF155" s="3"/>
    </row>
    <row r="156" ht="12.75" customHeight="1">
      <c r="A156" s="28"/>
      <c r="B156" s="57"/>
      <c r="C156" s="36"/>
      <c r="D156" s="13"/>
      <c r="E156" s="13"/>
      <c r="F156" s="13"/>
      <c r="G156" s="51"/>
      <c r="H156" s="52"/>
      <c r="I156" s="51"/>
      <c r="J156" s="52"/>
      <c r="K156" s="51"/>
      <c r="L156" s="53"/>
      <c r="M156" s="3"/>
      <c r="N156" s="6"/>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row>
    <row r="157" ht="12.75" customHeight="1">
      <c r="A157" s="28"/>
      <c r="B157" s="57"/>
      <c r="C157" s="36"/>
      <c r="D157" s="13"/>
      <c r="E157" s="13"/>
      <c r="F157" s="13"/>
      <c r="G157" s="51"/>
      <c r="H157" s="52"/>
      <c r="I157" s="51"/>
      <c r="J157" s="52"/>
      <c r="K157" s="51"/>
      <c r="L157" s="5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row>
    <row r="158" ht="12.75" customHeight="1">
      <c r="A158" s="28"/>
      <c r="B158" s="57"/>
      <c r="C158" s="36"/>
      <c r="D158" s="13"/>
      <c r="E158" s="13"/>
      <c r="F158" s="13"/>
      <c r="G158" s="51">
        <f t="shared" ref="G158:G161" si="69">AT7*AU7</f>
        <v>5</v>
      </c>
      <c r="H158" s="52">
        <f t="shared" ref="H158:H161" si="70">AV7*G158</f>
        <v>250</v>
      </c>
      <c r="I158" s="51"/>
      <c r="J158" s="52"/>
      <c r="K158" s="51"/>
      <c r="L158" s="53"/>
      <c r="M158" s="6">
        <f>G158</f>
        <v>5</v>
      </c>
      <c r="N158" s="6">
        <f>G159</f>
        <v>4</v>
      </c>
      <c r="O158" s="6">
        <f>G160</f>
        <v>3</v>
      </c>
      <c r="P158" s="6">
        <f>G161</f>
        <v>12</v>
      </c>
      <c r="Q158" s="3">
        <v>0.0</v>
      </c>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row>
    <row r="159" ht="12.75" customHeight="1">
      <c r="A159" s="28"/>
      <c r="B159" s="57"/>
      <c r="C159" s="36"/>
      <c r="D159" s="13"/>
      <c r="E159" s="13"/>
      <c r="F159" s="13"/>
      <c r="G159" s="51">
        <f t="shared" si="69"/>
        <v>4</v>
      </c>
      <c r="H159" s="52">
        <f t="shared" si="70"/>
        <v>240</v>
      </c>
      <c r="I159" s="51"/>
      <c r="J159" s="52"/>
      <c r="K159" s="51"/>
      <c r="L159" s="5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row>
    <row r="160" ht="12.75" customHeight="1">
      <c r="A160" s="28"/>
      <c r="B160" s="57"/>
      <c r="C160" s="36"/>
      <c r="D160" s="13"/>
      <c r="E160" s="13"/>
      <c r="F160" s="13"/>
      <c r="G160" s="51">
        <f t="shared" si="69"/>
        <v>3</v>
      </c>
      <c r="H160" s="52">
        <f t="shared" si="70"/>
        <v>210</v>
      </c>
      <c r="I160" s="51"/>
      <c r="J160" s="52"/>
      <c r="K160" s="51"/>
      <c r="L160" s="5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row>
    <row r="161" ht="12.75" customHeight="1">
      <c r="A161" s="28"/>
      <c r="B161" s="57"/>
      <c r="C161" s="36"/>
      <c r="D161" s="13"/>
      <c r="E161" s="13"/>
      <c r="F161" s="13"/>
      <c r="G161" s="51">
        <f t="shared" si="69"/>
        <v>12</v>
      </c>
      <c r="H161" s="52">
        <f t="shared" si="70"/>
        <v>960</v>
      </c>
      <c r="I161" s="51"/>
      <c r="J161" s="52"/>
      <c r="K161" s="51"/>
      <c r="L161" s="5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row>
    <row r="162" ht="12.75" customHeight="1">
      <c r="A162" s="28"/>
      <c r="B162" s="57"/>
      <c r="C162" s="36"/>
      <c r="D162" s="13"/>
      <c r="E162" s="13"/>
      <c r="F162" s="13"/>
      <c r="G162" s="51"/>
      <c r="H162" s="52"/>
      <c r="I162" s="51">
        <f t="shared" ref="I162:I165" si="71">AT11*AU11</f>
        <v>5</v>
      </c>
      <c r="J162" s="52">
        <f t="shared" ref="J162:J165" si="72">AV11*I162</f>
        <v>250</v>
      </c>
      <c r="K162" s="51"/>
      <c r="L162" s="53"/>
      <c r="M162" s="3"/>
      <c r="N162" s="3"/>
      <c r="O162" s="3"/>
      <c r="P162" s="3"/>
      <c r="Q162" s="3"/>
      <c r="R162" s="6">
        <f>I162</f>
        <v>5</v>
      </c>
      <c r="S162" s="6">
        <f>I163</f>
        <v>4</v>
      </c>
      <c r="T162" s="6">
        <f>I164+I165</f>
        <v>18</v>
      </c>
      <c r="U162" s="3">
        <v>0.0</v>
      </c>
      <c r="V162" s="3">
        <v>0.0</v>
      </c>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row>
    <row r="163" ht="12.75" customHeight="1">
      <c r="A163" s="28"/>
      <c r="B163" s="57"/>
      <c r="C163" s="36"/>
      <c r="D163" s="13"/>
      <c r="E163" s="13"/>
      <c r="F163" s="13"/>
      <c r="G163" s="51"/>
      <c r="H163" s="52"/>
      <c r="I163" s="51">
        <f t="shared" si="71"/>
        <v>4</v>
      </c>
      <c r="J163" s="52">
        <f t="shared" si="72"/>
        <v>240</v>
      </c>
      <c r="K163" s="51"/>
      <c r="L163" s="5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row>
    <row r="164" ht="12.75" customHeight="1">
      <c r="A164" s="28"/>
      <c r="B164" s="57"/>
      <c r="C164" s="36"/>
      <c r="D164" s="13"/>
      <c r="E164" s="13"/>
      <c r="F164" s="13"/>
      <c r="G164" s="51"/>
      <c r="H164" s="52"/>
      <c r="I164" s="51">
        <f t="shared" si="71"/>
        <v>3</v>
      </c>
      <c r="J164" s="52">
        <f t="shared" si="72"/>
        <v>210</v>
      </c>
      <c r="K164" s="51"/>
      <c r="L164" s="5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row>
    <row r="165" ht="12.75" customHeight="1">
      <c r="A165" s="28"/>
      <c r="B165" s="57"/>
      <c r="C165" s="36"/>
      <c r="D165" s="13"/>
      <c r="E165" s="13"/>
      <c r="F165" s="13"/>
      <c r="G165" s="51"/>
      <c r="H165" s="52"/>
      <c r="I165" s="51">
        <f t="shared" si="71"/>
        <v>15</v>
      </c>
      <c r="J165" s="52">
        <f t="shared" si="72"/>
        <v>1200</v>
      </c>
      <c r="K165" s="51"/>
      <c r="L165" s="5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row>
    <row r="166" ht="12.75" customHeight="1">
      <c r="A166" s="28"/>
      <c r="B166" s="57"/>
      <c r="C166" s="36"/>
      <c r="D166" s="13"/>
      <c r="E166" s="13"/>
      <c r="F166" s="13"/>
      <c r="G166" s="51">
        <f t="shared" ref="G166:G169" si="73">AT15*AU15</f>
        <v>40</v>
      </c>
      <c r="H166" s="52">
        <f t="shared" ref="H166:H169" si="74">AV15*G166</f>
        <v>0</v>
      </c>
      <c r="I166" s="51"/>
      <c r="J166" s="52"/>
      <c r="K166" s="51"/>
      <c r="L166" s="53"/>
      <c r="M166" s="6">
        <f>G166</f>
        <v>40</v>
      </c>
      <c r="N166" s="6">
        <f>G167</f>
        <v>25</v>
      </c>
      <c r="O166" s="6">
        <f>G168</f>
        <v>0</v>
      </c>
      <c r="P166" s="6">
        <f>G169</f>
        <v>0</v>
      </c>
      <c r="Q166" s="3">
        <v>0.0</v>
      </c>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row>
    <row r="167" ht="12.75" customHeight="1">
      <c r="A167" s="28"/>
      <c r="B167" s="57"/>
      <c r="C167" s="36"/>
      <c r="D167" s="13"/>
      <c r="E167" s="13"/>
      <c r="F167" s="13"/>
      <c r="G167" s="51">
        <f t="shared" si="73"/>
        <v>25</v>
      </c>
      <c r="H167" s="52">
        <f t="shared" si="74"/>
        <v>0</v>
      </c>
      <c r="I167" s="51"/>
      <c r="J167" s="52"/>
      <c r="K167" s="51"/>
      <c r="L167" s="5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row>
    <row r="168" ht="12.75" customHeight="1">
      <c r="A168" s="28"/>
      <c r="B168" s="57"/>
      <c r="C168" s="36"/>
      <c r="D168" s="13"/>
      <c r="E168" s="13"/>
      <c r="F168" s="13"/>
      <c r="G168" s="51">
        <f t="shared" si="73"/>
        <v>0</v>
      </c>
      <c r="H168" s="52">
        <f t="shared" si="74"/>
        <v>0</v>
      </c>
      <c r="I168" s="51"/>
      <c r="J168" s="52"/>
      <c r="K168" s="51"/>
      <c r="L168" s="5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row>
    <row r="169" ht="12.75" customHeight="1">
      <c r="A169" s="28"/>
      <c r="B169" s="57"/>
      <c r="C169" s="36"/>
      <c r="D169" s="13"/>
      <c r="E169" s="13"/>
      <c r="F169" s="13"/>
      <c r="G169" s="51">
        <f t="shared" si="73"/>
        <v>0</v>
      </c>
      <c r="H169" s="52">
        <f t="shared" si="74"/>
        <v>0</v>
      </c>
      <c r="I169" s="51"/>
      <c r="J169" s="52"/>
      <c r="K169" s="51"/>
      <c r="L169" s="5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row>
    <row r="170" ht="12.75" customHeight="1">
      <c r="A170" s="28"/>
      <c r="B170" s="57"/>
      <c r="C170" s="36"/>
      <c r="D170" s="13"/>
      <c r="E170" s="13"/>
      <c r="F170" s="13"/>
      <c r="G170" s="51"/>
      <c r="H170" s="52"/>
      <c r="I170" s="51"/>
      <c r="J170" s="52"/>
      <c r="K170" s="51"/>
      <c r="L170" s="5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row>
    <row r="171" ht="12.75" customHeight="1">
      <c r="A171" s="28"/>
      <c r="B171" s="57"/>
      <c r="C171" s="36"/>
      <c r="D171" s="13"/>
      <c r="E171" s="13"/>
      <c r="F171" s="13"/>
      <c r="G171" s="51"/>
      <c r="H171" s="52"/>
      <c r="I171" s="51"/>
      <c r="J171" s="52"/>
      <c r="K171" s="51"/>
      <c r="L171" s="5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row>
    <row r="172" ht="12.75" customHeight="1">
      <c r="A172" s="28"/>
      <c r="B172" s="57"/>
      <c r="C172" s="36"/>
      <c r="D172" s="13"/>
      <c r="E172" s="13"/>
      <c r="F172" s="13"/>
      <c r="G172" s="51"/>
      <c r="H172" s="52"/>
      <c r="I172" s="51"/>
      <c r="J172" s="52"/>
      <c r="K172" s="51"/>
      <c r="L172" s="5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row>
    <row r="173" ht="12.75" customHeight="1">
      <c r="A173" s="28"/>
      <c r="B173" s="57"/>
      <c r="C173" s="36"/>
      <c r="D173" s="13"/>
      <c r="E173" s="13"/>
      <c r="F173" s="13"/>
      <c r="G173" s="51"/>
      <c r="H173" s="52"/>
      <c r="I173" s="51"/>
      <c r="J173" s="52"/>
      <c r="K173" s="51"/>
      <c r="L173" s="5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row>
    <row r="174" ht="12.75" customHeight="1">
      <c r="A174" s="28"/>
      <c r="B174" s="57"/>
      <c r="C174" s="36"/>
      <c r="D174" s="13"/>
      <c r="E174" s="13"/>
      <c r="F174" s="13"/>
      <c r="G174" s="51"/>
      <c r="H174" s="52"/>
      <c r="I174" s="51"/>
      <c r="J174" s="52"/>
      <c r="K174" s="51"/>
      <c r="L174" s="5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row>
    <row r="175" ht="12.75" customHeight="1">
      <c r="A175" s="28"/>
      <c r="B175" s="57"/>
      <c r="C175" s="36"/>
      <c r="D175" s="13"/>
      <c r="E175" s="13"/>
      <c r="F175" s="13"/>
      <c r="G175" s="51"/>
      <c r="H175" s="52"/>
      <c r="I175" s="51">
        <f t="shared" ref="I175:I179" si="75">AT23*AU23</f>
        <v>3</v>
      </c>
      <c r="J175" s="52">
        <f t="shared" ref="J175:J179" si="76">AV23*I175</f>
        <v>240</v>
      </c>
      <c r="K175" s="51"/>
      <c r="L175" s="53"/>
      <c r="M175" s="3"/>
      <c r="N175" s="3"/>
      <c r="O175" s="3"/>
      <c r="P175" s="3"/>
      <c r="Q175" s="3"/>
      <c r="R175" s="6">
        <f>I175</f>
        <v>3</v>
      </c>
      <c r="S175" s="6">
        <f>I176</f>
        <v>2</v>
      </c>
      <c r="T175" s="6">
        <f>I177</f>
        <v>2</v>
      </c>
      <c r="U175" s="6">
        <f>I178+I179</f>
        <v>7</v>
      </c>
      <c r="V175" s="6">
        <v>0.0</v>
      </c>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row>
    <row r="176" ht="12.75" customHeight="1">
      <c r="A176" s="28"/>
      <c r="B176" s="57"/>
      <c r="C176" s="36"/>
      <c r="D176" s="13"/>
      <c r="E176" s="13"/>
      <c r="F176" s="13"/>
      <c r="G176" s="51"/>
      <c r="H176" s="52"/>
      <c r="I176" s="51">
        <f t="shared" si="75"/>
        <v>2</v>
      </c>
      <c r="J176" s="52">
        <f t="shared" si="76"/>
        <v>170</v>
      </c>
      <c r="K176" s="51"/>
      <c r="L176" s="5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row>
    <row r="177" ht="12.75" customHeight="1">
      <c r="A177" s="28"/>
      <c r="B177" s="57"/>
      <c r="C177" s="36"/>
      <c r="D177" s="13"/>
      <c r="E177" s="13"/>
      <c r="F177" s="13"/>
      <c r="G177" s="51"/>
      <c r="H177" s="52"/>
      <c r="I177" s="51">
        <f t="shared" si="75"/>
        <v>2</v>
      </c>
      <c r="J177" s="52">
        <f t="shared" si="76"/>
        <v>180</v>
      </c>
      <c r="K177" s="51"/>
      <c r="L177" s="5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row>
    <row r="178" ht="12.75" customHeight="1">
      <c r="A178" s="28"/>
      <c r="B178" s="57"/>
      <c r="C178" s="36"/>
      <c r="D178" s="13"/>
      <c r="E178" s="13"/>
      <c r="F178" s="13"/>
      <c r="G178" s="51"/>
      <c r="H178" s="52"/>
      <c r="I178" s="51">
        <f t="shared" si="75"/>
        <v>4</v>
      </c>
      <c r="J178" s="52">
        <f t="shared" si="76"/>
        <v>300</v>
      </c>
      <c r="K178" s="51"/>
      <c r="L178" s="5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row>
    <row r="179" ht="12.75" customHeight="1">
      <c r="A179" s="28"/>
      <c r="B179" s="57"/>
      <c r="C179" s="36"/>
      <c r="D179" s="13"/>
      <c r="E179" s="13"/>
      <c r="F179" s="13"/>
      <c r="G179" s="51"/>
      <c r="H179" s="52"/>
      <c r="I179" s="51">
        <f t="shared" si="75"/>
        <v>3</v>
      </c>
      <c r="J179" s="52">
        <f t="shared" si="76"/>
        <v>150</v>
      </c>
      <c r="K179" s="51"/>
      <c r="L179" s="5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row>
    <row r="180" ht="12.75" customHeight="1">
      <c r="A180" s="28"/>
      <c r="B180" s="57"/>
      <c r="C180" s="36"/>
      <c r="D180" s="13"/>
      <c r="E180" s="13"/>
      <c r="F180" s="13"/>
      <c r="G180" s="51"/>
      <c r="H180" s="52"/>
      <c r="I180" s="51"/>
      <c r="J180" s="52"/>
      <c r="K180" s="51" t="str">
        <f t="shared" ref="K180:K182" si="77">#REF!*#REF!</f>
        <v>#REF!</v>
      </c>
      <c r="L180" s="53" t="str">
        <f t="shared" ref="L180:L182" si="78">#REF!*K180</f>
        <v>#REF!</v>
      </c>
      <c r="M180" s="3"/>
      <c r="N180" s="3"/>
      <c r="O180" s="3"/>
      <c r="P180" s="3"/>
      <c r="Q180" s="3"/>
      <c r="R180" s="3"/>
      <c r="S180" s="3"/>
      <c r="T180" s="3"/>
      <c r="U180" s="3"/>
      <c r="V180" s="3"/>
      <c r="W180" s="6" t="str">
        <f>K180</f>
        <v>#REF!</v>
      </c>
      <c r="X180" s="6" t="str">
        <f>K181</f>
        <v>#REF!</v>
      </c>
      <c r="Y180" s="6" t="str">
        <f>K182</f>
        <v>#REF!</v>
      </c>
      <c r="Z180" s="6">
        <f>K183+K184</f>
        <v>6</v>
      </c>
      <c r="AA180" s="3">
        <v>0.0</v>
      </c>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row>
    <row r="181" ht="12.75" customHeight="1">
      <c r="A181" s="28"/>
      <c r="B181" s="57"/>
      <c r="C181" s="36"/>
      <c r="D181" s="13"/>
      <c r="E181" s="13"/>
      <c r="F181" s="13"/>
      <c r="G181" s="51"/>
      <c r="H181" s="52"/>
      <c r="I181" s="51"/>
      <c r="J181" s="52"/>
      <c r="K181" s="51" t="str">
        <f t="shared" si="77"/>
        <v>#REF!</v>
      </c>
      <c r="L181" s="53" t="str">
        <f t="shared" si="78"/>
        <v>#REF!</v>
      </c>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row>
    <row r="182" ht="12.75" customHeight="1">
      <c r="A182" s="28"/>
      <c r="B182" s="57"/>
      <c r="C182" s="36"/>
      <c r="D182" s="13"/>
      <c r="E182" s="13"/>
      <c r="F182" s="13"/>
      <c r="G182" s="51"/>
      <c r="H182" s="52"/>
      <c r="I182" s="51"/>
      <c r="J182" s="52"/>
      <c r="K182" s="51" t="str">
        <f t="shared" si="77"/>
        <v>#REF!</v>
      </c>
      <c r="L182" s="53" t="str">
        <f t="shared" si="78"/>
        <v>#REF!</v>
      </c>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row>
    <row r="183" ht="12.75" customHeight="1">
      <c r="A183" s="28"/>
      <c r="B183" s="57"/>
      <c r="C183" s="36"/>
      <c r="D183" s="13"/>
      <c r="E183" s="13"/>
      <c r="F183" s="13"/>
      <c r="G183" s="51"/>
      <c r="H183" s="52"/>
      <c r="I183" s="51"/>
      <c r="J183" s="52"/>
      <c r="K183" s="51">
        <f t="shared" ref="K183:K184" si="79">AT28*AU28</f>
        <v>3</v>
      </c>
      <c r="L183" s="53">
        <f t="shared" ref="L183:L184" si="80">AV28*K183</f>
        <v>180</v>
      </c>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row>
    <row r="184" ht="12.75" customHeight="1">
      <c r="A184" s="28"/>
      <c r="B184" s="57"/>
      <c r="C184" s="36"/>
      <c r="D184" s="13"/>
      <c r="E184" s="13"/>
      <c r="F184" s="13"/>
      <c r="G184" s="51"/>
      <c r="H184" s="52"/>
      <c r="I184" s="51"/>
      <c r="J184" s="52"/>
      <c r="K184" s="51">
        <f t="shared" si="79"/>
        <v>3</v>
      </c>
      <c r="L184" s="53">
        <f t="shared" si="80"/>
        <v>210</v>
      </c>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row>
    <row r="185" ht="12.75" customHeight="1">
      <c r="A185" s="28"/>
      <c r="B185" s="57"/>
      <c r="C185" s="36"/>
      <c r="D185" s="13"/>
      <c r="E185" s="13"/>
      <c r="F185" s="13"/>
      <c r="G185" s="51"/>
      <c r="H185" s="52"/>
      <c r="I185" s="51">
        <f t="shared" ref="I185:I186" si="81">AT30*AU30</f>
        <v>4</v>
      </c>
      <c r="J185" s="52">
        <f t="shared" ref="J185:J186" si="82">AV30*I185</f>
        <v>300</v>
      </c>
      <c r="K185" s="51"/>
      <c r="L185" s="53"/>
      <c r="M185" s="3"/>
      <c r="N185" s="3"/>
      <c r="O185" s="3"/>
      <c r="P185" s="3"/>
      <c r="Q185" s="3"/>
      <c r="R185" s="6">
        <f>I185</f>
        <v>4</v>
      </c>
      <c r="S185" s="6">
        <f>I186</f>
        <v>3</v>
      </c>
      <c r="T185" s="6" t="str">
        <f>I187</f>
        <v>#REF!</v>
      </c>
      <c r="U185" s="3">
        <v>0.0</v>
      </c>
      <c r="V185" s="3">
        <v>0.0</v>
      </c>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row>
    <row r="186" ht="12.75" customHeight="1">
      <c r="A186" s="28"/>
      <c r="B186" s="57"/>
      <c r="C186" s="36"/>
      <c r="D186" s="13"/>
      <c r="E186" s="13"/>
      <c r="F186" s="13"/>
      <c r="G186" s="51"/>
      <c r="H186" s="52"/>
      <c r="I186" s="51">
        <f t="shared" si="81"/>
        <v>3</v>
      </c>
      <c r="J186" s="52">
        <f t="shared" si="82"/>
        <v>240</v>
      </c>
      <c r="K186" s="51"/>
      <c r="L186" s="5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row>
    <row r="187" ht="12.75" customHeight="1">
      <c r="A187" s="28"/>
      <c r="B187" s="57"/>
      <c r="C187" s="36"/>
      <c r="D187" s="13"/>
      <c r="E187" s="13"/>
      <c r="F187" s="13"/>
      <c r="G187" s="51"/>
      <c r="H187" s="52"/>
      <c r="I187" s="51" t="str">
        <f>#REF!*#REF!</f>
        <v>#REF!</v>
      </c>
      <c r="J187" s="52" t="str">
        <f>#REF!*I187</f>
        <v>#REF!</v>
      </c>
      <c r="K187" s="51"/>
      <c r="L187" s="5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row>
    <row r="188" ht="12.75" customHeight="1">
      <c r="A188" s="28"/>
      <c r="B188" s="57"/>
      <c r="C188" s="36"/>
      <c r="D188" s="13"/>
      <c r="E188" s="13"/>
      <c r="F188" s="13"/>
      <c r="G188" s="51"/>
      <c r="H188" s="52"/>
      <c r="I188" s="51"/>
      <c r="J188" s="52"/>
      <c r="K188" s="51"/>
      <c r="L188" s="5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row>
    <row r="189" ht="12.75" customHeight="1">
      <c r="A189" s="28"/>
      <c r="B189" s="57"/>
      <c r="C189" s="36"/>
      <c r="D189" s="13"/>
      <c r="E189" s="13"/>
      <c r="F189" s="13"/>
      <c r="G189" s="51"/>
      <c r="H189" s="52"/>
      <c r="I189" s="51"/>
      <c r="J189" s="52"/>
      <c r="K189" s="51"/>
      <c r="L189" s="5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row>
    <row r="190" ht="12.75" customHeight="1">
      <c r="A190" s="28"/>
      <c r="B190" s="57"/>
      <c r="C190" s="36"/>
      <c r="D190" s="13"/>
      <c r="E190" s="13"/>
      <c r="F190" s="13"/>
      <c r="G190" s="13"/>
      <c r="H190" s="13"/>
      <c r="I190" s="13"/>
      <c r="J190" s="13"/>
      <c r="K190" s="13"/>
      <c r="L190" s="27"/>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row>
    <row r="191" ht="12.75" customHeight="1">
      <c r="A191" s="28"/>
      <c r="B191" s="57"/>
      <c r="C191" s="36"/>
      <c r="D191" s="13"/>
      <c r="E191" s="13"/>
      <c r="F191" s="13"/>
      <c r="G191" s="51"/>
      <c r="H191" s="52"/>
      <c r="I191" s="51"/>
      <c r="J191" s="52"/>
      <c r="K191" s="51"/>
      <c r="L191" s="5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row>
    <row r="192" ht="12.75" customHeight="1">
      <c r="A192" s="28"/>
      <c r="B192" s="57"/>
      <c r="C192" s="36"/>
      <c r="D192" s="13"/>
      <c r="E192" s="13"/>
      <c r="F192" s="13"/>
      <c r="G192" s="51">
        <f t="shared" ref="G192:G195" si="83">AT36*AU36</f>
        <v>5</v>
      </c>
      <c r="H192" s="52">
        <f t="shared" ref="H192:H195" si="84">AV36*G192</f>
        <v>250</v>
      </c>
      <c r="I192" s="51"/>
      <c r="J192" s="52"/>
      <c r="K192" s="51"/>
      <c r="L192" s="53"/>
      <c r="M192" s="6">
        <f>G192</f>
        <v>5</v>
      </c>
      <c r="N192" s="6">
        <f>G193</f>
        <v>4</v>
      </c>
      <c r="O192" s="6">
        <f>G194</f>
        <v>3</v>
      </c>
      <c r="P192" s="6">
        <f>G195</f>
        <v>8</v>
      </c>
      <c r="Q192" s="3">
        <v>0.0</v>
      </c>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row>
    <row r="193" ht="12.75" customHeight="1">
      <c r="A193" s="28"/>
      <c r="B193" s="57"/>
      <c r="C193" s="36"/>
      <c r="D193" s="13"/>
      <c r="E193" s="13"/>
      <c r="F193" s="13"/>
      <c r="G193" s="51">
        <f t="shared" si="83"/>
        <v>4</v>
      </c>
      <c r="H193" s="52">
        <f t="shared" si="84"/>
        <v>240</v>
      </c>
      <c r="I193" s="51"/>
      <c r="J193" s="52"/>
      <c r="K193" s="51"/>
      <c r="L193" s="5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row>
    <row r="194" ht="12.75" customHeight="1">
      <c r="A194" s="28"/>
      <c r="B194" s="57"/>
      <c r="C194" s="36"/>
      <c r="D194" s="13"/>
      <c r="E194" s="13"/>
      <c r="F194" s="13"/>
      <c r="G194" s="51">
        <f t="shared" si="83"/>
        <v>3</v>
      </c>
      <c r="H194" s="52">
        <f t="shared" si="84"/>
        <v>210</v>
      </c>
      <c r="I194" s="51"/>
      <c r="J194" s="52"/>
      <c r="K194" s="51"/>
      <c r="L194" s="5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row>
    <row r="195" ht="12.75" customHeight="1">
      <c r="A195" s="28"/>
      <c r="B195" s="57"/>
      <c r="C195" s="36"/>
      <c r="D195" s="13"/>
      <c r="E195" s="13"/>
      <c r="F195" s="13"/>
      <c r="G195" s="51">
        <f t="shared" si="83"/>
        <v>8</v>
      </c>
      <c r="H195" s="52">
        <f t="shared" si="84"/>
        <v>640</v>
      </c>
      <c r="I195" s="51"/>
      <c r="J195" s="52"/>
      <c r="K195" s="51"/>
      <c r="L195" s="5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row>
    <row r="196" ht="12.75" customHeight="1">
      <c r="A196" s="28"/>
      <c r="B196" s="57"/>
      <c r="C196" s="36"/>
      <c r="D196" s="13"/>
      <c r="E196" s="13"/>
      <c r="F196" s="13"/>
      <c r="G196" s="51"/>
      <c r="H196" s="52"/>
      <c r="I196" s="51">
        <f t="shared" ref="I196:I198" si="85">AT40*AU40</f>
        <v>5</v>
      </c>
      <c r="J196" s="52">
        <f t="shared" ref="J196:J198" si="86">AV40*I196</f>
        <v>250</v>
      </c>
      <c r="K196" s="51"/>
      <c r="L196" s="53"/>
      <c r="M196" s="3"/>
      <c r="N196" s="3"/>
      <c r="O196" s="3"/>
      <c r="P196" s="3"/>
      <c r="Q196" s="3"/>
      <c r="R196" s="6">
        <f>I196</f>
        <v>5</v>
      </c>
      <c r="S196" s="6">
        <f>I197+I198</f>
        <v>7</v>
      </c>
      <c r="T196" s="3">
        <v>0.0</v>
      </c>
      <c r="U196" s="3">
        <v>0.0</v>
      </c>
      <c r="V196" s="3">
        <v>0.0</v>
      </c>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row>
    <row r="197" ht="12.75" customHeight="1">
      <c r="A197" s="28"/>
      <c r="B197" s="57"/>
      <c r="C197" s="36"/>
      <c r="D197" s="13"/>
      <c r="E197" s="13"/>
      <c r="F197" s="13"/>
      <c r="G197" s="51"/>
      <c r="H197" s="52"/>
      <c r="I197" s="51">
        <f t="shared" si="85"/>
        <v>4</v>
      </c>
      <c r="J197" s="52">
        <f t="shared" si="86"/>
        <v>240</v>
      </c>
      <c r="K197" s="51"/>
      <c r="L197" s="5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row>
    <row r="198" ht="12.75" customHeight="1">
      <c r="A198" s="28"/>
      <c r="B198" s="57"/>
      <c r="C198" s="36"/>
      <c r="D198" s="13"/>
      <c r="E198" s="13"/>
      <c r="F198" s="13"/>
      <c r="G198" s="51"/>
      <c r="H198" s="52"/>
      <c r="I198" s="51">
        <f t="shared" si="85"/>
        <v>3</v>
      </c>
      <c r="J198" s="52">
        <f t="shared" si="86"/>
        <v>210</v>
      </c>
      <c r="K198" s="51"/>
      <c r="L198" s="5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row>
    <row r="199" ht="12.75" customHeight="1">
      <c r="A199" s="28"/>
      <c r="B199" s="57"/>
      <c r="C199" s="36"/>
      <c r="D199" s="13"/>
      <c r="E199" s="13"/>
      <c r="F199" s="13"/>
      <c r="G199" s="51"/>
      <c r="H199" s="52"/>
      <c r="I199" s="51"/>
      <c r="J199" s="52"/>
      <c r="K199" s="51"/>
      <c r="L199" s="5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row>
    <row r="200" ht="12.75" customHeight="1">
      <c r="A200" s="28"/>
      <c r="B200" s="57"/>
      <c r="C200" s="36"/>
      <c r="D200" s="13"/>
      <c r="E200" s="13"/>
      <c r="F200" s="13"/>
      <c r="G200" s="51"/>
      <c r="H200" s="52"/>
      <c r="I200" s="51"/>
      <c r="J200" s="52"/>
      <c r="K200" s="51"/>
      <c r="L200" s="5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row>
    <row r="201" ht="12.75" customHeight="1">
      <c r="A201" s="28"/>
      <c r="B201" s="57"/>
      <c r="C201" s="36"/>
      <c r="D201" s="13"/>
      <c r="E201" s="13"/>
      <c r="F201" s="13"/>
      <c r="G201" s="51"/>
      <c r="H201" s="52"/>
      <c r="I201" s="51"/>
      <c r="J201" s="52"/>
      <c r="K201" s="51"/>
      <c r="L201" s="5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row>
    <row r="202" ht="12.75" customHeight="1">
      <c r="A202" s="28"/>
      <c r="B202" s="34"/>
      <c r="C202" s="37"/>
      <c r="D202" s="26"/>
      <c r="E202" s="26"/>
      <c r="F202" s="26"/>
      <c r="G202" s="82">
        <f t="shared" ref="G202:Q202" si="87">SUM(G158:G201)</f>
        <v>109</v>
      </c>
      <c r="H202" s="83">
        <f t="shared" si="87"/>
        <v>3000</v>
      </c>
      <c r="I202" s="82" t="str">
        <f t="shared" si="87"/>
        <v>#REF!</v>
      </c>
      <c r="J202" s="83" t="str">
        <f t="shared" si="87"/>
        <v>#REF!</v>
      </c>
      <c r="K202" s="82" t="str">
        <f t="shared" si="87"/>
        <v>#REF!</v>
      </c>
      <c r="L202" s="86" t="str">
        <f t="shared" si="87"/>
        <v>#REF!</v>
      </c>
      <c r="M202" s="84">
        <f t="shared" si="87"/>
        <v>50</v>
      </c>
      <c r="N202" s="84">
        <f t="shared" si="87"/>
        <v>33</v>
      </c>
      <c r="O202" s="84">
        <f t="shared" si="87"/>
        <v>6</v>
      </c>
      <c r="P202" s="84">
        <f t="shared" si="87"/>
        <v>20</v>
      </c>
      <c r="Q202" s="28">
        <f t="shared" si="87"/>
        <v>0</v>
      </c>
      <c r="R202" s="84">
        <f t="shared" ref="R202:V202" si="88">SUM(R162:R201)</f>
        <v>17</v>
      </c>
      <c r="S202" s="84">
        <f t="shared" si="88"/>
        <v>16</v>
      </c>
      <c r="T202" s="84" t="str">
        <f t="shared" si="88"/>
        <v>#REF!</v>
      </c>
      <c r="U202" s="28">
        <f t="shared" si="88"/>
        <v>7</v>
      </c>
      <c r="V202" s="28">
        <f t="shared" si="88"/>
        <v>0</v>
      </c>
      <c r="W202" s="84" t="str">
        <f t="shared" ref="W202:AA202" si="89">SUM(W180:W201)</f>
        <v>#REF!</v>
      </c>
      <c r="X202" s="84" t="str">
        <f t="shared" si="89"/>
        <v>#REF!</v>
      </c>
      <c r="Y202" s="84" t="str">
        <f t="shared" si="89"/>
        <v>#REF!</v>
      </c>
      <c r="Z202" s="84">
        <f t="shared" si="89"/>
        <v>6</v>
      </c>
      <c r="AA202" s="28">
        <f t="shared" si="89"/>
        <v>0</v>
      </c>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3"/>
      <c r="AX202" s="3"/>
      <c r="AY202" s="3"/>
      <c r="AZ202" s="3"/>
      <c r="BA202" s="3"/>
      <c r="BB202" s="3"/>
      <c r="BC202" s="3"/>
      <c r="BD202" s="3"/>
      <c r="BE202" s="3"/>
      <c r="BF202" s="3"/>
    </row>
    <row r="203" ht="12.75" customHeight="1">
      <c r="A203" s="28"/>
      <c r="B203" s="57"/>
      <c r="C203" s="36"/>
      <c r="D203" s="13"/>
      <c r="E203" s="13"/>
      <c r="F203" s="13"/>
      <c r="G203" s="13"/>
      <c r="H203" s="13"/>
      <c r="I203" s="13"/>
      <c r="J203" s="13"/>
      <c r="K203" s="13"/>
      <c r="L203" s="27"/>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row>
    <row r="204" ht="12.75" customHeight="1">
      <c r="A204" s="28"/>
      <c r="B204" s="57"/>
      <c r="C204" s="36"/>
      <c r="D204" s="13"/>
      <c r="E204" s="13"/>
      <c r="F204" s="13"/>
      <c r="G204" s="13"/>
      <c r="H204" s="13"/>
      <c r="I204" s="13"/>
      <c r="J204" s="13"/>
      <c r="K204" s="13"/>
      <c r="L204" s="27"/>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row>
    <row r="205" ht="12.75" customHeight="1">
      <c r="A205" s="28"/>
      <c r="B205" s="57"/>
      <c r="C205" s="36"/>
      <c r="D205" s="13"/>
      <c r="E205" s="13"/>
      <c r="F205" s="13"/>
      <c r="G205" s="26" t="str">
        <f t="shared" ref="G205:AA205" si="90">G202+G155+G104+G54</f>
        <v>#REF!</v>
      </c>
      <c r="H205" s="26" t="str">
        <f t="shared" si="90"/>
        <v>#REF!</v>
      </c>
      <c r="I205" s="26" t="str">
        <f t="shared" si="90"/>
        <v>#REF!</v>
      </c>
      <c r="J205" s="26" t="str">
        <f t="shared" si="90"/>
        <v>#REF!</v>
      </c>
      <c r="K205" s="26" t="str">
        <f t="shared" si="90"/>
        <v>#REF!</v>
      </c>
      <c r="L205" s="26" t="str">
        <f t="shared" si="90"/>
        <v>#REF!</v>
      </c>
      <c r="M205" s="26" t="str">
        <f t="shared" si="90"/>
        <v>#REF!</v>
      </c>
      <c r="N205" s="26" t="str">
        <f t="shared" si="90"/>
        <v>#REF!</v>
      </c>
      <c r="O205" s="26" t="str">
        <f t="shared" si="90"/>
        <v>#REF!</v>
      </c>
      <c r="P205" s="26" t="str">
        <f t="shared" si="90"/>
        <v>#REF!</v>
      </c>
      <c r="Q205" s="26">
        <f t="shared" si="90"/>
        <v>0</v>
      </c>
      <c r="R205" s="26" t="str">
        <f t="shared" si="90"/>
        <v>#VALUE!</v>
      </c>
      <c r="S205" s="26" t="str">
        <f t="shared" si="90"/>
        <v>#VALUE!</v>
      </c>
      <c r="T205" s="26" t="str">
        <f t="shared" si="90"/>
        <v>#REF!</v>
      </c>
      <c r="U205" s="26" t="str">
        <f t="shared" si="90"/>
        <v>#VALUE!</v>
      </c>
      <c r="V205" s="26">
        <f t="shared" si="90"/>
        <v>0</v>
      </c>
      <c r="W205" s="26" t="str">
        <f t="shared" si="90"/>
        <v>#REF!</v>
      </c>
      <c r="X205" s="26" t="str">
        <f t="shared" si="90"/>
        <v>#REF!</v>
      </c>
      <c r="Y205" s="26" t="str">
        <f t="shared" si="90"/>
        <v>#REF!</v>
      </c>
      <c r="Z205" s="26" t="str">
        <f t="shared" si="90"/>
        <v>#REF!</v>
      </c>
      <c r="AA205" s="26" t="str">
        <f t="shared" si="90"/>
        <v>#REF!</v>
      </c>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row>
    <row r="206" ht="12.75" customHeight="1">
      <c r="A206" s="28"/>
      <c r="B206" s="57"/>
      <c r="C206" s="36"/>
      <c r="D206" s="13"/>
      <c r="E206" s="13"/>
      <c r="F206" s="13"/>
      <c r="G206" s="13"/>
      <c r="H206" s="13"/>
      <c r="I206" s="13"/>
      <c r="J206" s="13"/>
      <c r="K206" s="13"/>
      <c r="L206" s="27"/>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row>
    <row r="207" ht="13.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row>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F2"/>
    <mergeCell ref="A5:B5"/>
    <mergeCell ref="AJ5:AK5"/>
    <mergeCell ref="AQ5:AR5"/>
    <mergeCell ref="A6:B6"/>
    <mergeCell ref="AC6:AD6"/>
    <mergeCell ref="AJ6:AK6"/>
    <mergeCell ref="AQ6:AR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7"/>
    <col customWidth="1" min="2" max="2" width="26.86"/>
    <col customWidth="1" min="3" max="3" width="9.0"/>
    <col customWidth="1" min="4" max="4" width="11.43"/>
    <col customWidth="1" min="5" max="5" width="9.86"/>
    <col customWidth="1" min="6" max="6" width="9.0"/>
    <col customWidth="1" hidden="1" min="7" max="28" width="9.86"/>
    <col customWidth="1" min="29" max="29" width="3.0"/>
    <col customWidth="1" min="30" max="30" width="2.86"/>
    <col customWidth="1" min="31" max="31" width="26.86"/>
    <col customWidth="1" min="32" max="35" width="8.57"/>
    <col customWidth="1" min="36" max="36" width="2.86"/>
    <col customWidth="1" min="37" max="37" width="2.57"/>
    <col customWidth="1" min="38" max="38" width="26.57"/>
    <col customWidth="1" min="39" max="39" width="8.57"/>
    <col customWidth="1" min="40" max="40" width="10.29"/>
    <col customWidth="1" min="41" max="41" width="9.86"/>
    <col customWidth="1" min="42" max="42" width="8.57"/>
    <col customWidth="1" min="43" max="43" width="3.43"/>
    <col customWidth="1" min="44" max="44" width="2.57"/>
    <col customWidth="1" min="45" max="45" width="31.71"/>
    <col customWidth="1" min="46" max="49" width="8.57"/>
    <col customWidth="1" min="50" max="59" width="17.14"/>
  </cols>
  <sheetData>
    <row r="1" ht="12.75" customHeight="1">
      <c r="A1" s="25"/>
      <c r="B1" s="25" t="s">
        <v>23</v>
      </c>
      <c r="C1" s="25"/>
      <c r="D1" s="26"/>
      <c r="E1" s="25"/>
      <c r="F1" s="25"/>
      <c r="G1" s="13"/>
      <c r="H1" s="13"/>
      <c r="I1" s="13"/>
      <c r="J1" s="13"/>
      <c r="K1" s="13"/>
      <c r="L1" s="27"/>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row>
    <row r="2" ht="21.75" customHeight="1">
      <c r="A2" s="28"/>
      <c r="B2" s="29" t="s">
        <v>68</v>
      </c>
      <c r="G2" s="30"/>
      <c r="H2" s="30"/>
      <c r="I2" s="13"/>
      <c r="J2" s="13"/>
      <c r="K2" s="13"/>
      <c r="L2" s="27"/>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row>
    <row r="3" ht="12.75" customHeight="1">
      <c r="A3" s="28"/>
      <c r="B3" s="31"/>
      <c r="C3" s="32"/>
      <c r="D3" s="33"/>
      <c r="E3" s="33"/>
      <c r="F3" s="30"/>
      <c r="G3" s="30"/>
      <c r="H3" s="30"/>
      <c r="I3" s="13"/>
      <c r="J3" s="13"/>
      <c r="K3" s="13"/>
      <c r="L3" s="27"/>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row>
    <row r="4" ht="12.75" customHeight="1">
      <c r="A4" s="34"/>
      <c r="B4" s="34"/>
      <c r="C4" s="34"/>
      <c r="D4" s="35"/>
      <c r="E4" s="26"/>
      <c r="F4" s="34"/>
      <c r="G4" s="13"/>
      <c r="H4" s="13"/>
      <c r="I4" s="13"/>
      <c r="J4" s="13"/>
      <c r="K4" s="13"/>
      <c r="L4" s="27"/>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row>
    <row r="5" ht="12.75" customHeight="1">
      <c r="A5" s="28" t="s">
        <v>25</v>
      </c>
      <c r="C5" s="36"/>
      <c r="D5" s="13"/>
      <c r="E5" s="13"/>
      <c r="F5" s="13"/>
      <c r="G5" s="13"/>
      <c r="H5" s="13"/>
      <c r="I5" s="13"/>
      <c r="J5" s="13"/>
      <c r="K5" s="13"/>
      <c r="L5" s="27"/>
      <c r="M5" s="3" t="s">
        <v>26</v>
      </c>
      <c r="N5" s="3"/>
      <c r="O5" s="3"/>
      <c r="P5" s="3"/>
      <c r="Q5" s="3"/>
      <c r="R5" s="3" t="s">
        <v>27</v>
      </c>
      <c r="S5" s="3"/>
      <c r="T5" s="3"/>
      <c r="U5" s="3"/>
      <c r="V5" s="3"/>
      <c r="W5" s="3" t="s">
        <v>28</v>
      </c>
      <c r="X5" s="3"/>
      <c r="Y5" s="3"/>
      <c r="Z5" s="3"/>
      <c r="AA5" s="3"/>
      <c r="AB5" s="3"/>
      <c r="AC5" s="3"/>
      <c r="AD5" s="28" t="s">
        <v>29</v>
      </c>
      <c r="AF5" s="36"/>
      <c r="AG5" s="13"/>
      <c r="AH5" s="13"/>
      <c r="AI5" s="13"/>
      <c r="AJ5" s="3"/>
      <c r="AK5" s="28" t="s">
        <v>30</v>
      </c>
      <c r="AM5" s="36"/>
      <c r="AN5" s="13"/>
      <c r="AO5" s="13"/>
      <c r="AP5" s="13"/>
      <c r="AQ5" s="3"/>
      <c r="AR5" s="28" t="s">
        <v>31</v>
      </c>
      <c r="AT5" s="36"/>
      <c r="AU5" s="13"/>
      <c r="AV5" s="13"/>
      <c r="AW5" s="13"/>
      <c r="AX5" s="3"/>
      <c r="AY5" s="3"/>
      <c r="AZ5" s="3"/>
      <c r="BA5" s="3"/>
      <c r="BB5" s="3"/>
      <c r="BC5" s="3"/>
      <c r="BD5" s="3"/>
      <c r="BE5" s="3"/>
      <c r="BF5" s="3"/>
      <c r="BG5" s="3"/>
    </row>
    <row r="6" ht="12.75" customHeight="1">
      <c r="A6" s="28" t="s">
        <v>32</v>
      </c>
      <c r="C6" s="37" t="s">
        <v>33</v>
      </c>
      <c r="D6" s="26" t="s">
        <v>34</v>
      </c>
      <c r="E6" s="26" t="s">
        <v>35</v>
      </c>
      <c r="F6" s="26" t="s">
        <v>36</v>
      </c>
      <c r="G6" s="13"/>
      <c r="H6" s="13"/>
      <c r="I6" s="13"/>
      <c r="J6" s="13"/>
      <c r="K6" s="13"/>
      <c r="L6" s="27"/>
      <c r="M6" s="3" t="s">
        <v>37</v>
      </c>
      <c r="N6" s="3" t="s">
        <v>38</v>
      </c>
      <c r="O6" s="3" t="s">
        <v>39</v>
      </c>
      <c r="P6" s="3" t="s">
        <v>40</v>
      </c>
      <c r="Q6" s="3" t="s">
        <v>41</v>
      </c>
      <c r="R6" s="3" t="s">
        <v>37</v>
      </c>
      <c r="S6" s="3" t="s">
        <v>38</v>
      </c>
      <c r="T6" s="3" t="s">
        <v>39</v>
      </c>
      <c r="U6" s="3" t="s">
        <v>40</v>
      </c>
      <c r="V6" s="3" t="s">
        <v>41</v>
      </c>
      <c r="W6" s="3" t="s">
        <v>37</v>
      </c>
      <c r="X6" s="3" t="s">
        <v>38</v>
      </c>
      <c r="Y6" s="3" t="s">
        <v>39</v>
      </c>
      <c r="Z6" s="3" t="s">
        <v>40</v>
      </c>
      <c r="AA6" s="3" t="s">
        <v>41</v>
      </c>
      <c r="AB6" s="3"/>
      <c r="AC6" s="3"/>
      <c r="AD6" s="28" t="s">
        <v>32</v>
      </c>
      <c r="AF6" s="37" t="s">
        <v>33</v>
      </c>
      <c r="AG6" s="26" t="s">
        <v>34</v>
      </c>
      <c r="AH6" s="26" t="s">
        <v>35</v>
      </c>
      <c r="AI6" s="26" t="s">
        <v>36</v>
      </c>
      <c r="AJ6" s="3"/>
      <c r="AK6" s="28" t="s">
        <v>32</v>
      </c>
      <c r="AM6" s="37" t="s">
        <v>33</v>
      </c>
      <c r="AN6" s="26" t="s">
        <v>34</v>
      </c>
      <c r="AO6" s="26" t="s">
        <v>35</v>
      </c>
      <c r="AP6" s="26" t="s">
        <v>36</v>
      </c>
      <c r="AQ6" s="3"/>
      <c r="AR6" s="28" t="s">
        <v>32</v>
      </c>
      <c r="AT6" s="37" t="s">
        <v>33</v>
      </c>
      <c r="AU6" s="26" t="s">
        <v>34</v>
      </c>
      <c r="AV6" s="26" t="s">
        <v>35</v>
      </c>
      <c r="AW6" s="26" t="s">
        <v>36</v>
      </c>
      <c r="AX6" s="3"/>
      <c r="AY6" s="3"/>
      <c r="AZ6" s="3"/>
      <c r="BA6" s="3"/>
      <c r="BB6" s="3"/>
      <c r="BC6" s="3"/>
      <c r="BD6" s="3"/>
      <c r="BE6" s="3"/>
      <c r="BF6" s="3"/>
      <c r="BG6" s="3"/>
    </row>
    <row r="7" ht="12.75" customHeight="1">
      <c r="A7" s="38">
        <v>1.0</v>
      </c>
      <c r="B7" s="39" t="s">
        <v>42</v>
      </c>
      <c r="C7" s="40">
        <v>0.5</v>
      </c>
      <c r="D7" s="50">
        <v>5.0</v>
      </c>
      <c r="E7" s="41">
        <v>1.0</v>
      </c>
      <c r="F7" s="41">
        <f>Max!$B$3*C7</f>
        <v>50</v>
      </c>
      <c r="G7" s="42"/>
      <c r="H7" s="43"/>
      <c r="I7" s="42">
        <f t="shared" ref="I7:I10" si="1">D7*E7</f>
        <v>5</v>
      </c>
      <c r="J7" s="43">
        <f t="shared" ref="J7:J10" si="2">F7*I7</f>
        <v>250</v>
      </c>
      <c r="K7" s="42"/>
      <c r="L7" s="44"/>
      <c r="M7" s="3"/>
      <c r="N7" s="3"/>
      <c r="O7" s="3"/>
      <c r="P7" s="3"/>
      <c r="Q7" s="3"/>
      <c r="R7" s="6">
        <f>I7</f>
        <v>5</v>
      </c>
      <c r="S7" s="6">
        <f>I8</f>
        <v>5</v>
      </c>
      <c r="T7" s="6">
        <f>I9</f>
        <v>3</v>
      </c>
      <c r="U7" s="6">
        <f>I10</f>
        <v>7</v>
      </c>
      <c r="V7" s="3">
        <v>0.0</v>
      </c>
      <c r="W7" s="3"/>
      <c r="X7" s="3"/>
      <c r="Y7" s="3"/>
      <c r="Z7" s="3"/>
      <c r="AA7" s="3"/>
      <c r="AB7" s="3"/>
      <c r="AC7" s="3"/>
      <c r="AD7" s="45">
        <v>1.0</v>
      </c>
      <c r="AE7" s="46" t="s">
        <v>43</v>
      </c>
      <c r="AF7" s="47">
        <v>0.55</v>
      </c>
      <c r="AG7" s="48">
        <v>5.0</v>
      </c>
      <c r="AH7" s="49">
        <v>1.0</v>
      </c>
      <c r="AI7" s="49">
        <f>Max!$B$4*AF7</f>
        <v>55</v>
      </c>
      <c r="AJ7" s="3"/>
      <c r="AK7" s="38">
        <v>1.0</v>
      </c>
      <c r="AL7" s="39" t="s">
        <v>42</v>
      </c>
      <c r="AM7" s="40">
        <v>0.5</v>
      </c>
      <c r="AN7" s="50">
        <v>5.0</v>
      </c>
      <c r="AO7" s="41">
        <v>1.0</v>
      </c>
      <c r="AP7" s="41">
        <f>Max!$B$3*AM7</f>
        <v>50</v>
      </c>
      <c r="AQ7" s="3"/>
      <c r="AR7" s="38">
        <v>1.0</v>
      </c>
      <c r="AS7" s="39" t="s">
        <v>42</v>
      </c>
      <c r="AT7" s="40">
        <v>0.5</v>
      </c>
      <c r="AU7" s="50">
        <v>5.0</v>
      </c>
      <c r="AV7" s="41">
        <v>1.0</v>
      </c>
      <c r="AW7" s="41">
        <f>Max!$B$3*AT7</f>
        <v>50</v>
      </c>
      <c r="AX7" s="3"/>
      <c r="AY7" s="3"/>
      <c r="AZ7" s="3"/>
      <c r="BA7" s="3"/>
      <c r="BB7" s="3"/>
      <c r="BC7" s="3"/>
      <c r="BD7" s="3"/>
      <c r="BE7" s="3"/>
      <c r="BF7" s="3"/>
      <c r="BG7" s="3"/>
    </row>
    <row r="8" ht="12.75" customHeight="1">
      <c r="A8" s="38"/>
      <c r="B8" s="39"/>
      <c r="C8" s="40">
        <v>0.6</v>
      </c>
      <c r="D8" s="50">
        <v>5.0</v>
      </c>
      <c r="E8" s="41">
        <v>1.0</v>
      </c>
      <c r="F8" s="41">
        <f>Max!$B$3*C8</f>
        <v>60</v>
      </c>
      <c r="G8" s="51"/>
      <c r="H8" s="52"/>
      <c r="I8" s="51">
        <f t="shared" si="1"/>
        <v>5</v>
      </c>
      <c r="J8" s="52">
        <f t="shared" si="2"/>
        <v>300</v>
      </c>
      <c r="K8" s="51"/>
      <c r="L8" s="53"/>
      <c r="M8" s="3"/>
      <c r="N8" s="3"/>
      <c r="O8" s="3"/>
      <c r="P8" s="3"/>
      <c r="Q8" s="3"/>
      <c r="R8" s="3"/>
      <c r="S8" s="3"/>
      <c r="T8" s="3"/>
      <c r="U8" s="3"/>
      <c r="V8" s="3"/>
      <c r="W8" s="3"/>
      <c r="X8" s="3"/>
      <c r="Y8" s="3"/>
      <c r="Z8" s="3"/>
      <c r="AA8" s="3"/>
      <c r="AB8" s="3"/>
      <c r="AC8" s="3"/>
      <c r="AD8" s="45"/>
      <c r="AE8" s="46"/>
      <c r="AF8" s="47">
        <v>0.65</v>
      </c>
      <c r="AG8" s="48">
        <v>4.0</v>
      </c>
      <c r="AH8" s="49">
        <v>1.0</v>
      </c>
      <c r="AI8" s="49">
        <f>Max!$B$4*AF8</f>
        <v>65</v>
      </c>
      <c r="AJ8" s="3"/>
      <c r="AK8" s="38"/>
      <c r="AL8" s="39"/>
      <c r="AM8" s="40">
        <v>0.6</v>
      </c>
      <c r="AN8" s="50">
        <v>4.0</v>
      </c>
      <c r="AO8" s="41">
        <v>1.0</v>
      </c>
      <c r="AP8" s="41">
        <f>Max!$B$3*AM8</f>
        <v>60</v>
      </c>
      <c r="AQ8" s="3"/>
      <c r="AR8" s="38"/>
      <c r="AS8" s="39"/>
      <c r="AT8" s="40">
        <v>0.6</v>
      </c>
      <c r="AU8" s="50">
        <v>4.0</v>
      </c>
      <c r="AV8" s="41">
        <v>1.0</v>
      </c>
      <c r="AW8" s="41">
        <f>Max!$B$3*AT8</f>
        <v>60</v>
      </c>
      <c r="AX8" s="3"/>
      <c r="AY8" s="3"/>
      <c r="AZ8" s="3"/>
      <c r="BA8" s="3"/>
      <c r="BB8" s="3"/>
      <c r="BC8" s="3"/>
      <c r="BD8" s="3"/>
      <c r="BE8" s="3"/>
      <c r="BF8" s="3"/>
      <c r="BG8" s="3"/>
    </row>
    <row r="9" ht="12.75" customHeight="1">
      <c r="A9" s="38"/>
      <c r="B9" s="39"/>
      <c r="C9" s="40">
        <v>0.7</v>
      </c>
      <c r="D9" s="50">
        <v>3.0</v>
      </c>
      <c r="E9" s="41">
        <v>1.0</v>
      </c>
      <c r="F9" s="41">
        <f>Max!$B$3*C9</f>
        <v>70</v>
      </c>
      <c r="G9" s="51"/>
      <c r="H9" s="52"/>
      <c r="I9" s="51">
        <f t="shared" si="1"/>
        <v>3</v>
      </c>
      <c r="J9" s="52">
        <f t="shared" si="2"/>
        <v>210</v>
      </c>
      <c r="K9" s="51"/>
      <c r="L9" s="53"/>
      <c r="M9" s="3"/>
      <c r="N9" s="3"/>
      <c r="O9" s="3"/>
      <c r="P9" s="3"/>
      <c r="Q9" s="3"/>
      <c r="R9" s="3"/>
      <c r="S9" s="3"/>
      <c r="T9" s="3"/>
      <c r="U9" s="3"/>
      <c r="V9" s="3"/>
      <c r="W9" s="3"/>
      <c r="X9" s="3"/>
      <c r="Y9" s="3"/>
      <c r="Z9" s="3"/>
      <c r="AA9" s="3"/>
      <c r="AB9" s="3"/>
      <c r="AC9" s="3"/>
      <c r="AD9" s="45"/>
      <c r="AE9" s="46"/>
      <c r="AF9" s="47">
        <v>0.75</v>
      </c>
      <c r="AG9" s="48">
        <v>3.0</v>
      </c>
      <c r="AH9" s="49">
        <v>1.0</v>
      </c>
      <c r="AI9" s="49">
        <f>Max!$B$4*AF9</f>
        <v>75</v>
      </c>
      <c r="AJ9" s="3"/>
      <c r="AK9" s="38"/>
      <c r="AL9" s="39"/>
      <c r="AM9" s="40">
        <v>0.7</v>
      </c>
      <c r="AN9" s="41">
        <v>3.0</v>
      </c>
      <c r="AO9" s="41">
        <v>1.0</v>
      </c>
      <c r="AP9" s="41">
        <f>Max!$B$3*AM9</f>
        <v>70</v>
      </c>
      <c r="AQ9" s="3"/>
      <c r="AR9" s="38"/>
      <c r="AS9" s="39"/>
      <c r="AT9" s="40">
        <v>0.7</v>
      </c>
      <c r="AU9" s="50">
        <v>3.0</v>
      </c>
      <c r="AV9" s="41">
        <v>1.0</v>
      </c>
      <c r="AW9" s="41">
        <f>Max!$B$3*AT9</f>
        <v>70</v>
      </c>
      <c r="AX9" s="3"/>
      <c r="AY9" s="3"/>
      <c r="AZ9" s="3"/>
      <c r="BA9" s="3"/>
      <c r="BB9" s="3"/>
      <c r="BC9" s="3"/>
      <c r="BD9" s="3"/>
      <c r="BE9" s="3"/>
      <c r="BF9" s="3"/>
      <c r="BG9" s="3"/>
    </row>
    <row r="10" ht="12.75" customHeight="1">
      <c r="A10" s="38"/>
      <c r="B10" s="39"/>
      <c r="C10" s="40">
        <v>0.7</v>
      </c>
      <c r="D10" s="50">
        <v>7.0</v>
      </c>
      <c r="E10" s="41">
        <v>1.0</v>
      </c>
      <c r="F10" s="41">
        <f>Max!$B$3*C10</f>
        <v>70</v>
      </c>
      <c r="G10" s="51"/>
      <c r="H10" s="52"/>
      <c r="I10" s="51">
        <f t="shared" si="1"/>
        <v>7</v>
      </c>
      <c r="J10" s="52">
        <f t="shared" si="2"/>
        <v>490</v>
      </c>
      <c r="K10" s="51"/>
      <c r="L10" s="53"/>
      <c r="M10" s="3"/>
      <c r="N10" s="3"/>
      <c r="O10" s="3"/>
      <c r="P10" s="3"/>
      <c r="Q10" s="3"/>
      <c r="R10" s="3"/>
      <c r="S10" s="3"/>
      <c r="T10" s="3"/>
      <c r="U10" s="3"/>
      <c r="V10" s="3"/>
      <c r="W10" s="3"/>
      <c r="X10" s="3"/>
      <c r="Y10" s="3"/>
      <c r="Z10" s="3"/>
      <c r="AA10" s="3"/>
      <c r="AB10" s="3"/>
      <c r="AC10" s="3"/>
      <c r="AD10" s="45"/>
      <c r="AE10" s="46"/>
      <c r="AF10" s="47">
        <v>0.85</v>
      </c>
      <c r="AG10" s="48">
        <v>2.0</v>
      </c>
      <c r="AH10" s="49">
        <v>4.0</v>
      </c>
      <c r="AI10" s="49">
        <f>Max!$B$4*AF10</f>
        <v>85</v>
      </c>
      <c r="AJ10" s="3"/>
      <c r="AK10" s="38"/>
      <c r="AL10" s="39"/>
      <c r="AM10" s="40">
        <v>0.8</v>
      </c>
      <c r="AN10" s="41">
        <v>2.0</v>
      </c>
      <c r="AO10" s="41">
        <v>5.0</v>
      </c>
      <c r="AP10" s="41">
        <f>Max!$B$3*AM10</f>
        <v>80</v>
      </c>
      <c r="AQ10" s="3"/>
      <c r="AR10" s="38"/>
      <c r="AS10" s="39"/>
      <c r="AT10" s="40">
        <v>0.8</v>
      </c>
      <c r="AU10" s="50">
        <v>2.0</v>
      </c>
      <c r="AV10" s="41">
        <v>1.0</v>
      </c>
      <c r="AW10" s="41">
        <f>Max!$B$3*AT10</f>
        <v>80</v>
      </c>
      <c r="AX10" s="3"/>
      <c r="AY10" s="3"/>
      <c r="AZ10" s="3"/>
      <c r="BA10" s="3"/>
      <c r="BB10" s="3"/>
      <c r="BC10" s="3"/>
      <c r="BD10" s="3"/>
      <c r="BE10" s="3"/>
      <c r="BF10" s="3"/>
      <c r="BG10" s="3"/>
    </row>
    <row r="11" ht="12.75" customHeight="1">
      <c r="A11" s="38"/>
      <c r="B11" s="39"/>
      <c r="C11" s="40">
        <v>0.7</v>
      </c>
      <c r="D11" s="50">
        <v>4.0</v>
      </c>
      <c r="E11" s="41">
        <v>1.0</v>
      </c>
      <c r="F11" s="41">
        <f>Max!$B$3*C11</f>
        <v>70</v>
      </c>
      <c r="G11" s="51">
        <f t="shared" ref="G11:G12" si="3">D11*E11</f>
        <v>4</v>
      </c>
      <c r="H11" s="52">
        <f t="shared" ref="H11:H13" si="4">F11*G11</f>
        <v>280</v>
      </c>
      <c r="I11" s="51"/>
      <c r="J11" s="52"/>
      <c r="K11" s="51"/>
      <c r="L11" s="53"/>
      <c r="M11" s="6">
        <f>G11</f>
        <v>4</v>
      </c>
      <c r="N11" s="6">
        <f>G12</f>
        <v>8</v>
      </c>
      <c r="O11" s="6">
        <f>G13</f>
        <v>27</v>
      </c>
      <c r="P11" s="3"/>
      <c r="Q11" s="3"/>
      <c r="R11" s="3"/>
      <c r="S11" s="3"/>
      <c r="T11" s="3"/>
      <c r="U11" s="3"/>
      <c r="V11" s="3"/>
      <c r="W11" s="3"/>
      <c r="X11" s="3"/>
      <c r="Y11" s="3"/>
      <c r="Z11" s="3"/>
      <c r="AA11" s="3"/>
      <c r="AB11" s="3"/>
      <c r="AC11" s="3"/>
      <c r="AD11" s="38">
        <v>2.0</v>
      </c>
      <c r="AE11" s="39" t="s">
        <v>42</v>
      </c>
      <c r="AF11" s="40">
        <v>0.5</v>
      </c>
      <c r="AG11" s="50">
        <v>5.0</v>
      </c>
      <c r="AH11" s="50">
        <v>1.0</v>
      </c>
      <c r="AI11" s="41">
        <f>Max!$B$3*AF11</f>
        <v>50</v>
      </c>
      <c r="AJ11" s="3"/>
      <c r="AK11" s="45">
        <v>2.0</v>
      </c>
      <c r="AL11" s="46" t="s">
        <v>43</v>
      </c>
      <c r="AM11" s="47">
        <v>0.55</v>
      </c>
      <c r="AN11" s="48">
        <v>5.0</v>
      </c>
      <c r="AO11" s="49">
        <v>1.0</v>
      </c>
      <c r="AP11" s="49">
        <f>Max!$B$4*AM11</f>
        <v>55</v>
      </c>
      <c r="AQ11" s="3"/>
      <c r="AR11" s="38"/>
      <c r="AS11" s="39"/>
      <c r="AT11" s="40">
        <v>0.9</v>
      </c>
      <c r="AU11" s="50">
        <v>1.0</v>
      </c>
      <c r="AV11" s="41">
        <v>1.0</v>
      </c>
      <c r="AW11" s="41">
        <f>Max!$B$3*AT11</f>
        <v>90</v>
      </c>
      <c r="AX11" s="3"/>
      <c r="AY11" s="3"/>
      <c r="AZ11" s="3"/>
      <c r="BA11" s="3"/>
      <c r="BB11" s="3"/>
      <c r="BC11" s="3"/>
      <c r="BD11" s="3"/>
      <c r="BE11" s="3"/>
      <c r="BF11" s="3"/>
      <c r="BG11" s="3"/>
    </row>
    <row r="12" ht="12.75" customHeight="1">
      <c r="A12" s="38"/>
      <c r="B12" s="39"/>
      <c r="C12" s="40">
        <v>0.7</v>
      </c>
      <c r="D12" s="50">
        <v>8.0</v>
      </c>
      <c r="E12" s="41">
        <v>1.0</v>
      </c>
      <c r="F12" s="41">
        <f>Max!$B$3*C12</f>
        <v>70</v>
      </c>
      <c r="G12" s="51">
        <f t="shared" si="3"/>
        <v>8</v>
      </c>
      <c r="H12" s="52">
        <f t="shared" si="4"/>
        <v>560</v>
      </c>
      <c r="I12" s="51"/>
      <c r="J12" s="52"/>
      <c r="K12" s="51"/>
      <c r="L12" s="53"/>
      <c r="M12" s="3"/>
      <c r="N12" s="3"/>
      <c r="O12" s="3"/>
      <c r="P12" s="3"/>
      <c r="Q12" s="3"/>
      <c r="R12" s="3"/>
      <c r="S12" s="3"/>
      <c r="T12" s="3"/>
      <c r="U12" s="3"/>
      <c r="V12" s="3"/>
      <c r="W12" s="3"/>
      <c r="X12" s="3"/>
      <c r="Y12" s="3"/>
      <c r="Z12" s="3"/>
      <c r="AA12" s="3"/>
      <c r="AB12" s="3"/>
      <c r="AC12" s="3"/>
      <c r="AD12" s="38"/>
      <c r="AE12" s="39"/>
      <c r="AF12" s="40">
        <v>0.6</v>
      </c>
      <c r="AG12" s="50">
        <v>4.0</v>
      </c>
      <c r="AH12" s="50">
        <v>1.0</v>
      </c>
      <c r="AI12" s="41">
        <f>Max!$B$3*AF12</f>
        <v>60</v>
      </c>
      <c r="AJ12" s="3"/>
      <c r="AK12" s="45"/>
      <c r="AL12" s="46"/>
      <c r="AM12" s="47">
        <v>0.65</v>
      </c>
      <c r="AN12" s="48">
        <v>4.0</v>
      </c>
      <c r="AO12" s="49">
        <v>1.0</v>
      </c>
      <c r="AP12" s="49">
        <f>Max!$B$4*AM12</f>
        <v>65</v>
      </c>
      <c r="AQ12" s="3"/>
      <c r="AR12" s="38"/>
      <c r="AS12" s="39"/>
      <c r="AT12" s="40">
        <v>0.95</v>
      </c>
      <c r="AU12" s="50">
        <v>1.0</v>
      </c>
      <c r="AV12" s="41">
        <v>1.0</v>
      </c>
      <c r="AW12" s="41">
        <f>Max!$B$3*AT12</f>
        <v>95</v>
      </c>
      <c r="AX12" s="3"/>
      <c r="AY12" s="3"/>
      <c r="AZ12" s="3"/>
      <c r="BA12" s="3"/>
      <c r="BB12" s="3"/>
      <c r="BC12" s="3"/>
      <c r="BD12" s="3"/>
      <c r="BE12" s="3"/>
      <c r="BF12" s="3"/>
      <c r="BG12" s="3"/>
    </row>
    <row r="13" ht="12.75" customHeight="1">
      <c r="A13" s="38"/>
      <c r="B13" s="39"/>
      <c r="C13" s="40">
        <v>0.7</v>
      </c>
      <c r="D13" s="50">
        <v>2.0</v>
      </c>
      <c r="E13" s="41">
        <v>1.0</v>
      </c>
      <c r="F13" s="41">
        <f>Max!$B$3*C13</f>
        <v>70</v>
      </c>
      <c r="G13" s="51">
        <v>27.0</v>
      </c>
      <c r="H13" s="52">
        <f t="shared" si="4"/>
        <v>1890</v>
      </c>
      <c r="I13" s="51"/>
      <c r="J13" s="52"/>
      <c r="K13" s="51"/>
      <c r="L13" s="53"/>
      <c r="M13" s="3"/>
      <c r="N13" s="3"/>
      <c r="O13" s="3"/>
      <c r="P13" s="3"/>
      <c r="Q13" s="3"/>
      <c r="R13" s="3"/>
      <c r="S13" s="3"/>
      <c r="T13" s="3"/>
      <c r="U13" s="3"/>
      <c r="V13" s="3"/>
      <c r="W13" s="3"/>
      <c r="X13" s="3"/>
      <c r="Y13" s="3"/>
      <c r="Z13" s="3"/>
      <c r="AA13" s="3"/>
      <c r="AB13" s="3"/>
      <c r="AC13" s="3"/>
      <c r="AD13" s="38"/>
      <c r="AE13" s="39"/>
      <c r="AF13" s="40">
        <v>0.7</v>
      </c>
      <c r="AG13" s="50">
        <v>3.0</v>
      </c>
      <c r="AH13" s="41">
        <v>1.0</v>
      </c>
      <c r="AI13" s="41">
        <f>Max!$B$3*AF13</f>
        <v>70</v>
      </c>
      <c r="AJ13" s="3"/>
      <c r="AK13" s="45"/>
      <c r="AL13" s="46"/>
      <c r="AM13" s="47">
        <v>0.75</v>
      </c>
      <c r="AN13" s="48">
        <v>3.0</v>
      </c>
      <c r="AO13" s="49">
        <v>1.0</v>
      </c>
      <c r="AP13" s="49">
        <f>Max!$B$4*AM13</f>
        <v>75</v>
      </c>
      <c r="AQ13" s="3"/>
      <c r="AR13" s="38"/>
      <c r="AS13" s="39"/>
      <c r="AT13" s="40">
        <v>1.0</v>
      </c>
      <c r="AU13" s="50">
        <v>1.0</v>
      </c>
      <c r="AV13" s="41">
        <v>1.0</v>
      </c>
      <c r="AW13" s="41">
        <f>Max!$B$3*AT13</f>
        <v>100</v>
      </c>
      <c r="AX13" s="3"/>
      <c r="AY13" s="3"/>
      <c r="AZ13" s="3"/>
      <c r="BA13" s="3"/>
      <c r="BB13" s="3"/>
      <c r="BC13" s="3"/>
      <c r="BD13" s="3"/>
      <c r="BE13" s="3"/>
      <c r="BF13" s="3"/>
      <c r="BG13" s="3"/>
    </row>
    <row r="14" ht="12.75" customHeight="1">
      <c r="A14" s="38"/>
      <c r="B14" s="39"/>
      <c r="C14" s="40">
        <v>0.7</v>
      </c>
      <c r="D14" s="50">
        <v>5.0</v>
      </c>
      <c r="E14" s="41">
        <v>1.0</v>
      </c>
      <c r="F14" s="41">
        <f>Max!$B$3*C14</f>
        <v>70</v>
      </c>
      <c r="G14" s="51"/>
      <c r="H14" s="52"/>
      <c r="I14" s="51">
        <f t="shared" ref="I14:I16" si="5">D14*E14</f>
        <v>5</v>
      </c>
      <c r="J14" s="52">
        <f t="shared" ref="J14:J16" si="6">F14*I14</f>
        <v>350</v>
      </c>
      <c r="K14" s="51"/>
      <c r="L14" s="53"/>
      <c r="M14" s="3"/>
      <c r="N14" s="3"/>
      <c r="O14" s="3"/>
      <c r="P14" s="3"/>
      <c r="Q14" s="3"/>
      <c r="R14" s="6">
        <f>I14</f>
        <v>5</v>
      </c>
      <c r="S14" s="6">
        <f>I15</f>
        <v>5</v>
      </c>
      <c r="T14" s="6">
        <f>I16</f>
        <v>4</v>
      </c>
      <c r="U14" s="3">
        <v>0.0</v>
      </c>
      <c r="V14" s="3">
        <v>0.0</v>
      </c>
      <c r="W14" s="3"/>
      <c r="X14" s="3"/>
      <c r="Y14" s="3"/>
      <c r="Z14" s="3"/>
      <c r="AA14" s="3"/>
      <c r="AB14" s="3"/>
      <c r="AC14" s="3"/>
      <c r="AD14" s="38"/>
      <c r="AE14" s="39"/>
      <c r="AF14" s="40">
        <v>0.8</v>
      </c>
      <c r="AG14" s="50">
        <v>2.0</v>
      </c>
      <c r="AH14" s="41">
        <v>4.0</v>
      </c>
      <c r="AI14" s="41">
        <f>Max!$B$3*AF14</f>
        <v>80</v>
      </c>
      <c r="AJ14" s="3"/>
      <c r="AK14" s="45"/>
      <c r="AL14" s="46"/>
      <c r="AM14" s="47">
        <v>0.85</v>
      </c>
      <c r="AN14" s="48">
        <v>2.0</v>
      </c>
      <c r="AO14" s="49">
        <v>4.0</v>
      </c>
      <c r="AP14" s="49">
        <f>Max!$B$4*AM14</f>
        <v>85</v>
      </c>
      <c r="AQ14" s="3"/>
      <c r="AR14" s="38"/>
      <c r="AS14" s="39"/>
      <c r="AT14" s="40">
        <v>1.05</v>
      </c>
      <c r="AU14" s="50">
        <v>1.0</v>
      </c>
      <c r="AV14" s="41">
        <v>1.0</v>
      </c>
      <c r="AW14" s="41">
        <f>Max!$B$3*AT14</f>
        <v>105</v>
      </c>
      <c r="AX14" s="3"/>
      <c r="AY14" s="3"/>
      <c r="AZ14" s="3"/>
      <c r="BA14" s="3"/>
      <c r="BB14" s="3"/>
      <c r="BC14" s="3"/>
      <c r="BD14" s="3"/>
      <c r="BE14" s="3"/>
      <c r="BF14" s="3"/>
      <c r="BG14" s="3"/>
    </row>
    <row r="15" ht="12.75" customHeight="1">
      <c r="A15" s="45">
        <v>2.0</v>
      </c>
      <c r="B15" s="46" t="s">
        <v>43</v>
      </c>
      <c r="C15" s="47">
        <v>0.5</v>
      </c>
      <c r="D15" s="49">
        <v>5.0</v>
      </c>
      <c r="E15" s="49">
        <v>1.0</v>
      </c>
      <c r="F15" s="49">
        <f>Max!$B$4*C15</f>
        <v>50</v>
      </c>
      <c r="G15" s="51"/>
      <c r="H15" s="52"/>
      <c r="I15" s="51">
        <f t="shared" si="5"/>
        <v>5</v>
      </c>
      <c r="J15" s="52">
        <f t="shared" si="6"/>
        <v>250</v>
      </c>
      <c r="K15" s="51"/>
      <c r="L15" s="53"/>
      <c r="M15" s="3"/>
      <c r="N15" s="3"/>
      <c r="O15" s="3"/>
      <c r="P15" s="3"/>
      <c r="Q15" s="3"/>
      <c r="R15" s="3"/>
      <c r="S15" s="3"/>
      <c r="T15" s="3"/>
      <c r="U15" s="3"/>
      <c r="V15" s="3"/>
      <c r="W15" s="3"/>
      <c r="X15" s="3"/>
      <c r="Y15" s="3"/>
      <c r="Z15" s="3"/>
      <c r="AA15" s="3"/>
      <c r="AB15" s="3"/>
      <c r="AC15" s="3"/>
      <c r="AD15" s="45">
        <v>3.0</v>
      </c>
      <c r="AE15" s="46" t="s">
        <v>43</v>
      </c>
      <c r="AF15" s="47">
        <v>0.5</v>
      </c>
      <c r="AG15" s="48">
        <v>3.0</v>
      </c>
      <c r="AH15" s="49">
        <v>1.0</v>
      </c>
      <c r="AI15" s="49">
        <f>Max!$B$4*AF15</f>
        <v>50</v>
      </c>
      <c r="AJ15" s="3"/>
      <c r="AK15" s="56">
        <v>3.0</v>
      </c>
      <c r="AL15" s="80" t="s">
        <v>44</v>
      </c>
      <c r="AM15" s="58">
        <v>0.65</v>
      </c>
      <c r="AN15" s="55">
        <v>8.0</v>
      </c>
      <c r="AO15" s="55">
        <v>5.0</v>
      </c>
      <c r="AP15" s="55"/>
      <c r="AQ15" s="3"/>
      <c r="AR15" s="45">
        <v>2.0</v>
      </c>
      <c r="AS15" s="46" t="s">
        <v>43</v>
      </c>
      <c r="AT15" s="47">
        <v>0.5</v>
      </c>
      <c r="AU15" s="48">
        <v>5.0</v>
      </c>
      <c r="AV15" s="49">
        <v>1.0</v>
      </c>
      <c r="AW15" s="49">
        <f>Max!$B$4*AT15</f>
        <v>50</v>
      </c>
      <c r="AX15" s="3"/>
      <c r="AY15" s="3"/>
      <c r="AZ15" s="3"/>
      <c r="BA15" s="3"/>
      <c r="BB15" s="3"/>
      <c r="BC15" s="3"/>
      <c r="BD15" s="3"/>
      <c r="BE15" s="3"/>
      <c r="BF15" s="3"/>
      <c r="BG15" s="3"/>
    </row>
    <row r="16" ht="12.75" customHeight="1">
      <c r="A16" s="45"/>
      <c r="B16" s="46"/>
      <c r="C16" s="47">
        <v>0.6</v>
      </c>
      <c r="D16" s="49">
        <v>4.0</v>
      </c>
      <c r="E16" s="49">
        <v>1.0</v>
      </c>
      <c r="F16" s="49">
        <f>Max!$B$4*C16</f>
        <v>60</v>
      </c>
      <c r="G16" s="51"/>
      <c r="H16" s="52"/>
      <c r="I16" s="51">
        <f t="shared" si="5"/>
        <v>4</v>
      </c>
      <c r="J16" s="52">
        <f t="shared" si="6"/>
        <v>240</v>
      </c>
      <c r="K16" s="51"/>
      <c r="L16" s="53"/>
      <c r="M16" s="3"/>
      <c r="N16" s="3"/>
      <c r="O16" s="3"/>
      <c r="P16" s="3"/>
      <c r="Q16" s="3"/>
      <c r="R16" s="3"/>
      <c r="S16" s="3"/>
      <c r="T16" s="3"/>
      <c r="U16" s="3"/>
      <c r="V16" s="3"/>
      <c r="W16" s="3"/>
      <c r="X16" s="3"/>
      <c r="Y16" s="3"/>
      <c r="Z16" s="3"/>
      <c r="AA16" s="3"/>
      <c r="AB16" s="3"/>
      <c r="AC16" s="3"/>
      <c r="AD16" s="45"/>
      <c r="AE16" s="46"/>
      <c r="AF16" s="47">
        <v>0.6</v>
      </c>
      <c r="AG16" s="48">
        <v>3.0</v>
      </c>
      <c r="AH16" s="49">
        <v>1.0</v>
      </c>
      <c r="AI16" s="49">
        <f>Max!$B$4*AF16</f>
        <v>60</v>
      </c>
      <c r="AJ16" s="3"/>
      <c r="AK16" s="56">
        <v>4.0</v>
      </c>
      <c r="AL16" s="65" t="s">
        <v>69</v>
      </c>
      <c r="AM16" s="58">
        <v>0.7</v>
      </c>
      <c r="AN16" s="55">
        <v>6.0</v>
      </c>
      <c r="AO16" s="55">
        <v>5.0</v>
      </c>
      <c r="AP16" s="55"/>
      <c r="AQ16" s="3"/>
      <c r="AR16" s="45"/>
      <c r="AS16" s="46"/>
      <c r="AT16" s="47">
        <v>0.6</v>
      </c>
      <c r="AU16" s="48">
        <v>4.0</v>
      </c>
      <c r="AV16" s="49">
        <v>1.0</v>
      </c>
      <c r="AW16" s="49">
        <f>Max!$B$4*AT16</f>
        <v>60</v>
      </c>
      <c r="AX16" s="3"/>
      <c r="AY16" s="3"/>
      <c r="AZ16" s="3"/>
      <c r="BA16" s="3"/>
      <c r="BB16" s="3"/>
      <c r="BC16" s="3"/>
      <c r="BD16" s="3"/>
      <c r="BE16" s="3"/>
      <c r="BF16" s="3"/>
      <c r="BG16" s="3"/>
    </row>
    <row r="17" ht="12.75" customHeight="1">
      <c r="A17" s="45"/>
      <c r="B17" s="46"/>
      <c r="C17" s="47">
        <v>0.7</v>
      </c>
      <c r="D17" s="49">
        <v>3.0</v>
      </c>
      <c r="E17" s="49">
        <v>1.0</v>
      </c>
      <c r="F17" s="49">
        <f>Max!$B$4*C17</f>
        <v>70</v>
      </c>
      <c r="G17" s="51"/>
      <c r="H17" s="52"/>
      <c r="I17" s="51"/>
      <c r="J17" s="52"/>
      <c r="K17" s="51"/>
      <c r="L17" s="53"/>
      <c r="M17" s="3"/>
      <c r="N17" s="3"/>
      <c r="O17" s="3"/>
      <c r="P17" s="3"/>
      <c r="Q17" s="3"/>
      <c r="R17" s="3"/>
      <c r="S17" s="3"/>
      <c r="T17" s="3"/>
      <c r="U17" s="3"/>
      <c r="V17" s="3"/>
      <c r="W17" s="3"/>
      <c r="X17" s="3"/>
      <c r="Y17" s="3"/>
      <c r="Z17" s="3"/>
      <c r="AA17" s="3"/>
      <c r="AB17" s="3"/>
      <c r="AC17" s="3"/>
      <c r="AD17" s="45"/>
      <c r="AE17" s="46"/>
      <c r="AF17" s="47">
        <v>0.7</v>
      </c>
      <c r="AG17" s="48">
        <v>3.0</v>
      </c>
      <c r="AH17" s="49">
        <v>1.0</v>
      </c>
      <c r="AI17" s="49">
        <f>Max!$B$4*AF17</f>
        <v>70</v>
      </c>
      <c r="AJ17" s="3"/>
      <c r="AK17" s="56">
        <v>5.0</v>
      </c>
      <c r="AL17" s="65" t="s">
        <v>59</v>
      </c>
      <c r="AM17" s="58">
        <v>0.75</v>
      </c>
      <c r="AN17" s="55">
        <v>5.0</v>
      </c>
      <c r="AO17" s="55">
        <v>5.0</v>
      </c>
      <c r="AP17" s="55"/>
      <c r="AQ17" s="3"/>
      <c r="AR17" s="45"/>
      <c r="AS17" s="46"/>
      <c r="AT17" s="47">
        <v>0.7</v>
      </c>
      <c r="AU17" s="48">
        <v>3.0</v>
      </c>
      <c r="AV17" s="49">
        <v>1.0</v>
      </c>
      <c r="AW17" s="49">
        <f>Max!$B$4*AT17</f>
        <v>70</v>
      </c>
      <c r="AX17" s="3"/>
      <c r="AY17" s="3"/>
      <c r="AZ17" s="3"/>
      <c r="BA17" s="3"/>
      <c r="BB17" s="3"/>
      <c r="BC17" s="3"/>
      <c r="BD17" s="3"/>
      <c r="BE17" s="3"/>
      <c r="BF17" s="3"/>
      <c r="BG17" s="3"/>
    </row>
    <row r="18" ht="12.75" customHeight="1">
      <c r="A18" s="45"/>
      <c r="B18" s="46"/>
      <c r="C18" s="47">
        <v>0.8</v>
      </c>
      <c r="D18" s="49">
        <v>2.0</v>
      </c>
      <c r="E18" s="49">
        <v>5.0</v>
      </c>
      <c r="F18" s="49">
        <f>Max!$B$4*C18</f>
        <v>80</v>
      </c>
      <c r="G18" s="51"/>
      <c r="H18" s="52"/>
      <c r="I18" s="51"/>
      <c r="J18" s="52"/>
      <c r="K18" s="51"/>
      <c r="L18" s="53"/>
      <c r="M18" s="3"/>
      <c r="N18" s="3"/>
      <c r="O18" s="3"/>
      <c r="P18" s="3"/>
      <c r="Q18" s="3"/>
      <c r="R18" s="3"/>
      <c r="S18" s="3"/>
      <c r="T18" s="3"/>
      <c r="U18" s="3"/>
      <c r="V18" s="3"/>
      <c r="W18" s="3"/>
      <c r="X18" s="3"/>
      <c r="Y18" s="3"/>
      <c r="Z18" s="3"/>
      <c r="AA18" s="3"/>
      <c r="AB18" s="3"/>
      <c r="AC18" s="3"/>
      <c r="AD18" s="45"/>
      <c r="AE18" s="46"/>
      <c r="AF18" s="47">
        <v>0.8</v>
      </c>
      <c r="AG18" s="48">
        <v>2.0</v>
      </c>
      <c r="AH18" s="49">
        <v>4.0</v>
      </c>
      <c r="AI18" s="49">
        <f>Max!$B$4*AF18</f>
        <v>80</v>
      </c>
      <c r="AJ18" s="3"/>
      <c r="AK18" s="3"/>
      <c r="AL18" s="3"/>
      <c r="AM18" s="3"/>
      <c r="AN18" s="3"/>
      <c r="AO18" s="3"/>
      <c r="AP18" s="3"/>
      <c r="AQ18" s="3"/>
      <c r="AR18" s="45"/>
      <c r="AS18" s="46"/>
      <c r="AT18" s="47">
        <v>0.75</v>
      </c>
      <c r="AU18" s="48">
        <v>2.0</v>
      </c>
      <c r="AV18" s="49">
        <v>3.0</v>
      </c>
      <c r="AW18" s="49">
        <f>Max!$B$4*AT18</f>
        <v>75</v>
      </c>
      <c r="AX18" s="3"/>
      <c r="AY18" s="3"/>
      <c r="AZ18" s="3"/>
      <c r="BA18" s="3"/>
      <c r="BB18" s="3"/>
      <c r="BC18" s="3"/>
      <c r="BD18" s="3"/>
      <c r="BE18" s="3"/>
      <c r="BF18" s="3"/>
      <c r="BG18" s="3"/>
    </row>
    <row r="19" ht="12.75" customHeight="1">
      <c r="A19" s="60">
        <v>3.0</v>
      </c>
      <c r="B19" s="80" t="s">
        <v>44</v>
      </c>
      <c r="C19" s="61">
        <v>0.65</v>
      </c>
      <c r="D19" s="62">
        <v>8.0</v>
      </c>
      <c r="E19" s="63">
        <v>5.0</v>
      </c>
      <c r="F19" s="63"/>
      <c r="G19" s="51"/>
      <c r="H19" s="52"/>
      <c r="I19" s="51"/>
      <c r="J19" s="52"/>
      <c r="K19" s="51"/>
      <c r="L19" s="53"/>
      <c r="M19" s="3"/>
      <c r="N19" s="3"/>
      <c r="O19" s="3"/>
      <c r="P19" s="3"/>
      <c r="Q19" s="3"/>
      <c r="R19" s="3"/>
      <c r="S19" s="3"/>
      <c r="T19" s="3"/>
      <c r="U19" s="3"/>
      <c r="V19" s="3"/>
      <c r="W19" s="3"/>
      <c r="X19" s="3"/>
      <c r="Y19" s="3"/>
      <c r="Z19" s="3"/>
      <c r="AA19" s="3"/>
      <c r="AB19" s="3"/>
      <c r="AC19" s="3"/>
      <c r="AD19" s="56">
        <v>4.0</v>
      </c>
      <c r="AE19" s="80" t="s">
        <v>44</v>
      </c>
      <c r="AF19" s="58">
        <v>0.65</v>
      </c>
      <c r="AG19" s="55">
        <v>8.0</v>
      </c>
      <c r="AH19" s="55">
        <v>5.0</v>
      </c>
      <c r="AI19" s="55"/>
      <c r="AJ19" s="3"/>
      <c r="AK19" s="28" t="s">
        <v>49</v>
      </c>
      <c r="AL19" s="28"/>
      <c r="AM19" s="37" t="s">
        <v>33</v>
      </c>
      <c r="AN19" s="26" t="s">
        <v>34</v>
      </c>
      <c r="AO19" s="26" t="s">
        <v>35</v>
      </c>
      <c r="AP19" s="26" t="s">
        <v>36</v>
      </c>
      <c r="AQ19" s="3"/>
      <c r="AR19" s="56">
        <v>3.0</v>
      </c>
      <c r="AS19" s="80" t="s">
        <v>44</v>
      </c>
      <c r="AT19" s="58">
        <v>0.6</v>
      </c>
      <c r="AU19" s="55">
        <v>10.0</v>
      </c>
      <c r="AV19" s="55">
        <v>5.0</v>
      </c>
      <c r="AW19" s="55"/>
      <c r="AX19" s="3"/>
      <c r="AY19" s="3"/>
      <c r="AZ19" s="3"/>
      <c r="BA19" s="3"/>
      <c r="BB19" s="3"/>
      <c r="BC19" s="3"/>
      <c r="BD19" s="3"/>
      <c r="BE19" s="3"/>
      <c r="BF19" s="3"/>
      <c r="BG19" s="3"/>
    </row>
    <row r="20" ht="12.75" customHeight="1">
      <c r="A20" s="64">
        <v>4.0</v>
      </c>
      <c r="B20" s="65" t="s">
        <v>54</v>
      </c>
      <c r="C20" s="66">
        <v>0.7</v>
      </c>
      <c r="D20" s="67">
        <v>6.0</v>
      </c>
      <c r="E20" s="68">
        <v>5.0</v>
      </c>
      <c r="F20" s="68"/>
      <c r="G20" s="51"/>
      <c r="H20" s="52"/>
      <c r="I20" s="51"/>
      <c r="J20" s="52"/>
      <c r="K20" s="51"/>
      <c r="L20" s="53"/>
      <c r="M20" s="3"/>
      <c r="N20" s="3"/>
      <c r="O20" s="3"/>
      <c r="P20" s="3"/>
      <c r="Q20" s="3"/>
      <c r="R20" s="3"/>
      <c r="S20" s="3"/>
      <c r="T20" s="3"/>
      <c r="U20" s="3"/>
      <c r="V20" s="3"/>
      <c r="W20" s="3"/>
      <c r="X20" s="3"/>
      <c r="Y20" s="3"/>
      <c r="Z20" s="3"/>
      <c r="AA20" s="3"/>
      <c r="AB20" s="3"/>
      <c r="AC20" s="3"/>
      <c r="AD20" s="56">
        <v>5.0</v>
      </c>
      <c r="AE20" s="65" t="s">
        <v>47</v>
      </c>
      <c r="AF20" s="58">
        <v>0.75</v>
      </c>
      <c r="AG20" s="55">
        <v>5.0</v>
      </c>
      <c r="AH20" s="55">
        <v>5.0</v>
      </c>
      <c r="AI20" s="55"/>
      <c r="AJ20" s="3"/>
      <c r="AK20" s="69">
        <v>1.0</v>
      </c>
      <c r="AL20" s="70" t="s">
        <v>53</v>
      </c>
      <c r="AM20" s="71">
        <v>0.5</v>
      </c>
      <c r="AN20" s="73">
        <v>3.0</v>
      </c>
      <c r="AO20" s="72">
        <v>1.0</v>
      </c>
      <c r="AP20" s="72">
        <f>Max!$B$5*AM20</f>
        <v>50</v>
      </c>
      <c r="AQ20" s="3"/>
      <c r="AR20" s="64">
        <v>4.0</v>
      </c>
      <c r="AS20" s="65" t="s">
        <v>70</v>
      </c>
      <c r="AT20" s="66">
        <v>0.65</v>
      </c>
      <c r="AU20" s="67">
        <v>8.0</v>
      </c>
      <c r="AV20" s="68">
        <v>4.0</v>
      </c>
      <c r="AW20" s="68"/>
      <c r="AX20" s="3"/>
      <c r="AY20" s="3"/>
      <c r="AZ20" s="3"/>
      <c r="BA20" s="3"/>
      <c r="BB20" s="3"/>
      <c r="BC20" s="3"/>
      <c r="BD20" s="3"/>
      <c r="BE20" s="3"/>
      <c r="BF20" s="3"/>
      <c r="BG20" s="3"/>
    </row>
    <row r="21" ht="12.75" customHeight="1">
      <c r="A21" s="64">
        <v>5.0</v>
      </c>
      <c r="B21" s="65" t="s">
        <v>59</v>
      </c>
      <c r="C21" s="66">
        <v>0.65</v>
      </c>
      <c r="D21" s="67">
        <v>8.0</v>
      </c>
      <c r="E21" s="68">
        <v>4.0</v>
      </c>
      <c r="F21" s="68"/>
      <c r="G21" s="51"/>
      <c r="H21" s="52"/>
      <c r="I21" s="51"/>
      <c r="J21" s="52"/>
      <c r="K21" s="51"/>
      <c r="L21" s="53"/>
      <c r="M21" s="3"/>
      <c r="N21" s="3"/>
      <c r="O21" s="3"/>
      <c r="P21" s="3"/>
      <c r="Q21" s="3"/>
      <c r="R21" s="3"/>
      <c r="S21" s="3"/>
      <c r="T21" s="3"/>
      <c r="U21" s="3"/>
      <c r="V21" s="3"/>
      <c r="W21" s="3"/>
      <c r="X21" s="3"/>
      <c r="Y21" s="3"/>
      <c r="Z21" s="3"/>
      <c r="AA21" s="3"/>
      <c r="AB21" s="3"/>
      <c r="AC21" s="3"/>
      <c r="AD21" s="28"/>
      <c r="AE21" s="57"/>
      <c r="AF21" s="36"/>
      <c r="AG21" s="13"/>
      <c r="AH21" s="13"/>
      <c r="AI21" s="13"/>
      <c r="AJ21" s="3"/>
      <c r="AK21" s="69"/>
      <c r="AL21" s="70"/>
      <c r="AM21" s="71">
        <v>0.6</v>
      </c>
      <c r="AN21" s="73">
        <v>3.0</v>
      </c>
      <c r="AO21" s="72">
        <v>1.0</v>
      </c>
      <c r="AP21" s="72">
        <f>Max!$B$5*AM21</f>
        <v>60</v>
      </c>
      <c r="AQ21" s="3"/>
      <c r="AR21" s="28"/>
      <c r="AS21" s="57"/>
      <c r="AT21" s="36"/>
      <c r="AU21" s="13"/>
      <c r="AV21" s="13"/>
      <c r="AW21" s="13"/>
      <c r="AX21" s="3"/>
      <c r="AY21" s="3"/>
      <c r="AZ21" s="3"/>
      <c r="BA21" s="3"/>
      <c r="BB21" s="3"/>
      <c r="BC21" s="3"/>
      <c r="BD21" s="3"/>
      <c r="BE21" s="3"/>
      <c r="BF21" s="3"/>
      <c r="BG21" s="3"/>
    </row>
    <row r="22" ht="12.75" customHeight="1">
      <c r="A22" s="3"/>
      <c r="B22" s="3"/>
      <c r="C22" s="3"/>
      <c r="D22" s="3"/>
      <c r="E22" s="3"/>
      <c r="F22" s="3"/>
      <c r="G22" s="51"/>
      <c r="H22" s="52"/>
      <c r="I22" s="51"/>
      <c r="J22" s="52"/>
      <c r="K22" s="51" t="str">
        <f t="shared" ref="K22:K25" si="7">D23*E23</f>
        <v>#VALUE!</v>
      </c>
      <c r="L22" s="53" t="str">
        <f t="shared" ref="L22:L25" si="8">F23*K22</f>
        <v>#VALUE!</v>
      </c>
      <c r="M22" s="3"/>
      <c r="N22" s="3"/>
      <c r="O22" s="3"/>
      <c r="P22" s="3"/>
      <c r="Q22" s="3"/>
      <c r="R22" s="3"/>
      <c r="S22" s="3"/>
      <c r="T22" s="3"/>
      <c r="U22" s="3"/>
      <c r="V22" s="3"/>
      <c r="W22" s="6" t="str">
        <f>K22</f>
        <v>#VALUE!</v>
      </c>
      <c r="X22" s="6">
        <f>K23</f>
        <v>3</v>
      </c>
      <c r="Y22" s="6">
        <f>K24</f>
        <v>3</v>
      </c>
      <c r="Z22" s="6">
        <f>K25</f>
        <v>3</v>
      </c>
      <c r="AA22" s="3"/>
      <c r="AB22" s="3"/>
      <c r="AC22" s="3"/>
      <c r="AD22" s="28" t="s">
        <v>49</v>
      </c>
      <c r="AF22" s="37" t="s">
        <v>33</v>
      </c>
      <c r="AG22" s="26" t="s">
        <v>34</v>
      </c>
      <c r="AH22" s="26" t="s">
        <v>35</v>
      </c>
      <c r="AI22" s="26" t="s">
        <v>36</v>
      </c>
      <c r="AJ22" s="3"/>
      <c r="AK22" s="69"/>
      <c r="AL22" s="70"/>
      <c r="AM22" s="71">
        <v>0.7</v>
      </c>
      <c r="AN22" s="73">
        <v>3.0</v>
      </c>
      <c r="AO22" s="72">
        <v>1.0</v>
      </c>
      <c r="AP22" s="72">
        <f>Max!$B$5*AM22</f>
        <v>70</v>
      </c>
      <c r="AQ22" s="3"/>
      <c r="AR22" s="28" t="s">
        <v>49</v>
      </c>
      <c r="AS22" s="3"/>
      <c r="AT22" s="37" t="s">
        <v>33</v>
      </c>
      <c r="AU22" s="26" t="s">
        <v>34</v>
      </c>
      <c r="AV22" s="26" t="s">
        <v>35</v>
      </c>
      <c r="AW22" s="26" t="s">
        <v>36</v>
      </c>
      <c r="AX22" s="3"/>
      <c r="AY22" s="3"/>
      <c r="AZ22" s="3"/>
      <c r="BA22" s="3"/>
      <c r="BB22" s="3"/>
      <c r="BC22" s="3"/>
      <c r="BD22" s="3"/>
      <c r="BE22" s="3"/>
      <c r="BF22" s="3"/>
      <c r="BG22" s="3"/>
    </row>
    <row r="23" ht="12.75" customHeight="1">
      <c r="A23" s="28" t="s">
        <v>49</v>
      </c>
      <c r="B23" s="3"/>
      <c r="C23" s="37" t="s">
        <v>33</v>
      </c>
      <c r="D23" s="26" t="s">
        <v>34</v>
      </c>
      <c r="E23" s="26" t="s">
        <v>35</v>
      </c>
      <c r="F23" s="26" t="s">
        <v>36</v>
      </c>
      <c r="G23" s="51"/>
      <c r="H23" s="52"/>
      <c r="I23" s="51"/>
      <c r="J23" s="52"/>
      <c r="K23" s="51">
        <f t="shared" si="7"/>
        <v>3</v>
      </c>
      <c r="L23" s="53">
        <f t="shared" si="8"/>
        <v>150</v>
      </c>
      <c r="M23" s="3"/>
      <c r="N23" s="3"/>
      <c r="O23" s="3"/>
      <c r="P23" s="3"/>
      <c r="Q23" s="3"/>
      <c r="R23" s="3"/>
      <c r="S23" s="3"/>
      <c r="T23" s="3"/>
      <c r="U23" s="3"/>
      <c r="V23" s="3"/>
      <c r="W23" s="3"/>
      <c r="X23" s="3"/>
      <c r="Y23" s="3"/>
      <c r="Z23" s="3"/>
      <c r="AA23" s="3"/>
      <c r="AB23" s="3"/>
      <c r="AC23" s="3"/>
      <c r="AD23" s="69">
        <v>1.0</v>
      </c>
      <c r="AE23" s="70" t="s">
        <v>52</v>
      </c>
      <c r="AF23" s="71">
        <v>0.5</v>
      </c>
      <c r="AG23" s="72">
        <v>3.0</v>
      </c>
      <c r="AH23" s="72">
        <v>1.0</v>
      </c>
      <c r="AI23" s="72">
        <f>Max!$B$5*AF23</f>
        <v>50</v>
      </c>
      <c r="AJ23" s="3"/>
      <c r="AK23" s="69"/>
      <c r="AL23" s="70"/>
      <c r="AM23" s="71">
        <v>0.75</v>
      </c>
      <c r="AN23" s="73">
        <v>2.0</v>
      </c>
      <c r="AO23" s="72">
        <v>4.0</v>
      </c>
      <c r="AP23" s="72">
        <f>Max!$B$5*AM23</f>
        <v>75</v>
      </c>
      <c r="AQ23" s="3"/>
      <c r="AR23" s="45">
        <v>1.0</v>
      </c>
      <c r="AS23" s="46" t="s">
        <v>43</v>
      </c>
      <c r="AT23" s="47">
        <v>0.5</v>
      </c>
      <c r="AU23" s="48">
        <v>5.0</v>
      </c>
      <c r="AV23" s="49">
        <v>1.0</v>
      </c>
      <c r="AW23" s="49">
        <f>Max!$B$4*AT23</f>
        <v>50</v>
      </c>
      <c r="AX23" s="3"/>
      <c r="AY23" s="3"/>
      <c r="AZ23" s="3"/>
      <c r="BA23" s="3"/>
      <c r="BB23" s="3"/>
      <c r="BC23" s="3"/>
      <c r="BD23" s="3"/>
      <c r="BE23" s="3"/>
      <c r="BF23" s="3"/>
      <c r="BG23" s="3"/>
    </row>
    <row r="24" ht="12.75" customHeight="1">
      <c r="A24" s="69">
        <v>1.0</v>
      </c>
      <c r="B24" s="70" t="s">
        <v>71</v>
      </c>
      <c r="C24" s="71">
        <v>0.5</v>
      </c>
      <c r="D24" s="72">
        <v>3.0</v>
      </c>
      <c r="E24" s="72">
        <v>1.0</v>
      </c>
      <c r="F24" s="72">
        <f>Max!$B$5*C24</f>
        <v>50</v>
      </c>
      <c r="G24" s="51"/>
      <c r="H24" s="52"/>
      <c r="I24" s="51"/>
      <c r="J24" s="52"/>
      <c r="K24" s="51">
        <f t="shared" si="7"/>
        <v>3</v>
      </c>
      <c r="L24" s="53">
        <f t="shared" si="8"/>
        <v>180</v>
      </c>
      <c r="M24" s="3"/>
      <c r="N24" s="3"/>
      <c r="O24" s="3"/>
      <c r="P24" s="3"/>
      <c r="Q24" s="3"/>
      <c r="R24" s="3"/>
      <c r="S24" s="3"/>
      <c r="T24" s="3"/>
      <c r="U24" s="3"/>
      <c r="V24" s="3"/>
      <c r="W24" s="3"/>
      <c r="X24" s="3"/>
      <c r="Y24" s="3"/>
      <c r="Z24" s="3"/>
      <c r="AA24" s="3"/>
      <c r="AB24" s="3"/>
      <c r="AC24" s="3"/>
      <c r="AD24" s="69"/>
      <c r="AE24" s="70"/>
      <c r="AF24" s="71">
        <v>0.6</v>
      </c>
      <c r="AG24" s="72">
        <v>3.0</v>
      </c>
      <c r="AH24" s="72">
        <v>1.0</v>
      </c>
      <c r="AI24" s="72">
        <f>Max!$B$5*AF24</f>
        <v>60</v>
      </c>
      <c r="AJ24" s="3"/>
      <c r="AK24" s="45">
        <v>2.0</v>
      </c>
      <c r="AL24" s="46" t="s">
        <v>43</v>
      </c>
      <c r="AM24" s="47">
        <v>0.5</v>
      </c>
      <c r="AN24" s="48">
        <v>5.0</v>
      </c>
      <c r="AO24" s="49">
        <v>1.0</v>
      </c>
      <c r="AP24" s="49">
        <f>Max!$B$4*AM24</f>
        <v>50</v>
      </c>
      <c r="AQ24" s="3"/>
      <c r="AR24" s="45"/>
      <c r="AS24" s="46"/>
      <c r="AT24" s="47">
        <v>0.6</v>
      </c>
      <c r="AU24" s="48">
        <v>4.0</v>
      </c>
      <c r="AV24" s="49">
        <v>1.0</v>
      </c>
      <c r="AW24" s="49">
        <f>Max!$B$4*AT24</f>
        <v>60</v>
      </c>
      <c r="AX24" s="3"/>
      <c r="AY24" s="3"/>
      <c r="AZ24" s="3"/>
      <c r="BA24" s="3"/>
      <c r="BB24" s="3"/>
      <c r="BC24" s="3"/>
      <c r="BD24" s="3"/>
      <c r="BE24" s="3"/>
      <c r="BF24" s="3"/>
      <c r="BG24" s="3"/>
    </row>
    <row r="25" ht="12.75" customHeight="1">
      <c r="A25" s="69"/>
      <c r="B25" s="70"/>
      <c r="C25" s="71">
        <v>0.6</v>
      </c>
      <c r="D25" s="72">
        <v>3.0</v>
      </c>
      <c r="E25" s="72">
        <v>1.0</v>
      </c>
      <c r="F25" s="72">
        <f>Max!$B$5*C25</f>
        <v>60</v>
      </c>
      <c r="G25" s="51"/>
      <c r="H25" s="52"/>
      <c r="I25" s="51"/>
      <c r="J25" s="52"/>
      <c r="K25" s="51">
        <f t="shared" si="7"/>
        <v>3</v>
      </c>
      <c r="L25" s="53">
        <f t="shared" si="8"/>
        <v>210</v>
      </c>
      <c r="M25" s="3"/>
      <c r="N25" s="3"/>
      <c r="O25" s="3"/>
      <c r="P25" s="3"/>
      <c r="Q25" s="3"/>
      <c r="R25" s="3"/>
      <c r="S25" s="3"/>
      <c r="T25" s="3"/>
      <c r="U25" s="3"/>
      <c r="V25" s="3"/>
      <c r="W25" s="3"/>
      <c r="X25" s="3"/>
      <c r="Y25" s="3"/>
      <c r="Z25" s="3"/>
      <c r="AA25" s="3"/>
      <c r="AB25" s="3"/>
      <c r="AC25" s="3"/>
      <c r="AD25" s="69"/>
      <c r="AE25" s="70"/>
      <c r="AF25" s="71">
        <v>0.7</v>
      </c>
      <c r="AG25" s="72">
        <v>2.0</v>
      </c>
      <c r="AH25" s="72">
        <v>4.0</v>
      </c>
      <c r="AI25" s="72">
        <f>Max!$B$5*AF25</f>
        <v>70</v>
      </c>
      <c r="AJ25" s="3"/>
      <c r="AK25" s="45"/>
      <c r="AL25" s="46"/>
      <c r="AM25" s="47">
        <v>0.6</v>
      </c>
      <c r="AN25" s="48">
        <v>4.0</v>
      </c>
      <c r="AO25" s="49">
        <v>1.0</v>
      </c>
      <c r="AP25" s="49">
        <f>Max!$B$4*AM25</f>
        <v>60</v>
      </c>
      <c r="AQ25" s="3"/>
      <c r="AR25" s="45"/>
      <c r="AS25" s="46"/>
      <c r="AT25" s="47">
        <v>0.7</v>
      </c>
      <c r="AU25" s="48">
        <v>3.0</v>
      </c>
      <c r="AV25" s="49">
        <v>1.0</v>
      </c>
      <c r="AW25" s="49">
        <f>Max!$B$4*AT25</f>
        <v>70</v>
      </c>
      <c r="AX25" s="3"/>
      <c r="AY25" s="3"/>
      <c r="AZ25" s="3"/>
      <c r="BA25" s="3"/>
      <c r="BB25" s="3"/>
      <c r="BC25" s="3"/>
      <c r="BD25" s="3"/>
      <c r="BE25" s="3"/>
      <c r="BF25" s="3"/>
      <c r="BG25" s="3"/>
    </row>
    <row r="26" ht="12.75" customHeight="1">
      <c r="A26" s="69"/>
      <c r="B26" s="70"/>
      <c r="C26" s="71">
        <v>0.7</v>
      </c>
      <c r="D26" s="72">
        <v>3.0</v>
      </c>
      <c r="E26" s="72">
        <v>1.0</v>
      </c>
      <c r="F26" s="72">
        <f>Max!$B$5*C26</f>
        <v>70</v>
      </c>
      <c r="G26" s="51"/>
      <c r="H26" s="52"/>
      <c r="I26" s="51">
        <f t="shared" ref="I26:I30" si="9">D27*E27</f>
        <v>6</v>
      </c>
      <c r="J26" s="52">
        <f t="shared" ref="J26:J30" si="10">F27*I26</f>
        <v>480</v>
      </c>
      <c r="K26" s="51"/>
      <c r="L26" s="53"/>
      <c r="M26" s="3"/>
      <c r="N26" s="3"/>
      <c r="O26" s="3"/>
      <c r="P26" s="3"/>
      <c r="Q26" s="3"/>
      <c r="R26" s="6">
        <f>I26</f>
        <v>6</v>
      </c>
      <c r="S26" s="6">
        <f>I27</f>
        <v>6</v>
      </c>
      <c r="T26" s="6">
        <f>I28</f>
        <v>5</v>
      </c>
      <c r="U26" s="6" t="str">
        <f>I30+I31+I29</f>
        <v>#REF!</v>
      </c>
      <c r="V26" s="6"/>
      <c r="W26" s="3"/>
      <c r="X26" s="3"/>
      <c r="Y26" s="3"/>
      <c r="Z26" s="3"/>
      <c r="AA26" s="3"/>
      <c r="AB26" s="3"/>
      <c r="AC26" s="3"/>
      <c r="AD26" s="45">
        <v>2.0</v>
      </c>
      <c r="AE26" s="46" t="s">
        <v>43</v>
      </c>
      <c r="AF26" s="47">
        <v>0.5</v>
      </c>
      <c r="AG26" s="48">
        <v>4.0</v>
      </c>
      <c r="AH26" s="49">
        <v>1.0</v>
      </c>
      <c r="AI26" s="49">
        <f>Max!$B$4*AF26</f>
        <v>50</v>
      </c>
      <c r="AJ26" s="3"/>
      <c r="AK26" s="45"/>
      <c r="AL26" s="46"/>
      <c r="AM26" s="47">
        <v>0.7</v>
      </c>
      <c r="AN26" s="48">
        <v>3.0</v>
      </c>
      <c r="AO26" s="49">
        <v>1.0</v>
      </c>
      <c r="AP26" s="49">
        <f>Max!$B$4*AM26</f>
        <v>70</v>
      </c>
      <c r="AQ26" s="3"/>
      <c r="AR26" s="45"/>
      <c r="AS26" s="46"/>
      <c r="AT26" s="47">
        <v>0.8</v>
      </c>
      <c r="AU26" s="48">
        <v>2.0</v>
      </c>
      <c r="AV26" s="49">
        <v>1.0</v>
      </c>
      <c r="AW26" s="49">
        <f>Max!$B$4*AT26</f>
        <v>80</v>
      </c>
      <c r="AX26" s="3"/>
      <c r="AY26" s="3"/>
      <c r="AZ26" s="3"/>
      <c r="BA26" s="3"/>
      <c r="BB26" s="3"/>
      <c r="BC26" s="3"/>
      <c r="BD26" s="3"/>
      <c r="BE26" s="3"/>
      <c r="BF26" s="3"/>
      <c r="BG26" s="3"/>
    </row>
    <row r="27" ht="12.75" customHeight="1">
      <c r="A27" s="69"/>
      <c r="B27" s="70"/>
      <c r="C27" s="71">
        <v>0.8</v>
      </c>
      <c r="D27" s="72">
        <v>3.0</v>
      </c>
      <c r="E27" s="72">
        <v>2.0</v>
      </c>
      <c r="F27" s="72">
        <f>Max!$B$5*C27</f>
        <v>80</v>
      </c>
      <c r="G27" s="51"/>
      <c r="H27" s="52"/>
      <c r="I27" s="51">
        <f t="shared" si="9"/>
        <v>6</v>
      </c>
      <c r="J27" s="52">
        <f t="shared" si="10"/>
        <v>510</v>
      </c>
      <c r="K27" s="51"/>
      <c r="L27" s="53"/>
      <c r="M27" s="3"/>
      <c r="N27" s="3"/>
      <c r="O27" s="3"/>
      <c r="P27" s="3"/>
      <c r="Q27" s="3"/>
      <c r="R27" s="3"/>
      <c r="S27" s="3"/>
      <c r="T27" s="3"/>
      <c r="U27" s="3"/>
      <c r="V27" s="3"/>
      <c r="W27" s="3"/>
      <c r="X27" s="3"/>
      <c r="Y27" s="3"/>
      <c r="Z27" s="3"/>
      <c r="AA27" s="3"/>
      <c r="AB27" s="3"/>
      <c r="AC27" s="3"/>
      <c r="AD27" s="45"/>
      <c r="AE27" s="46"/>
      <c r="AF27" s="47">
        <v>0.6</v>
      </c>
      <c r="AG27" s="48">
        <v>4.0</v>
      </c>
      <c r="AH27" s="49">
        <v>1.0</v>
      </c>
      <c r="AI27" s="49">
        <f>Max!$B$4*AF27</f>
        <v>60</v>
      </c>
      <c r="AJ27" s="3"/>
      <c r="AK27" s="45"/>
      <c r="AL27" s="46"/>
      <c r="AM27" s="47">
        <v>0.8</v>
      </c>
      <c r="AN27" s="48">
        <v>2.0</v>
      </c>
      <c r="AO27" s="49">
        <v>4.0</v>
      </c>
      <c r="AP27" s="49">
        <f>Max!$B$4*AM27</f>
        <v>80</v>
      </c>
      <c r="AQ27" s="3"/>
      <c r="AR27" s="45"/>
      <c r="AS27" s="46"/>
      <c r="AT27" s="47">
        <v>0.9</v>
      </c>
      <c r="AU27" s="48">
        <v>1.0</v>
      </c>
      <c r="AV27" s="49">
        <v>1.0</v>
      </c>
      <c r="AW27" s="49">
        <f>Max!$B$4*AT27</f>
        <v>90</v>
      </c>
      <c r="AX27" s="3"/>
      <c r="AY27" s="3"/>
      <c r="AZ27" s="3"/>
      <c r="BA27" s="3"/>
      <c r="BB27" s="3"/>
      <c r="BC27" s="3"/>
      <c r="BD27" s="3"/>
      <c r="BE27" s="3"/>
      <c r="BF27" s="3"/>
      <c r="BG27" s="3"/>
    </row>
    <row r="28" ht="12.75" customHeight="1">
      <c r="A28" s="69"/>
      <c r="B28" s="70"/>
      <c r="C28" s="71">
        <v>0.85</v>
      </c>
      <c r="D28" s="72">
        <v>2.0</v>
      </c>
      <c r="E28" s="72">
        <v>3.0</v>
      </c>
      <c r="F28" s="72">
        <f>Max!$B$5*C28</f>
        <v>85</v>
      </c>
      <c r="G28" s="51"/>
      <c r="H28" s="52"/>
      <c r="I28" s="51">
        <f t="shared" si="9"/>
        <v>5</v>
      </c>
      <c r="J28" s="52">
        <f t="shared" si="10"/>
        <v>250</v>
      </c>
      <c r="K28" s="51"/>
      <c r="L28" s="53"/>
      <c r="M28" s="3"/>
      <c r="N28" s="3"/>
      <c r="O28" s="3"/>
      <c r="P28" s="3"/>
      <c r="Q28" s="3"/>
      <c r="R28" s="3"/>
      <c r="S28" s="3"/>
      <c r="T28" s="3"/>
      <c r="U28" s="3"/>
      <c r="V28" s="3"/>
      <c r="W28" s="3"/>
      <c r="X28" s="3"/>
      <c r="Y28" s="3"/>
      <c r="Z28" s="3"/>
      <c r="AA28" s="3"/>
      <c r="AB28" s="3"/>
      <c r="AC28" s="3"/>
      <c r="AD28" s="45"/>
      <c r="AE28" s="46"/>
      <c r="AF28" s="47">
        <v>0.7</v>
      </c>
      <c r="AG28" s="48">
        <v>4.0</v>
      </c>
      <c r="AH28" s="49">
        <v>1.0</v>
      </c>
      <c r="AI28" s="49">
        <f>Max!$B$4*AF28</f>
        <v>70</v>
      </c>
      <c r="AJ28" s="3"/>
      <c r="AK28" s="69">
        <v>3.0</v>
      </c>
      <c r="AL28" s="70" t="s">
        <v>55</v>
      </c>
      <c r="AM28" s="71">
        <v>0.6</v>
      </c>
      <c r="AN28" s="73">
        <v>3.0</v>
      </c>
      <c r="AO28" s="72">
        <v>1.0</v>
      </c>
      <c r="AP28" s="72">
        <f>Max!$B$5*AM28</f>
        <v>60</v>
      </c>
      <c r="AQ28" s="3"/>
      <c r="AR28" s="45"/>
      <c r="AS28" s="46"/>
      <c r="AT28" s="47">
        <v>0.95</v>
      </c>
      <c r="AU28" s="48">
        <v>1.0</v>
      </c>
      <c r="AV28" s="49">
        <v>1.0</v>
      </c>
      <c r="AW28" s="49">
        <f>Max!$B$4*AT28</f>
        <v>95</v>
      </c>
      <c r="AX28" s="3"/>
      <c r="AY28" s="3"/>
      <c r="AZ28" s="3"/>
      <c r="BA28" s="3"/>
      <c r="BB28" s="3"/>
      <c r="BC28" s="3"/>
      <c r="BD28" s="3"/>
      <c r="BE28" s="3"/>
      <c r="BF28" s="3"/>
      <c r="BG28" s="3"/>
    </row>
    <row r="29" ht="12.75" customHeight="1">
      <c r="A29" s="45">
        <v>2.0</v>
      </c>
      <c r="B29" s="46" t="s">
        <v>43</v>
      </c>
      <c r="C29" s="47">
        <v>0.5</v>
      </c>
      <c r="D29" s="48">
        <v>5.0</v>
      </c>
      <c r="E29" s="49">
        <v>1.0</v>
      </c>
      <c r="F29" s="49">
        <f>Max!$B$4*C29</f>
        <v>50</v>
      </c>
      <c r="G29" s="51"/>
      <c r="H29" s="52"/>
      <c r="I29" s="51">
        <f t="shared" si="9"/>
        <v>4</v>
      </c>
      <c r="J29" s="52">
        <f t="shared" si="10"/>
        <v>240</v>
      </c>
      <c r="K29" s="51"/>
      <c r="L29" s="53"/>
      <c r="M29" s="3"/>
      <c r="N29" s="3"/>
      <c r="O29" s="3"/>
      <c r="P29" s="3"/>
      <c r="Q29" s="3"/>
      <c r="R29" s="3"/>
      <c r="S29" s="3"/>
      <c r="T29" s="3"/>
      <c r="U29" s="3"/>
      <c r="V29" s="3"/>
      <c r="W29" s="3"/>
      <c r="X29" s="3"/>
      <c r="Y29" s="3"/>
      <c r="Z29" s="3"/>
      <c r="AA29" s="3"/>
      <c r="AB29" s="3"/>
      <c r="AC29" s="3"/>
      <c r="AD29" s="45"/>
      <c r="AE29" s="46"/>
      <c r="AF29" s="47">
        <v>0.75</v>
      </c>
      <c r="AG29" s="48">
        <v>4.0</v>
      </c>
      <c r="AH29" s="49">
        <v>4.0</v>
      </c>
      <c r="AI29" s="49">
        <f>Max!$B$4*AF29</f>
        <v>75</v>
      </c>
      <c r="AJ29" s="3"/>
      <c r="AK29" s="69"/>
      <c r="AL29" s="70"/>
      <c r="AM29" s="71">
        <v>0.7</v>
      </c>
      <c r="AN29" s="73">
        <v>3.0</v>
      </c>
      <c r="AO29" s="72">
        <v>1.0</v>
      </c>
      <c r="AP29" s="72">
        <f>Max!$B$5*AM29</f>
        <v>70</v>
      </c>
      <c r="AQ29" s="3"/>
      <c r="AR29" s="45"/>
      <c r="AS29" s="46"/>
      <c r="AT29" s="47">
        <v>1.0</v>
      </c>
      <c r="AU29" s="48">
        <v>1.0</v>
      </c>
      <c r="AV29" s="49">
        <v>1.0</v>
      </c>
      <c r="AW29" s="49">
        <f>Max!$B$4*AT29</f>
        <v>100</v>
      </c>
      <c r="AX29" s="3"/>
      <c r="AY29" s="3"/>
      <c r="AZ29" s="3"/>
      <c r="BA29" s="3"/>
      <c r="BB29" s="3"/>
      <c r="BC29" s="3"/>
      <c r="BD29" s="3"/>
      <c r="BE29" s="3"/>
      <c r="BF29" s="3"/>
      <c r="BG29" s="3"/>
    </row>
    <row r="30" ht="12.75" customHeight="1">
      <c r="A30" s="45"/>
      <c r="B30" s="46"/>
      <c r="C30" s="47">
        <v>0.6</v>
      </c>
      <c r="D30" s="48">
        <v>4.0</v>
      </c>
      <c r="E30" s="49">
        <v>1.0</v>
      </c>
      <c r="F30" s="49">
        <f>Max!$B$4*C30</f>
        <v>60</v>
      </c>
      <c r="G30" s="51"/>
      <c r="H30" s="52"/>
      <c r="I30" s="51">
        <f t="shared" si="9"/>
        <v>3</v>
      </c>
      <c r="J30" s="52">
        <f t="shared" si="10"/>
        <v>210</v>
      </c>
      <c r="K30" s="51"/>
      <c r="L30" s="53"/>
      <c r="M30" s="3"/>
      <c r="N30" s="3"/>
      <c r="O30" s="3"/>
      <c r="P30" s="3"/>
      <c r="Q30" s="3"/>
      <c r="R30" s="3"/>
      <c r="S30" s="3"/>
      <c r="T30" s="3"/>
      <c r="U30" s="3"/>
      <c r="V30" s="3"/>
      <c r="W30" s="3"/>
      <c r="X30" s="3"/>
      <c r="Y30" s="3"/>
      <c r="Z30" s="3"/>
      <c r="AA30" s="3"/>
      <c r="AB30" s="3"/>
      <c r="AC30" s="3"/>
      <c r="AD30" s="69">
        <v>3.0</v>
      </c>
      <c r="AE30" s="70" t="s">
        <v>55</v>
      </c>
      <c r="AF30" s="71">
        <v>0.7</v>
      </c>
      <c r="AG30" s="73">
        <v>3.0</v>
      </c>
      <c r="AH30" s="73">
        <v>1.0</v>
      </c>
      <c r="AI30" s="72">
        <f>Max!$B$5*AF30:AF31</f>
        <v>70</v>
      </c>
      <c r="AJ30" s="3"/>
      <c r="AK30" s="69"/>
      <c r="AL30" s="70"/>
      <c r="AM30" s="71">
        <v>0.8</v>
      </c>
      <c r="AN30" s="73">
        <v>3.0</v>
      </c>
      <c r="AO30" s="72">
        <v>2.0</v>
      </c>
      <c r="AP30" s="72">
        <f>Max!$B$5*AM30</f>
        <v>80</v>
      </c>
      <c r="AQ30" s="3"/>
      <c r="AR30" s="45"/>
      <c r="AS30" s="46"/>
      <c r="AT30" s="47">
        <v>1.05</v>
      </c>
      <c r="AU30" s="48">
        <v>1.0</v>
      </c>
      <c r="AV30" s="49">
        <v>1.0</v>
      </c>
      <c r="AW30" s="49">
        <f>Max!$B$4*AT30</f>
        <v>105</v>
      </c>
      <c r="AX30" s="3"/>
      <c r="AY30" s="3"/>
      <c r="AZ30" s="3"/>
      <c r="BA30" s="3"/>
      <c r="BB30" s="3"/>
      <c r="BC30" s="3"/>
      <c r="BD30" s="3"/>
      <c r="BE30" s="3"/>
      <c r="BF30" s="3"/>
      <c r="BG30" s="3"/>
    </row>
    <row r="31" ht="12.75" customHeight="1">
      <c r="A31" s="45"/>
      <c r="B31" s="46"/>
      <c r="C31" s="47">
        <v>0.7</v>
      </c>
      <c r="D31" s="48">
        <v>3.0</v>
      </c>
      <c r="E31" s="49">
        <v>1.0</v>
      </c>
      <c r="F31" s="49">
        <f>Max!$B$4*C31</f>
        <v>70</v>
      </c>
      <c r="G31" s="51"/>
      <c r="H31" s="52"/>
      <c r="I31" s="51" t="str">
        <f>#REF!*#REF!</f>
        <v>#REF!</v>
      </c>
      <c r="J31" s="52" t="str">
        <f>#REF!*I31</f>
        <v>#REF!</v>
      </c>
      <c r="K31" s="51"/>
      <c r="L31" s="53"/>
      <c r="M31" s="3"/>
      <c r="N31" s="3"/>
      <c r="O31" s="3"/>
      <c r="P31" s="3"/>
      <c r="Q31" s="3"/>
      <c r="R31" s="3"/>
      <c r="S31" s="3"/>
      <c r="T31" s="3"/>
      <c r="U31" s="3"/>
      <c r="V31" s="3"/>
      <c r="W31" s="3"/>
      <c r="X31" s="3"/>
      <c r="Y31" s="3"/>
      <c r="Z31" s="3"/>
      <c r="AA31" s="3"/>
      <c r="AB31" s="3"/>
      <c r="AC31" s="3"/>
      <c r="AD31" s="69"/>
      <c r="AE31" s="70"/>
      <c r="AF31" s="71">
        <v>0.8</v>
      </c>
      <c r="AG31" s="73">
        <v>3.0</v>
      </c>
      <c r="AH31" s="73">
        <v>2.0</v>
      </c>
      <c r="AI31" s="72">
        <f>Max!$B$5*AF30:AF31</f>
        <v>80</v>
      </c>
      <c r="AJ31" s="3"/>
      <c r="AK31" s="69"/>
      <c r="AL31" s="70"/>
      <c r="AM31" s="71">
        <v>0.85</v>
      </c>
      <c r="AN31" s="73">
        <v>2.0</v>
      </c>
      <c r="AO31" s="72">
        <v>3.0</v>
      </c>
      <c r="AP31" s="72">
        <f>Max!$B$5*AM31</f>
        <v>85</v>
      </c>
      <c r="AQ31" s="3"/>
      <c r="AR31" s="69">
        <v>2.0</v>
      </c>
      <c r="AS31" s="70" t="s">
        <v>71</v>
      </c>
      <c r="AT31" s="71">
        <v>0.5</v>
      </c>
      <c r="AU31" s="72">
        <v>5.0</v>
      </c>
      <c r="AV31" s="72">
        <v>1.0</v>
      </c>
      <c r="AW31" s="72">
        <f>Max!$B$5*AT31</f>
        <v>50</v>
      </c>
      <c r="AX31" s="3"/>
      <c r="AY31" s="3"/>
      <c r="AZ31" s="3"/>
      <c r="BA31" s="3"/>
      <c r="BB31" s="3"/>
      <c r="BC31" s="3"/>
      <c r="BD31" s="3"/>
      <c r="BE31" s="3"/>
      <c r="BF31" s="3"/>
      <c r="BG31" s="3"/>
    </row>
    <row r="32" ht="12.75" customHeight="1">
      <c r="A32" s="45"/>
      <c r="B32" s="46"/>
      <c r="C32" s="47">
        <v>0.8</v>
      </c>
      <c r="D32" s="48">
        <v>3.0</v>
      </c>
      <c r="E32" s="49">
        <v>5.0</v>
      </c>
      <c r="F32" s="49">
        <f>Max!$B$4*C32</f>
        <v>80</v>
      </c>
      <c r="G32" s="51"/>
      <c r="H32" s="52"/>
      <c r="I32" s="51"/>
      <c r="J32" s="52"/>
      <c r="K32" s="51">
        <f>D32*E32</f>
        <v>15</v>
      </c>
      <c r="L32" s="53">
        <f>F32*K32</f>
        <v>1200</v>
      </c>
      <c r="M32" s="3"/>
      <c r="N32" s="3"/>
      <c r="O32" s="3"/>
      <c r="P32" s="3"/>
      <c r="Q32" s="3"/>
      <c r="R32" s="3"/>
      <c r="S32" s="3"/>
      <c r="T32" s="3"/>
      <c r="U32" s="3"/>
      <c r="V32" s="3"/>
      <c r="W32" s="3"/>
      <c r="X32" s="6">
        <f>K32</f>
        <v>15</v>
      </c>
      <c r="Y32" s="6">
        <f>K33</f>
        <v>30</v>
      </c>
      <c r="Z32" s="6">
        <f>K34</f>
        <v>25</v>
      </c>
      <c r="AA32" s="6">
        <f>K35</f>
        <v>25</v>
      </c>
      <c r="AB32" s="3"/>
      <c r="AC32" s="3"/>
      <c r="AD32" s="69"/>
      <c r="AE32" s="70"/>
      <c r="AF32" s="71">
        <v>0.9</v>
      </c>
      <c r="AG32" s="73">
        <v>2.0</v>
      </c>
      <c r="AH32" s="73">
        <v>2.0</v>
      </c>
      <c r="AI32" s="72">
        <f>Max!$B$5*AF31:AF32</f>
        <v>90</v>
      </c>
      <c r="AJ32" s="3"/>
      <c r="AK32" s="60">
        <v>4.0</v>
      </c>
      <c r="AL32" s="80" t="s">
        <v>54</v>
      </c>
      <c r="AM32" s="61">
        <v>0.7</v>
      </c>
      <c r="AN32" s="62">
        <v>6.0</v>
      </c>
      <c r="AO32" s="63">
        <v>5.0</v>
      </c>
      <c r="AP32" s="63"/>
      <c r="AQ32" s="3"/>
      <c r="AR32" s="69"/>
      <c r="AS32" s="70"/>
      <c r="AT32" s="71">
        <v>0.6</v>
      </c>
      <c r="AU32" s="72">
        <v>4.0</v>
      </c>
      <c r="AV32" s="72">
        <v>1.0</v>
      </c>
      <c r="AW32" s="72">
        <f>Max!$B$5*AT32</f>
        <v>60</v>
      </c>
      <c r="AX32" s="3"/>
      <c r="AY32" s="3"/>
      <c r="AZ32" s="3"/>
      <c r="BA32" s="3"/>
      <c r="BB32" s="3"/>
      <c r="BC32" s="3"/>
      <c r="BD32" s="3"/>
      <c r="BE32" s="3"/>
      <c r="BF32" s="3"/>
      <c r="BG32" s="3"/>
    </row>
    <row r="33" ht="12.75" customHeight="1">
      <c r="A33" s="56">
        <v>3.0</v>
      </c>
      <c r="B33" s="80" t="s">
        <v>60</v>
      </c>
      <c r="C33" s="58">
        <v>0.7</v>
      </c>
      <c r="D33" s="79">
        <v>6.0</v>
      </c>
      <c r="E33" s="55">
        <v>5.0</v>
      </c>
      <c r="F33" s="55"/>
      <c r="G33" s="51"/>
      <c r="H33" s="52"/>
      <c r="I33" s="51"/>
      <c r="J33" s="52"/>
      <c r="K33" s="51">
        <f t="shared" ref="K33:K35" si="11">D32:D33*E32:E33</f>
        <v>30</v>
      </c>
      <c r="L33" s="53">
        <f t="shared" ref="L33:L35" si="12">F32:F33*K33</f>
        <v>0</v>
      </c>
      <c r="M33" s="3"/>
      <c r="N33" s="3"/>
      <c r="O33" s="3"/>
      <c r="P33" s="3"/>
      <c r="Q33" s="3"/>
      <c r="R33" s="3"/>
      <c r="S33" s="3"/>
      <c r="T33" s="3"/>
      <c r="U33" s="3"/>
      <c r="V33" s="3"/>
      <c r="W33" s="3"/>
      <c r="X33" s="3"/>
      <c r="Y33" s="3"/>
      <c r="Z33" s="3"/>
      <c r="AA33" s="3"/>
      <c r="AB33" s="3"/>
      <c r="AC33" s="3"/>
      <c r="AD33" s="69"/>
      <c r="AE33" s="70"/>
      <c r="AF33" s="71">
        <v>0.95</v>
      </c>
      <c r="AG33" s="73">
        <v>1.0</v>
      </c>
      <c r="AH33" s="73">
        <v>3.0</v>
      </c>
      <c r="AI33" s="72">
        <f>Max!$B$5*AF32:AF33</f>
        <v>95</v>
      </c>
      <c r="AJ33" s="3"/>
      <c r="AK33" s="64">
        <v>5.0</v>
      </c>
      <c r="AL33" s="65" t="s">
        <v>70</v>
      </c>
      <c r="AM33" s="66">
        <v>0.65</v>
      </c>
      <c r="AN33" s="67">
        <v>8.0</v>
      </c>
      <c r="AO33" s="68">
        <v>4.0</v>
      </c>
      <c r="AP33" s="68"/>
      <c r="AQ33" s="3"/>
      <c r="AR33" s="74"/>
      <c r="AS33" s="75"/>
      <c r="AT33" s="76">
        <v>0.7</v>
      </c>
      <c r="AU33" s="77">
        <v>3.0</v>
      </c>
      <c r="AV33" s="78">
        <v>1.0</v>
      </c>
      <c r="AW33" s="78">
        <f>Max!$B$5*AT33</f>
        <v>70</v>
      </c>
      <c r="AX33" s="3"/>
      <c r="AY33" s="3"/>
      <c r="AZ33" s="3"/>
      <c r="BA33" s="3"/>
      <c r="BB33" s="3"/>
      <c r="BC33" s="3"/>
      <c r="BD33" s="3"/>
      <c r="BE33" s="3"/>
      <c r="BF33" s="3"/>
      <c r="BG33" s="3"/>
    </row>
    <row r="34" ht="12.75" customHeight="1">
      <c r="A34" s="56">
        <v>4.0</v>
      </c>
      <c r="B34" s="80" t="s">
        <v>46</v>
      </c>
      <c r="C34" s="58">
        <v>0.75</v>
      </c>
      <c r="D34" s="55">
        <v>5.0</v>
      </c>
      <c r="E34" s="55">
        <v>5.0</v>
      </c>
      <c r="F34" s="55"/>
      <c r="G34" s="51"/>
      <c r="H34" s="52"/>
      <c r="I34" s="51"/>
      <c r="J34" s="52"/>
      <c r="K34" s="51">
        <f t="shared" si="11"/>
        <v>25</v>
      </c>
      <c r="L34" s="53">
        <f t="shared" si="12"/>
        <v>0</v>
      </c>
      <c r="M34" s="3"/>
      <c r="N34" s="3"/>
      <c r="O34" s="3"/>
      <c r="P34" s="3"/>
      <c r="Q34" s="3"/>
      <c r="R34" s="3"/>
      <c r="S34" s="3"/>
      <c r="T34" s="3"/>
      <c r="U34" s="3"/>
      <c r="V34" s="3"/>
      <c r="W34" s="3"/>
      <c r="X34" s="3"/>
      <c r="Y34" s="3"/>
      <c r="Z34" s="3"/>
      <c r="AA34" s="3"/>
      <c r="AB34" s="3"/>
      <c r="AC34" s="3"/>
      <c r="AD34" s="60">
        <v>4.0</v>
      </c>
      <c r="AE34" s="80" t="s">
        <v>54</v>
      </c>
      <c r="AF34" s="61">
        <v>0.7</v>
      </c>
      <c r="AG34" s="62">
        <v>6.0</v>
      </c>
      <c r="AH34" s="63">
        <v>5.0</v>
      </c>
      <c r="AI34" s="63"/>
      <c r="AJ34" s="3"/>
      <c r="AK34" s="3"/>
      <c r="AL34" s="3"/>
      <c r="AM34" s="3"/>
      <c r="AN34" s="3"/>
      <c r="AO34" s="3"/>
      <c r="AP34" s="3"/>
      <c r="AQ34" s="3"/>
      <c r="AR34" s="87"/>
      <c r="AS34" s="88"/>
      <c r="AT34" s="89">
        <v>0.8</v>
      </c>
      <c r="AU34" s="90">
        <v>2.0</v>
      </c>
      <c r="AV34" s="90">
        <v>1.0</v>
      </c>
      <c r="AW34" s="90">
        <f>Max!$B$5*AT34</f>
        <v>80</v>
      </c>
      <c r="AX34" s="3"/>
      <c r="AY34" s="3"/>
      <c r="AZ34" s="3"/>
      <c r="BA34" s="3"/>
      <c r="BB34" s="3"/>
      <c r="BC34" s="3"/>
      <c r="BD34" s="3"/>
      <c r="BE34" s="3"/>
      <c r="BF34" s="3"/>
      <c r="BG34" s="3"/>
    </row>
    <row r="35" ht="12.75" customHeight="1">
      <c r="A35" s="56">
        <v>5.0</v>
      </c>
      <c r="B35" s="65" t="s">
        <v>47</v>
      </c>
      <c r="C35" s="58">
        <v>0.75</v>
      </c>
      <c r="D35" s="55">
        <v>5.0</v>
      </c>
      <c r="E35" s="55">
        <v>5.0</v>
      </c>
      <c r="F35" s="55"/>
      <c r="G35" s="51"/>
      <c r="H35" s="52"/>
      <c r="I35" s="51"/>
      <c r="J35" s="52"/>
      <c r="K35" s="51">
        <f t="shared" si="11"/>
        <v>25</v>
      </c>
      <c r="L35" s="53">
        <f t="shared" si="12"/>
        <v>0</v>
      </c>
      <c r="M35" s="3"/>
      <c r="N35" s="3"/>
      <c r="O35" s="3"/>
      <c r="P35" s="3"/>
      <c r="Q35" s="3"/>
      <c r="R35" s="3"/>
      <c r="S35" s="3"/>
      <c r="T35" s="3"/>
      <c r="U35" s="3"/>
      <c r="V35" s="3"/>
      <c r="W35" s="3"/>
      <c r="X35" s="3"/>
      <c r="Y35" s="3"/>
      <c r="Z35" s="3"/>
      <c r="AA35" s="3"/>
      <c r="AB35" s="3"/>
      <c r="AC35" s="3"/>
      <c r="AD35" s="64">
        <v>5.0</v>
      </c>
      <c r="AE35" s="65" t="s">
        <v>59</v>
      </c>
      <c r="AF35" s="66">
        <v>0.6</v>
      </c>
      <c r="AG35" s="67">
        <v>10.0</v>
      </c>
      <c r="AH35" s="68">
        <v>4.0</v>
      </c>
      <c r="AI35" s="68"/>
      <c r="AJ35" s="3"/>
      <c r="AK35" s="28" t="s">
        <v>58</v>
      </c>
      <c r="AL35" s="28"/>
      <c r="AM35" s="37" t="s">
        <v>33</v>
      </c>
      <c r="AN35" s="26" t="s">
        <v>34</v>
      </c>
      <c r="AO35" s="26" t="s">
        <v>35</v>
      </c>
      <c r="AP35" s="26" t="s">
        <v>36</v>
      </c>
      <c r="AQ35" s="3"/>
      <c r="AR35" s="87"/>
      <c r="AS35" s="88"/>
      <c r="AT35" s="89">
        <v>0.9</v>
      </c>
      <c r="AU35" s="90">
        <v>1.0</v>
      </c>
      <c r="AV35" s="90">
        <v>1.0</v>
      </c>
      <c r="AW35" s="90">
        <f>Max!$B$5*AT35</f>
        <v>90</v>
      </c>
      <c r="AX35" s="3"/>
      <c r="AY35" s="3"/>
      <c r="AZ35" s="3"/>
      <c r="BA35" s="3"/>
      <c r="BB35" s="3"/>
      <c r="BC35" s="3"/>
      <c r="BD35" s="3"/>
      <c r="BE35" s="3"/>
      <c r="BF35" s="3"/>
      <c r="BG35" s="3"/>
    </row>
    <row r="36" ht="12.75" customHeight="1">
      <c r="G36" s="51"/>
      <c r="H36" s="52"/>
      <c r="I36" s="51"/>
      <c r="J36" s="52"/>
      <c r="K36" s="51"/>
      <c r="L36" s="53"/>
      <c r="M36" s="3"/>
      <c r="N36" s="3"/>
      <c r="O36" s="3"/>
      <c r="P36" s="3"/>
      <c r="Q36" s="3"/>
      <c r="R36" s="3"/>
      <c r="S36" s="3"/>
      <c r="T36" s="3"/>
      <c r="U36" s="3"/>
      <c r="V36" s="3"/>
      <c r="W36" s="3"/>
      <c r="X36" s="3"/>
      <c r="Y36" s="3"/>
      <c r="Z36" s="3"/>
      <c r="AA36" s="3"/>
      <c r="AB36" s="3"/>
      <c r="AC36" s="3"/>
      <c r="AJ36" s="3"/>
      <c r="AK36" s="38">
        <v>1.0</v>
      </c>
      <c r="AL36" s="39" t="s">
        <v>42</v>
      </c>
      <c r="AM36" s="40">
        <v>0.5</v>
      </c>
      <c r="AN36" s="50">
        <v>5.0</v>
      </c>
      <c r="AO36" s="41">
        <v>1.0</v>
      </c>
      <c r="AP36" s="41">
        <f>Max!$B$3*AM36</f>
        <v>50</v>
      </c>
      <c r="AQ36" s="3"/>
      <c r="AR36" s="87"/>
      <c r="AS36" s="88"/>
      <c r="AT36" s="89">
        <v>0.95</v>
      </c>
      <c r="AU36" s="90">
        <v>1.0</v>
      </c>
      <c r="AV36" s="90">
        <v>1.0</v>
      </c>
      <c r="AW36" s="90">
        <f>Max!$B$5*AT36</f>
        <v>95</v>
      </c>
      <c r="AX36" s="3"/>
      <c r="AY36" s="3"/>
      <c r="AZ36" s="3"/>
      <c r="BA36" s="3"/>
      <c r="BB36" s="3"/>
      <c r="BC36" s="3"/>
      <c r="BD36" s="3"/>
      <c r="BE36" s="3"/>
      <c r="BF36" s="3"/>
      <c r="BG36" s="3"/>
    </row>
    <row r="37" ht="12.75" customHeight="1">
      <c r="A37" s="28" t="s">
        <v>58</v>
      </c>
      <c r="B37" s="3"/>
      <c r="C37" s="37" t="s">
        <v>33</v>
      </c>
      <c r="D37" s="26" t="s">
        <v>34</v>
      </c>
      <c r="E37" s="26" t="s">
        <v>35</v>
      </c>
      <c r="F37" s="26" t="s">
        <v>36</v>
      </c>
      <c r="G37" s="51"/>
      <c r="H37" s="52"/>
      <c r="I37" s="51"/>
      <c r="J37" s="52"/>
      <c r="K37" s="51"/>
      <c r="L37" s="53"/>
      <c r="M37" s="3"/>
      <c r="N37" s="3"/>
      <c r="O37" s="3"/>
      <c r="P37" s="3"/>
      <c r="Q37" s="3"/>
      <c r="R37" s="3"/>
      <c r="S37" s="3"/>
      <c r="T37" s="3"/>
      <c r="U37" s="3"/>
      <c r="V37" s="3"/>
      <c r="W37" s="3"/>
      <c r="X37" s="3"/>
      <c r="Y37" s="3"/>
      <c r="Z37" s="3"/>
      <c r="AA37" s="3"/>
      <c r="AB37" s="3"/>
      <c r="AC37" s="3"/>
      <c r="AD37" s="28" t="s">
        <v>58</v>
      </c>
      <c r="AE37" s="28"/>
      <c r="AF37" s="37" t="s">
        <v>33</v>
      </c>
      <c r="AG37" s="26" t="s">
        <v>34</v>
      </c>
      <c r="AH37" s="26" t="s">
        <v>35</v>
      </c>
      <c r="AI37" s="26" t="s">
        <v>36</v>
      </c>
      <c r="AJ37" s="3"/>
      <c r="AK37" s="38"/>
      <c r="AL37" s="39"/>
      <c r="AM37" s="40">
        <v>0.6</v>
      </c>
      <c r="AN37" s="50">
        <v>4.0</v>
      </c>
      <c r="AO37" s="41">
        <v>1.0</v>
      </c>
      <c r="AP37" s="41">
        <f>Max!$B$3*AM37</f>
        <v>60</v>
      </c>
      <c r="AQ37" s="3"/>
      <c r="AR37" s="87"/>
      <c r="AS37" s="88"/>
      <c r="AT37" s="89">
        <v>1.0</v>
      </c>
      <c r="AU37" s="90">
        <v>1.0</v>
      </c>
      <c r="AV37" s="90">
        <v>1.0</v>
      </c>
      <c r="AW37" s="90">
        <f>Max!$B$5*AT37</f>
        <v>100</v>
      </c>
      <c r="AX37" s="3"/>
      <c r="AY37" s="3"/>
      <c r="AZ37" s="3"/>
      <c r="BA37" s="3"/>
      <c r="BB37" s="3"/>
      <c r="BC37" s="3"/>
      <c r="BD37" s="3"/>
      <c r="BE37" s="3"/>
      <c r="BF37" s="3"/>
      <c r="BG37" s="3"/>
    </row>
    <row r="38" ht="12.75" customHeight="1">
      <c r="A38" s="45">
        <v>1.0</v>
      </c>
      <c r="B38" s="46" t="s">
        <v>43</v>
      </c>
      <c r="C38" s="47">
        <v>0.55</v>
      </c>
      <c r="D38" s="49">
        <v>5.0</v>
      </c>
      <c r="E38" s="49">
        <v>1.0</v>
      </c>
      <c r="F38" s="49">
        <f>Max!$B$4*C38</f>
        <v>55</v>
      </c>
      <c r="G38" s="51"/>
      <c r="H38" s="52"/>
      <c r="I38" s="51"/>
      <c r="J38" s="52"/>
      <c r="K38" s="51"/>
      <c r="L38" s="53"/>
      <c r="M38" s="3"/>
      <c r="N38" s="3"/>
      <c r="O38" s="3"/>
      <c r="P38" s="3"/>
      <c r="Q38" s="3"/>
      <c r="R38" s="3"/>
      <c r="S38" s="3"/>
      <c r="T38" s="3"/>
      <c r="U38" s="3"/>
      <c r="V38" s="3"/>
      <c r="W38" s="3"/>
      <c r="X38" s="3"/>
      <c r="Y38" s="3"/>
      <c r="Z38" s="3"/>
      <c r="AA38" s="3"/>
      <c r="AB38" s="3"/>
      <c r="AC38" s="3"/>
      <c r="AD38" s="38">
        <v>1.0</v>
      </c>
      <c r="AE38" s="39" t="s">
        <v>42</v>
      </c>
      <c r="AF38" s="40">
        <v>0.55</v>
      </c>
      <c r="AG38" s="50">
        <v>5.0</v>
      </c>
      <c r="AH38" s="41">
        <v>1.0</v>
      </c>
      <c r="AI38" s="41">
        <f>Max!$B$3*AF38</f>
        <v>55</v>
      </c>
      <c r="AJ38" s="3"/>
      <c r="AK38" s="38"/>
      <c r="AL38" s="39"/>
      <c r="AM38" s="40">
        <v>0.7</v>
      </c>
      <c r="AN38" s="50">
        <v>3.0</v>
      </c>
      <c r="AO38" s="41">
        <v>1.0</v>
      </c>
      <c r="AP38" s="41">
        <f>Max!$B$3*AM38</f>
        <v>70</v>
      </c>
      <c r="AQ38" s="3"/>
      <c r="AR38" s="87"/>
      <c r="AS38" s="88"/>
      <c r="AT38" s="89">
        <v>1.05</v>
      </c>
      <c r="AU38" s="90">
        <v>1.0</v>
      </c>
      <c r="AV38" s="90">
        <v>1.0</v>
      </c>
      <c r="AW38" s="90">
        <f>Max!$B$5*AT38</f>
        <v>105</v>
      </c>
      <c r="AX38" s="3"/>
      <c r="AY38" s="3"/>
      <c r="AZ38" s="3"/>
      <c r="BA38" s="3"/>
      <c r="BB38" s="3"/>
      <c r="BC38" s="3"/>
      <c r="BD38" s="3"/>
      <c r="BE38" s="3"/>
      <c r="BF38" s="3"/>
      <c r="BG38" s="3"/>
    </row>
    <row r="39" ht="12.75" customHeight="1">
      <c r="A39" s="45"/>
      <c r="B39" s="46"/>
      <c r="C39" s="47">
        <v>0.65</v>
      </c>
      <c r="D39" s="49">
        <v>4.0</v>
      </c>
      <c r="E39" s="49">
        <v>1.0</v>
      </c>
      <c r="F39" s="49">
        <f>Max!$B$4*C39</f>
        <v>65</v>
      </c>
      <c r="G39" s="51"/>
      <c r="H39" s="52"/>
      <c r="I39" s="51"/>
      <c r="J39" s="52"/>
      <c r="K39" s="51"/>
      <c r="L39" s="53"/>
      <c r="M39" s="3"/>
      <c r="N39" s="3"/>
      <c r="O39" s="3"/>
      <c r="P39" s="3"/>
      <c r="Q39" s="3"/>
      <c r="R39" s="3"/>
      <c r="S39" s="3"/>
      <c r="T39" s="3"/>
      <c r="U39" s="3"/>
      <c r="V39" s="3"/>
      <c r="W39" s="3"/>
      <c r="X39" s="3"/>
      <c r="Y39" s="3"/>
      <c r="Z39" s="3"/>
      <c r="AA39" s="3"/>
      <c r="AB39" s="3"/>
      <c r="AC39" s="3"/>
      <c r="AD39" s="38"/>
      <c r="AE39" s="39"/>
      <c r="AF39" s="40">
        <v>0.65</v>
      </c>
      <c r="AG39" s="50">
        <v>4.0</v>
      </c>
      <c r="AH39" s="41">
        <v>1.0</v>
      </c>
      <c r="AI39" s="41">
        <f>Max!$B$3*AF39</f>
        <v>65</v>
      </c>
      <c r="AJ39" s="3"/>
      <c r="AK39" s="38"/>
      <c r="AL39" s="39"/>
      <c r="AM39" s="40">
        <v>0.75</v>
      </c>
      <c r="AN39" s="50">
        <v>2.0</v>
      </c>
      <c r="AO39" s="41">
        <v>4.0</v>
      </c>
      <c r="AP39" s="41">
        <f>Max!$B$3*AM39</f>
        <v>75</v>
      </c>
      <c r="AQ39" s="3"/>
      <c r="AR39" s="60">
        <v>3.0</v>
      </c>
      <c r="AS39" s="80" t="s">
        <v>46</v>
      </c>
      <c r="AT39" s="61">
        <v>0.8</v>
      </c>
      <c r="AU39" s="62">
        <v>4.0</v>
      </c>
      <c r="AV39" s="63">
        <v>5.0</v>
      </c>
      <c r="AW39" s="63"/>
      <c r="AX39" s="3"/>
      <c r="AY39" s="3"/>
      <c r="AZ39" s="3"/>
      <c r="BA39" s="3"/>
      <c r="BB39" s="3"/>
      <c r="BC39" s="3"/>
      <c r="BD39" s="3"/>
      <c r="BE39" s="3"/>
      <c r="BF39" s="3"/>
      <c r="BG39" s="3"/>
    </row>
    <row r="40" ht="12.75" customHeight="1">
      <c r="A40" s="45"/>
      <c r="B40" s="46"/>
      <c r="C40" s="47">
        <v>0.75</v>
      </c>
      <c r="D40" s="49">
        <v>3.0</v>
      </c>
      <c r="E40" s="49">
        <v>1.0</v>
      </c>
      <c r="F40" s="49">
        <f>Max!$B$4*C40</f>
        <v>75</v>
      </c>
      <c r="G40" s="51">
        <f t="shared" ref="G40:G43" si="13">D39*E39</f>
        <v>4</v>
      </c>
      <c r="H40" s="52">
        <f t="shared" ref="H40:H43" si="14">F39*G40</f>
        <v>260</v>
      </c>
      <c r="I40" s="51"/>
      <c r="J40" s="52"/>
      <c r="K40" s="51"/>
      <c r="L40" s="53"/>
      <c r="M40" s="6">
        <f>G40</f>
        <v>4</v>
      </c>
      <c r="N40" s="6">
        <f>G41</f>
        <v>3</v>
      </c>
      <c r="O40" s="6">
        <f>G42</f>
        <v>8</v>
      </c>
      <c r="P40" s="6">
        <f>G43</f>
        <v>5</v>
      </c>
      <c r="Q40" s="3"/>
      <c r="R40" s="3"/>
      <c r="S40" s="3"/>
      <c r="T40" s="3"/>
      <c r="U40" s="3"/>
      <c r="V40" s="3"/>
      <c r="W40" s="3"/>
      <c r="X40" s="3"/>
      <c r="Y40" s="3"/>
      <c r="Z40" s="3"/>
      <c r="AA40" s="3"/>
      <c r="AB40" s="3"/>
      <c r="AC40" s="3"/>
      <c r="AD40" s="38"/>
      <c r="AE40" s="39"/>
      <c r="AF40" s="40">
        <v>0.75</v>
      </c>
      <c r="AG40" s="50">
        <v>3.0</v>
      </c>
      <c r="AH40" s="41">
        <v>1.0</v>
      </c>
      <c r="AI40" s="41">
        <f>Max!$B$3*AF40</f>
        <v>75</v>
      </c>
      <c r="AJ40" s="3"/>
      <c r="AK40" s="45">
        <v>2.0</v>
      </c>
      <c r="AL40" s="46" t="s">
        <v>43</v>
      </c>
      <c r="AM40" s="47">
        <v>0.5</v>
      </c>
      <c r="AN40" s="48">
        <v>5.0</v>
      </c>
      <c r="AO40" s="49">
        <v>1.0</v>
      </c>
      <c r="AP40" s="49">
        <f>Max!$B$4*AM40</f>
        <v>50</v>
      </c>
      <c r="AQ40" s="3"/>
      <c r="AR40" s="56">
        <v>4.0</v>
      </c>
      <c r="AS40" s="80" t="s">
        <v>60</v>
      </c>
      <c r="AT40" s="58">
        <v>0.65</v>
      </c>
      <c r="AU40" s="79">
        <v>8.0</v>
      </c>
      <c r="AV40" s="55">
        <v>4.0</v>
      </c>
      <c r="AW40" s="55"/>
      <c r="AX40" s="3"/>
      <c r="AY40" s="3"/>
      <c r="AZ40" s="3"/>
      <c r="BA40" s="3"/>
      <c r="BB40" s="3"/>
      <c r="BC40" s="3"/>
      <c r="BD40" s="3"/>
      <c r="BE40" s="3"/>
      <c r="BF40" s="3"/>
      <c r="BG40" s="3"/>
    </row>
    <row r="41" ht="12.75" customHeight="1">
      <c r="A41" s="45"/>
      <c r="B41" s="46"/>
      <c r="C41" s="47">
        <v>0.85</v>
      </c>
      <c r="D41" s="49">
        <v>2.0</v>
      </c>
      <c r="E41" s="49">
        <v>4.0</v>
      </c>
      <c r="F41" s="49">
        <f>Max!$B$4*C41</f>
        <v>85</v>
      </c>
      <c r="G41" s="51">
        <f t="shared" si="13"/>
        <v>3</v>
      </c>
      <c r="H41" s="52">
        <f t="shared" si="14"/>
        <v>225</v>
      </c>
      <c r="I41" s="51"/>
      <c r="J41" s="52"/>
      <c r="K41" s="51"/>
      <c r="L41" s="53"/>
      <c r="M41" s="3"/>
      <c r="N41" s="3"/>
      <c r="O41" s="3"/>
      <c r="P41" s="3"/>
      <c r="Q41" s="3"/>
      <c r="R41" s="3"/>
      <c r="S41" s="3"/>
      <c r="T41" s="3"/>
      <c r="U41" s="3"/>
      <c r="V41" s="3"/>
      <c r="W41" s="3"/>
      <c r="X41" s="3"/>
      <c r="Y41" s="3"/>
      <c r="Z41" s="3"/>
      <c r="AA41" s="3"/>
      <c r="AB41" s="3"/>
      <c r="AC41" s="3"/>
      <c r="AD41" s="38"/>
      <c r="AE41" s="39"/>
      <c r="AF41" s="40">
        <v>0.85</v>
      </c>
      <c r="AG41" s="50">
        <v>2.0</v>
      </c>
      <c r="AH41" s="41">
        <v>4.0</v>
      </c>
      <c r="AI41" s="41">
        <f>Max!$B$3*AF41</f>
        <v>85</v>
      </c>
      <c r="AJ41" s="3"/>
      <c r="AK41" s="45"/>
      <c r="AL41" s="46"/>
      <c r="AM41" s="47">
        <v>0.6</v>
      </c>
      <c r="AN41" s="48">
        <v>4.0</v>
      </c>
      <c r="AO41" s="49">
        <v>1.0</v>
      </c>
      <c r="AP41" s="49">
        <f>Max!$B$4*AM41</f>
        <v>60</v>
      </c>
      <c r="AQ41" s="3"/>
      <c r="AR41" s="28"/>
      <c r="AS41" s="57"/>
      <c r="AT41" s="36"/>
      <c r="AU41" s="13"/>
      <c r="AV41" s="13"/>
      <c r="AW41" s="13"/>
      <c r="AX41" s="3"/>
      <c r="AY41" s="3"/>
      <c r="AZ41" s="3"/>
      <c r="BA41" s="3"/>
      <c r="BB41" s="3"/>
      <c r="BC41" s="3"/>
      <c r="BD41" s="3"/>
      <c r="BE41" s="3"/>
      <c r="BF41" s="3"/>
      <c r="BG41" s="3"/>
    </row>
    <row r="42" ht="12.75" customHeight="1">
      <c r="A42" s="38">
        <v>2.0</v>
      </c>
      <c r="B42" s="39" t="s">
        <v>42</v>
      </c>
      <c r="C42" s="40">
        <v>0.5</v>
      </c>
      <c r="D42" s="50">
        <v>5.0</v>
      </c>
      <c r="E42" s="41">
        <v>1.0</v>
      </c>
      <c r="F42" s="41">
        <f>Max!$B$3*C42</f>
        <v>50</v>
      </c>
      <c r="G42" s="51">
        <f t="shared" si="13"/>
        <v>8</v>
      </c>
      <c r="H42" s="52">
        <f t="shared" si="14"/>
        <v>680</v>
      </c>
      <c r="I42" s="51"/>
      <c r="J42" s="52"/>
      <c r="K42" s="51"/>
      <c r="L42" s="53"/>
      <c r="M42" s="3"/>
      <c r="N42" s="3"/>
      <c r="O42" s="3"/>
      <c r="P42" s="3"/>
      <c r="Q42" s="3"/>
      <c r="R42" s="3"/>
      <c r="S42" s="3"/>
      <c r="T42" s="3"/>
      <c r="U42" s="3"/>
      <c r="V42" s="3"/>
      <c r="W42" s="3"/>
      <c r="X42" s="3"/>
      <c r="Y42" s="3"/>
      <c r="Z42" s="3"/>
      <c r="AA42" s="3"/>
      <c r="AB42" s="3"/>
      <c r="AC42" s="3"/>
      <c r="AD42" s="45">
        <v>2.0</v>
      </c>
      <c r="AE42" s="46" t="s">
        <v>43</v>
      </c>
      <c r="AF42" s="47">
        <v>0.5</v>
      </c>
      <c r="AG42" s="49">
        <v>5.0</v>
      </c>
      <c r="AH42" s="49">
        <v>1.0</v>
      </c>
      <c r="AI42" s="49">
        <f>Max!$B$4*AF42</f>
        <v>50</v>
      </c>
      <c r="AJ42" s="3"/>
      <c r="AK42" s="45"/>
      <c r="AL42" s="46"/>
      <c r="AM42" s="47">
        <v>0.7</v>
      </c>
      <c r="AN42" s="48">
        <v>3.0</v>
      </c>
      <c r="AO42" s="49">
        <v>1.0</v>
      </c>
      <c r="AP42" s="49">
        <f>Max!$B$4*AM42</f>
        <v>70</v>
      </c>
      <c r="AQ42" s="3"/>
      <c r="AR42" s="28" t="s">
        <v>58</v>
      </c>
      <c r="AS42" s="3"/>
      <c r="AT42" s="37" t="s">
        <v>33</v>
      </c>
      <c r="AU42" s="26" t="s">
        <v>34</v>
      </c>
      <c r="AV42" s="26" t="s">
        <v>35</v>
      </c>
      <c r="AW42" s="26" t="s">
        <v>36</v>
      </c>
      <c r="AX42" s="3"/>
      <c r="AY42" s="3"/>
      <c r="AZ42" s="3"/>
      <c r="BA42" s="3"/>
      <c r="BB42" s="3"/>
      <c r="BC42" s="3"/>
      <c r="BD42" s="3"/>
      <c r="BE42" s="3"/>
      <c r="BF42" s="3"/>
      <c r="BG42" s="3"/>
    </row>
    <row r="43" ht="12.75" customHeight="1">
      <c r="A43" s="38"/>
      <c r="B43" s="39"/>
      <c r="C43" s="40">
        <v>0.6</v>
      </c>
      <c r="D43" s="50">
        <v>4.0</v>
      </c>
      <c r="E43" s="41">
        <v>1.0</v>
      </c>
      <c r="F43" s="41">
        <f>Max!$B$3*C43</f>
        <v>60</v>
      </c>
      <c r="G43" s="51">
        <f t="shared" si="13"/>
        <v>5</v>
      </c>
      <c r="H43" s="52">
        <f t="shared" si="14"/>
        <v>250</v>
      </c>
      <c r="I43" s="51"/>
      <c r="J43" s="52"/>
      <c r="K43" s="51"/>
      <c r="L43" s="53"/>
      <c r="M43" s="3"/>
      <c r="N43" s="3"/>
      <c r="O43" s="3"/>
      <c r="P43" s="3"/>
      <c r="Q43" s="3"/>
      <c r="R43" s="3"/>
      <c r="S43" s="3"/>
      <c r="T43" s="3"/>
      <c r="U43" s="3"/>
      <c r="V43" s="3"/>
      <c r="W43" s="3"/>
      <c r="X43" s="3"/>
      <c r="Y43" s="3"/>
      <c r="Z43" s="3"/>
      <c r="AA43" s="3"/>
      <c r="AB43" s="3"/>
      <c r="AC43" s="3"/>
      <c r="AD43" s="45"/>
      <c r="AE43" s="46"/>
      <c r="AF43" s="47">
        <v>0.6</v>
      </c>
      <c r="AG43" s="49">
        <v>4.0</v>
      </c>
      <c r="AH43" s="49">
        <v>1.0</v>
      </c>
      <c r="AI43" s="49">
        <f>Max!$B$4*AF43</f>
        <v>60</v>
      </c>
      <c r="AJ43" s="3"/>
      <c r="AK43" s="45"/>
      <c r="AL43" s="46"/>
      <c r="AM43" s="47">
        <v>0.75</v>
      </c>
      <c r="AN43" s="48">
        <v>3.0</v>
      </c>
      <c r="AO43" s="49">
        <v>5.0</v>
      </c>
      <c r="AP43" s="49">
        <f>Max!$B$4*AM43</f>
        <v>75</v>
      </c>
      <c r="AQ43" s="3"/>
      <c r="AR43" s="38">
        <v>1.0</v>
      </c>
      <c r="AS43" s="39" t="s">
        <v>42</v>
      </c>
      <c r="AT43" s="40">
        <v>0.5</v>
      </c>
      <c r="AU43" s="50">
        <v>5.0</v>
      </c>
      <c r="AV43" s="41">
        <v>1.0</v>
      </c>
      <c r="AW43" s="41">
        <f>Max!$B$3*AT43</f>
        <v>50</v>
      </c>
      <c r="AX43" s="3"/>
      <c r="AY43" s="3"/>
      <c r="AZ43" s="3"/>
      <c r="BA43" s="3"/>
      <c r="BB43" s="3"/>
      <c r="BC43" s="3"/>
      <c r="BD43" s="3"/>
      <c r="BE43" s="3"/>
      <c r="BF43" s="3"/>
      <c r="BG43" s="3"/>
    </row>
    <row r="44" ht="12.75" customHeight="1">
      <c r="A44" s="38"/>
      <c r="B44" s="39"/>
      <c r="C44" s="40">
        <v>0.7</v>
      </c>
      <c r="D44" s="50">
        <v>3.0</v>
      </c>
      <c r="E44" s="41">
        <v>1.0</v>
      </c>
      <c r="F44" s="41">
        <f>Max!$B$3*C44</f>
        <v>70</v>
      </c>
      <c r="G44" s="51"/>
      <c r="H44" s="52"/>
      <c r="I44" s="51">
        <f t="shared" ref="I44:I47" si="15">D43*E43</f>
        <v>4</v>
      </c>
      <c r="J44" s="52">
        <f t="shared" ref="J44:J47" si="16">F43*I44</f>
        <v>240</v>
      </c>
      <c r="K44" s="51"/>
      <c r="L44" s="53"/>
      <c r="M44" s="3"/>
      <c r="N44" s="3"/>
      <c r="O44" s="3"/>
      <c r="P44" s="3"/>
      <c r="Q44" s="3"/>
      <c r="R44" s="6">
        <f>I44</f>
        <v>4</v>
      </c>
      <c r="S44" s="6">
        <f>I45</f>
        <v>3</v>
      </c>
      <c r="T44" s="6">
        <f>I46</f>
        <v>8</v>
      </c>
      <c r="U44" s="6">
        <f>I47</f>
        <v>3</v>
      </c>
      <c r="V44" s="3"/>
      <c r="W44" s="3"/>
      <c r="X44" s="3"/>
      <c r="Y44" s="3"/>
      <c r="Z44" s="3"/>
      <c r="AA44" s="3"/>
      <c r="AB44" s="3"/>
      <c r="AC44" s="3"/>
      <c r="AD44" s="45"/>
      <c r="AE44" s="46"/>
      <c r="AF44" s="47">
        <v>0.7</v>
      </c>
      <c r="AG44" s="49">
        <v>3.0</v>
      </c>
      <c r="AH44" s="49">
        <v>1.0</v>
      </c>
      <c r="AI44" s="49">
        <f>Max!$B$4*AF44</f>
        <v>70</v>
      </c>
      <c r="AJ44" s="3"/>
      <c r="AK44" s="56">
        <v>3.0</v>
      </c>
      <c r="AL44" s="80" t="s">
        <v>44</v>
      </c>
      <c r="AM44" s="58">
        <v>0.7</v>
      </c>
      <c r="AN44" s="55">
        <v>6.0</v>
      </c>
      <c r="AO44" s="55">
        <v>5.0</v>
      </c>
      <c r="AP44" s="55"/>
      <c r="AQ44" s="3"/>
      <c r="AR44" s="38"/>
      <c r="AS44" s="39"/>
      <c r="AT44" s="40">
        <v>0.6</v>
      </c>
      <c r="AU44" s="50">
        <v>4.0</v>
      </c>
      <c r="AV44" s="41">
        <v>1.0</v>
      </c>
      <c r="AW44" s="41">
        <f>Max!$B$3*AT44</f>
        <v>60</v>
      </c>
      <c r="AX44" s="3"/>
      <c r="AY44" s="3"/>
      <c r="AZ44" s="3"/>
      <c r="BA44" s="3"/>
      <c r="BB44" s="3"/>
      <c r="BC44" s="3"/>
      <c r="BD44" s="3"/>
      <c r="BE44" s="3"/>
      <c r="BF44" s="3"/>
      <c r="BG44" s="3"/>
    </row>
    <row r="45" ht="12.75" customHeight="1">
      <c r="A45" s="38"/>
      <c r="B45" s="39"/>
      <c r="C45" s="40">
        <v>0.8</v>
      </c>
      <c r="D45" s="50">
        <v>2.0</v>
      </c>
      <c r="E45" s="41">
        <v>4.0</v>
      </c>
      <c r="F45" s="41">
        <f>Max!$B$3*C45</f>
        <v>80</v>
      </c>
      <c r="G45" s="51"/>
      <c r="H45" s="52"/>
      <c r="I45" s="51">
        <f t="shared" si="15"/>
        <v>3</v>
      </c>
      <c r="J45" s="52">
        <f t="shared" si="16"/>
        <v>210</v>
      </c>
      <c r="K45" s="51"/>
      <c r="L45" s="53"/>
      <c r="M45" s="3"/>
      <c r="N45" s="3"/>
      <c r="O45" s="3"/>
      <c r="P45" s="3"/>
      <c r="Q45" s="3"/>
      <c r="R45" s="3"/>
      <c r="S45" s="3"/>
      <c r="T45" s="3"/>
      <c r="U45" s="3"/>
      <c r="V45" s="3"/>
      <c r="W45" s="3"/>
      <c r="X45" s="3"/>
      <c r="Y45" s="3"/>
      <c r="Z45" s="3"/>
      <c r="AA45" s="3"/>
      <c r="AB45" s="3"/>
      <c r="AC45" s="3"/>
      <c r="AD45" s="45"/>
      <c r="AE45" s="46"/>
      <c r="AF45" s="47">
        <v>0.8</v>
      </c>
      <c r="AG45" s="49">
        <v>3.0</v>
      </c>
      <c r="AH45" s="49">
        <v>5.0</v>
      </c>
      <c r="AI45" s="49">
        <f>Max!$B$4*AF45</f>
        <v>80</v>
      </c>
      <c r="AJ45" s="3"/>
      <c r="AK45" s="60">
        <v>4.0</v>
      </c>
      <c r="AL45" s="59" t="s">
        <v>46</v>
      </c>
      <c r="AM45" s="61">
        <v>0.8</v>
      </c>
      <c r="AN45" s="62">
        <v>4.0</v>
      </c>
      <c r="AO45" s="63">
        <v>5.0</v>
      </c>
      <c r="AP45" s="63"/>
      <c r="AQ45" s="3"/>
      <c r="AR45" s="38"/>
      <c r="AS45" s="39"/>
      <c r="AT45" s="40">
        <v>0.7</v>
      </c>
      <c r="AU45" s="50">
        <v>3.0</v>
      </c>
      <c r="AV45" s="41">
        <v>1.0</v>
      </c>
      <c r="AW45" s="41">
        <f>Max!$B$3*AT45</f>
        <v>70</v>
      </c>
      <c r="AX45" s="3"/>
      <c r="AY45" s="3"/>
      <c r="AZ45" s="3"/>
      <c r="BA45" s="3"/>
      <c r="BB45" s="3"/>
      <c r="BC45" s="3"/>
      <c r="BD45" s="3"/>
      <c r="BE45" s="3"/>
      <c r="BF45" s="3"/>
      <c r="BG45" s="3"/>
    </row>
    <row r="46" ht="12.75" customHeight="1">
      <c r="A46" s="45">
        <v>2.0</v>
      </c>
      <c r="B46" s="46" t="s">
        <v>43</v>
      </c>
      <c r="C46" s="47">
        <v>0.5</v>
      </c>
      <c r="D46" s="49">
        <v>3.0</v>
      </c>
      <c r="E46" s="49">
        <v>1.0</v>
      </c>
      <c r="F46" s="49">
        <f>Max!$B$4*C46</f>
        <v>50</v>
      </c>
      <c r="G46" s="51"/>
      <c r="H46" s="52"/>
      <c r="I46" s="51">
        <f t="shared" si="15"/>
        <v>8</v>
      </c>
      <c r="J46" s="52">
        <f t="shared" si="16"/>
        <v>640</v>
      </c>
      <c r="K46" s="51"/>
      <c r="L46" s="53"/>
      <c r="M46" s="3"/>
      <c r="N46" s="3"/>
      <c r="O46" s="3"/>
      <c r="P46" s="3"/>
      <c r="Q46" s="3"/>
      <c r="R46" s="3"/>
      <c r="S46" s="3"/>
      <c r="T46" s="3"/>
      <c r="U46" s="3"/>
      <c r="V46" s="3"/>
      <c r="W46" s="3"/>
      <c r="X46" s="3"/>
      <c r="Y46" s="3"/>
      <c r="Z46" s="3"/>
      <c r="AA46" s="3"/>
      <c r="AB46" s="3"/>
      <c r="AC46" s="3"/>
      <c r="AD46" s="38">
        <v>3.0</v>
      </c>
      <c r="AE46" s="39" t="s">
        <v>42</v>
      </c>
      <c r="AF46" s="40">
        <v>0.5</v>
      </c>
      <c r="AG46" s="50">
        <v>3.0</v>
      </c>
      <c r="AH46" s="41">
        <v>1.0</v>
      </c>
      <c r="AI46" s="41">
        <f>Max!$B$3*AF46</f>
        <v>50</v>
      </c>
      <c r="AJ46" s="3"/>
      <c r="AK46" s="64">
        <v>5.0</v>
      </c>
      <c r="AL46" s="65" t="s">
        <v>59</v>
      </c>
      <c r="AM46" s="66">
        <v>0.6</v>
      </c>
      <c r="AN46" s="67">
        <v>10.0</v>
      </c>
      <c r="AO46" s="68">
        <v>3.0</v>
      </c>
      <c r="AP46" s="68"/>
      <c r="AQ46" s="3"/>
      <c r="AR46" s="38"/>
      <c r="AS46" s="39"/>
      <c r="AT46" s="40">
        <v>0.8</v>
      </c>
      <c r="AU46" s="50">
        <v>2.0</v>
      </c>
      <c r="AV46" s="41">
        <v>5.0</v>
      </c>
      <c r="AW46" s="41">
        <f>Max!$B$3*AT46</f>
        <v>80</v>
      </c>
      <c r="AX46" s="3"/>
      <c r="AY46" s="3"/>
      <c r="AZ46" s="3"/>
      <c r="BA46" s="3"/>
      <c r="BB46" s="3"/>
      <c r="BC46" s="3"/>
      <c r="BD46" s="3"/>
      <c r="BE46" s="3"/>
      <c r="BF46" s="3"/>
      <c r="BG46" s="3"/>
    </row>
    <row r="47" ht="12.75" customHeight="1">
      <c r="A47" s="45"/>
      <c r="B47" s="46"/>
      <c r="C47" s="47">
        <v>0.6</v>
      </c>
      <c r="D47" s="49">
        <v>3.0</v>
      </c>
      <c r="E47" s="49">
        <v>1.0</v>
      </c>
      <c r="F47" s="49">
        <f>Max!$B$4*C47</f>
        <v>60</v>
      </c>
      <c r="G47" s="51"/>
      <c r="H47" s="52"/>
      <c r="I47" s="51">
        <f t="shared" si="15"/>
        <v>3</v>
      </c>
      <c r="J47" s="52">
        <f t="shared" si="16"/>
        <v>150</v>
      </c>
      <c r="K47" s="51"/>
      <c r="L47" s="53"/>
      <c r="M47" s="3"/>
      <c r="N47" s="3"/>
      <c r="O47" s="3"/>
      <c r="P47" s="3"/>
      <c r="Q47" s="3"/>
      <c r="R47" s="3"/>
      <c r="S47" s="3"/>
      <c r="T47" s="3"/>
      <c r="U47" s="3"/>
      <c r="V47" s="3"/>
      <c r="W47" s="3"/>
      <c r="X47" s="3"/>
      <c r="Y47" s="3"/>
      <c r="Z47" s="3"/>
      <c r="AA47" s="3"/>
      <c r="AB47" s="3"/>
      <c r="AC47" s="3"/>
      <c r="AD47" s="38"/>
      <c r="AE47" s="39"/>
      <c r="AF47" s="40">
        <v>0.6</v>
      </c>
      <c r="AG47" s="50">
        <v>3.0</v>
      </c>
      <c r="AH47" s="41">
        <v>1.0</v>
      </c>
      <c r="AI47" s="41">
        <f>Max!$B$3*AF47</f>
        <v>60</v>
      </c>
      <c r="AJ47" s="3"/>
      <c r="AK47" s="3"/>
      <c r="AL47" s="3"/>
      <c r="AM47" s="3"/>
      <c r="AN47" s="3"/>
      <c r="AO47" s="3"/>
      <c r="AP47" s="3"/>
      <c r="AQ47" s="3"/>
      <c r="AR47" s="45">
        <v>2.0</v>
      </c>
      <c r="AS47" s="46" t="s">
        <v>43</v>
      </c>
      <c r="AT47" s="47">
        <v>0.5</v>
      </c>
      <c r="AU47" s="48">
        <v>5.0</v>
      </c>
      <c r="AV47" s="49">
        <v>1.0</v>
      </c>
      <c r="AW47" s="49">
        <f>Max!$B$4*AT47</f>
        <v>50</v>
      </c>
      <c r="AX47" s="3"/>
      <c r="AY47" s="3"/>
      <c r="AZ47" s="3"/>
      <c r="BA47" s="3"/>
      <c r="BB47" s="3"/>
      <c r="BC47" s="3"/>
      <c r="BD47" s="3"/>
      <c r="BE47" s="3"/>
      <c r="BF47" s="3"/>
      <c r="BG47" s="3"/>
    </row>
    <row r="48" ht="12.75" customHeight="1">
      <c r="A48" s="45"/>
      <c r="B48" s="46"/>
      <c r="C48" s="47">
        <v>0.7</v>
      </c>
      <c r="D48" s="49">
        <v>3.0</v>
      </c>
      <c r="E48" s="49">
        <v>1.0</v>
      </c>
      <c r="F48" s="49">
        <f>Max!$B$4*C48</f>
        <v>70</v>
      </c>
      <c r="G48" s="51" t="str">
        <f t="shared" ref="G48:G50" si="17">#REF!*#REF!</f>
        <v>#REF!</v>
      </c>
      <c r="H48" s="52" t="str">
        <f t="shared" ref="H48:H50" si="18">#REF!*G48</f>
        <v>#REF!</v>
      </c>
      <c r="I48" s="51"/>
      <c r="J48" s="52"/>
      <c r="K48" s="51"/>
      <c r="L48" s="53"/>
      <c r="M48" s="6" t="str">
        <f>G48</f>
        <v>#REF!</v>
      </c>
      <c r="N48" s="6" t="str">
        <f>G49</f>
        <v>#REF!</v>
      </c>
      <c r="O48" s="6" t="str">
        <f>G50</f>
        <v>#REF!</v>
      </c>
      <c r="P48" s="6">
        <f>G51</f>
        <v>30</v>
      </c>
      <c r="Q48" s="3"/>
      <c r="R48" s="3"/>
      <c r="S48" s="3"/>
      <c r="T48" s="3"/>
      <c r="U48" s="3"/>
      <c r="V48" s="3"/>
      <c r="W48" s="3"/>
      <c r="X48" s="3"/>
      <c r="Y48" s="3"/>
      <c r="Z48" s="3"/>
      <c r="AA48" s="3"/>
      <c r="AB48" s="3"/>
      <c r="AC48" s="3"/>
      <c r="AD48" s="38"/>
      <c r="AE48" s="39"/>
      <c r="AF48" s="40">
        <v>0.7</v>
      </c>
      <c r="AG48" s="50">
        <v>3.0</v>
      </c>
      <c r="AH48" s="41">
        <v>1.0</v>
      </c>
      <c r="AI48" s="41">
        <f>Max!$B$3*AF48</f>
        <v>70</v>
      </c>
      <c r="AJ48" s="3"/>
      <c r="AK48" s="28" t="s">
        <v>61</v>
      </c>
      <c r="AL48" s="28"/>
      <c r="AM48" s="37" t="s">
        <v>33</v>
      </c>
      <c r="AN48" s="26" t="s">
        <v>34</v>
      </c>
      <c r="AO48" s="26" t="s">
        <v>35</v>
      </c>
      <c r="AP48" s="26" t="s">
        <v>36</v>
      </c>
      <c r="AQ48" s="3"/>
      <c r="AR48" s="45"/>
      <c r="AS48" s="46"/>
      <c r="AT48" s="47">
        <v>0.6</v>
      </c>
      <c r="AU48" s="48">
        <v>4.0</v>
      </c>
      <c r="AV48" s="49">
        <v>1.0</v>
      </c>
      <c r="AW48" s="49">
        <f>Max!$B$4*AT48</f>
        <v>60</v>
      </c>
      <c r="AX48" s="3"/>
      <c r="AY48" s="3"/>
      <c r="AZ48" s="3"/>
      <c r="BA48" s="3"/>
      <c r="BB48" s="3"/>
      <c r="BC48" s="3"/>
      <c r="BD48" s="3"/>
      <c r="BE48" s="3"/>
      <c r="BF48" s="3"/>
      <c r="BG48" s="3"/>
    </row>
    <row r="49" ht="12.75" customHeight="1">
      <c r="A49" s="45"/>
      <c r="B49" s="46"/>
      <c r="C49" s="47">
        <v>0.8</v>
      </c>
      <c r="D49" s="49">
        <v>2.0</v>
      </c>
      <c r="E49" s="49">
        <v>4.0</v>
      </c>
      <c r="F49" s="49">
        <f>Max!$B$4*C49</f>
        <v>80</v>
      </c>
      <c r="G49" s="51" t="str">
        <f t="shared" si="17"/>
        <v>#REF!</v>
      </c>
      <c r="H49" s="52" t="str">
        <f t="shared" si="18"/>
        <v>#REF!</v>
      </c>
      <c r="I49" s="51"/>
      <c r="J49" s="52"/>
      <c r="K49" s="51"/>
      <c r="L49" s="53"/>
      <c r="M49" s="3"/>
      <c r="N49" s="3"/>
      <c r="O49" s="3"/>
      <c r="P49" s="3"/>
      <c r="Q49" s="3"/>
      <c r="R49" s="3"/>
      <c r="S49" s="3"/>
      <c r="T49" s="3"/>
      <c r="U49" s="3"/>
      <c r="V49" s="3"/>
      <c r="W49" s="3"/>
      <c r="X49" s="3"/>
      <c r="Y49" s="3"/>
      <c r="Z49" s="3"/>
      <c r="AA49" s="3"/>
      <c r="AB49" s="3"/>
      <c r="AC49" s="3"/>
      <c r="AD49" s="38"/>
      <c r="AE49" s="39"/>
      <c r="AF49" s="40">
        <v>0.8</v>
      </c>
      <c r="AG49" s="50">
        <v>2.0</v>
      </c>
      <c r="AH49" s="41">
        <v>4.0</v>
      </c>
      <c r="AI49" s="41">
        <f>Max!$B$3*AF49</f>
        <v>80</v>
      </c>
      <c r="AJ49" s="3"/>
      <c r="AK49" s="69">
        <v>1.0</v>
      </c>
      <c r="AL49" s="70" t="s">
        <v>51</v>
      </c>
      <c r="AM49" s="71">
        <v>0.5</v>
      </c>
      <c r="AN49" s="72">
        <v>3.0</v>
      </c>
      <c r="AO49" s="72">
        <v>1.0</v>
      </c>
      <c r="AP49" s="72">
        <f>Max!$B$5*AM49</f>
        <v>50</v>
      </c>
      <c r="AQ49" s="3"/>
      <c r="AR49" s="45"/>
      <c r="AS49" s="46"/>
      <c r="AT49" s="47">
        <v>0.7</v>
      </c>
      <c r="AU49" s="48">
        <v>3.0</v>
      </c>
      <c r="AV49" s="49">
        <v>1.0</v>
      </c>
      <c r="AW49" s="49">
        <f>Max!$B$4*AT49</f>
        <v>70</v>
      </c>
      <c r="AX49" s="3"/>
      <c r="AY49" s="3"/>
      <c r="AZ49" s="3"/>
      <c r="BA49" s="3"/>
      <c r="BB49" s="3"/>
      <c r="BC49" s="3"/>
      <c r="BD49" s="3"/>
      <c r="BE49" s="3"/>
      <c r="BF49" s="3"/>
      <c r="BG49" s="3"/>
    </row>
    <row r="50" ht="12.75" customHeight="1">
      <c r="A50" s="60">
        <v>4.0</v>
      </c>
      <c r="B50" s="59" t="s">
        <v>44</v>
      </c>
      <c r="C50" s="61">
        <v>0.7</v>
      </c>
      <c r="D50" s="62">
        <v>6.0</v>
      </c>
      <c r="E50" s="63">
        <v>5.0</v>
      </c>
      <c r="F50" s="63"/>
      <c r="G50" s="51" t="str">
        <f t="shared" si="17"/>
        <v>#REF!</v>
      </c>
      <c r="H50" s="52" t="str">
        <f t="shared" si="18"/>
        <v>#REF!</v>
      </c>
      <c r="I50" s="51"/>
      <c r="J50" s="52"/>
      <c r="K50" s="51"/>
      <c r="L50" s="53"/>
      <c r="M50" s="3"/>
      <c r="N50" s="3"/>
      <c r="O50" s="3"/>
      <c r="P50" s="3"/>
      <c r="Q50" s="3"/>
      <c r="R50" s="3"/>
      <c r="S50" s="3"/>
      <c r="T50" s="3"/>
      <c r="U50" s="3"/>
      <c r="V50" s="3"/>
      <c r="W50" s="3"/>
      <c r="X50" s="3"/>
      <c r="Y50" s="3"/>
      <c r="Z50" s="3"/>
      <c r="AA50" s="3"/>
      <c r="AB50" s="3"/>
      <c r="AC50" s="3"/>
      <c r="AD50" s="56">
        <v>4.0</v>
      </c>
      <c r="AE50" s="80" t="s">
        <v>44</v>
      </c>
      <c r="AF50" s="58">
        <v>0.7</v>
      </c>
      <c r="AG50" s="55">
        <v>6.0</v>
      </c>
      <c r="AH50" s="55">
        <v>5.0</v>
      </c>
      <c r="AI50" s="55"/>
      <c r="AJ50" s="3"/>
      <c r="AK50" s="69"/>
      <c r="AL50" s="70"/>
      <c r="AM50" s="71">
        <v>0.6</v>
      </c>
      <c r="AN50" s="72">
        <v>3.0</v>
      </c>
      <c r="AO50" s="72">
        <v>1.0</v>
      </c>
      <c r="AP50" s="72">
        <f>Max!$B$5*AM50</f>
        <v>60</v>
      </c>
      <c r="AQ50" s="3"/>
      <c r="AR50" s="45"/>
      <c r="AS50" s="46"/>
      <c r="AT50" s="47">
        <v>0.75</v>
      </c>
      <c r="AU50" s="48">
        <v>3.0</v>
      </c>
      <c r="AV50" s="49">
        <v>5.0</v>
      </c>
      <c r="AW50" s="49">
        <f>Max!$B$4*AT50</f>
        <v>75</v>
      </c>
      <c r="AX50" s="3"/>
      <c r="AY50" s="3"/>
      <c r="AZ50" s="3"/>
      <c r="BA50" s="3"/>
      <c r="BB50" s="3"/>
      <c r="BC50" s="3"/>
      <c r="BD50" s="3"/>
      <c r="BE50" s="3"/>
      <c r="BF50" s="3"/>
      <c r="BG50" s="3"/>
    </row>
    <row r="51" ht="12.75" customHeight="1">
      <c r="A51" s="64">
        <v>5.0</v>
      </c>
      <c r="B51" s="65" t="s">
        <v>59</v>
      </c>
      <c r="C51" s="66">
        <v>0.6</v>
      </c>
      <c r="D51" s="67">
        <v>10.0</v>
      </c>
      <c r="E51" s="68">
        <v>3.0</v>
      </c>
      <c r="F51" s="68"/>
      <c r="G51" s="13">
        <f>D50*E50</f>
        <v>30</v>
      </c>
      <c r="H51" s="52">
        <f>F50*G51</f>
        <v>0</v>
      </c>
      <c r="I51" s="51"/>
      <c r="J51" s="52"/>
      <c r="K51" s="51"/>
      <c r="L51" s="53"/>
      <c r="M51" s="3"/>
      <c r="N51" s="3"/>
      <c r="O51" s="3"/>
      <c r="P51" s="3"/>
      <c r="Q51" s="3"/>
      <c r="R51" s="3"/>
      <c r="S51" s="3"/>
      <c r="T51" s="3"/>
      <c r="U51" s="3"/>
      <c r="V51" s="3"/>
      <c r="W51" s="3"/>
      <c r="X51" s="3"/>
      <c r="Y51" s="3"/>
      <c r="Z51" s="3"/>
      <c r="AA51" s="3"/>
      <c r="AB51" s="3"/>
      <c r="AC51" s="3"/>
      <c r="AD51" s="64">
        <v>5.0</v>
      </c>
      <c r="AE51" s="65" t="s">
        <v>48</v>
      </c>
      <c r="AF51" s="66">
        <v>0.75</v>
      </c>
      <c r="AG51" s="67">
        <v>5.0</v>
      </c>
      <c r="AH51" s="68">
        <v>5.0</v>
      </c>
      <c r="AI51" s="68"/>
      <c r="AJ51" s="3"/>
      <c r="AK51" s="69"/>
      <c r="AL51" s="70"/>
      <c r="AM51" s="71">
        <v>0.7</v>
      </c>
      <c r="AN51" s="72">
        <v>3.0</v>
      </c>
      <c r="AO51" s="72">
        <v>1.0</v>
      </c>
      <c r="AP51" s="72">
        <f>Max!$B$5*AM51</f>
        <v>70</v>
      </c>
      <c r="AQ51" s="3"/>
      <c r="AR51" s="38">
        <v>3.0</v>
      </c>
      <c r="AS51" s="39" t="s">
        <v>42</v>
      </c>
      <c r="AT51" s="40">
        <v>0.5</v>
      </c>
      <c r="AU51" s="50">
        <v>4.0</v>
      </c>
      <c r="AV51" s="41">
        <v>1.0</v>
      </c>
      <c r="AW51" s="41">
        <f>Max!$B$3*AT51</f>
        <v>50</v>
      </c>
      <c r="AX51" s="3"/>
      <c r="AY51" s="3"/>
      <c r="AZ51" s="3"/>
      <c r="BA51" s="3"/>
      <c r="BB51" s="3"/>
      <c r="BC51" s="3"/>
      <c r="BD51" s="3"/>
      <c r="BE51" s="3"/>
      <c r="BF51" s="3"/>
      <c r="BG51" s="3"/>
    </row>
    <row r="52" ht="12.75" customHeight="1">
      <c r="A52" s="3"/>
      <c r="B52" s="3"/>
      <c r="C52" s="3"/>
      <c r="D52" s="3"/>
      <c r="E52" s="3"/>
      <c r="F52" s="3"/>
      <c r="G52" s="51"/>
      <c r="H52" s="52"/>
      <c r="I52" s="51"/>
      <c r="J52" s="52"/>
      <c r="K52" s="51"/>
      <c r="L52" s="53"/>
      <c r="M52" s="3"/>
      <c r="N52" s="3"/>
      <c r="O52" s="3"/>
      <c r="P52" s="3"/>
      <c r="Q52" s="3"/>
      <c r="R52" s="3"/>
      <c r="S52" s="3"/>
      <c r="T52" s="3"/>
      <c r="U52" s="3"/>
      <c r="V52" s="3"/>
      <c r="W52" s="3"/>
      <c r="X52" s="3"/>
      <c r="Y52" s="3"/>
      <c r="Z52" s="3"/>
      <c r="AA52" s="3"/>
      <c r="AB52" s="3"/>
      <c r="AC52" s="3"/>
      <c r="AD52" s="3"/>
      <c r="AE52" s="3"/>
      <c r="AF52" s="3"/>
      <c r="AG52" s="3"/>
      <c r="AH52" s="3"/>
      <c r="AI52" s="3"/>
      <c r="AJ52" s="3"/>
      <c r="AK52" s="69"/>
      <c r="AL52" s="70"/>
      <c r="AM52" s="71">
        <v>0.75</v>
      </c>
      <c r="AN52" s="72">
        <v>3.0</v>
      </c>
      <c r="AO52" s="72">
        <v>4.0</v>
      </c>
      <c r="AP52" s="72">
        <f>Max!$B$5*AM52</f>
        <v>75</v>
      </c>
      <c r="AQ52" s="3"/>
      <c r="AR52" s="38"/>
      <c r="AS52" s="39"/>
      <c r="AT52" s="40">
        <v>0.6</v>
      </c>
      <c r="AU52" s="50">
        <v>4.0</v>
      </c>
      <c r="AV52" s="41">
        <v>1.0</v>
      </c>
      <c r="AW52" s="41">
        <f>Max!$B$3*AT52</f>
        <v>60</v>
      </c>
      <c r="AX52" s="3"/>
      <c r="AY52" s="3"/>
      <c r="AZ52" s="3"/>
      <c r="BA52" s="3"/>
      <c r="BB52" s="3"/>
      <c r="BC52" s="3"/>
      <c r="BD52" s="3"/>
      <c r="BE52" s="3"/>
      <c r="BF52" s="3"/>
      <c r="BG52" s="3"/>
    </row>
    <row r="53" ht="12.75" customHeight="1">
      <c r="A53" s="28" t="s">
        <v>61</v>
      </c>
      <c r="B53" s="28"/>
      <c r="C53" s="37" t="s">
        <v>33</v>
      </c>
      <c r="D53" s="26" t="s">
        <v>34</v>
      </c>
      <c r="E53" s="26" t="s">
        <v>35</v>
      </c>
      <c r="F53" s="26" t="s">
        <v>36</v>
      </c>
      <c r="G53" s="51"/>
      <c r="H53" s="52"/>
      <c r="I53" s="51"/>
      <c r="J53" s="52"/>
      <c r="K53" s="51"/>
      <c r="L53" s="53"/>
      <c r="M53" s="3"/>
      <c r="N53" s="3"/>
      <c r="O53" s="3"/>
      <c r="P53" s="3"/>
      <c r="Q53" s="3"/>
      <c r="R53" s="3"/>
      <c r="S53" s="3"/>
      <c r="T53" s="3"/>
      <c r="U53" s="3"/>
      <c r="V53" s="3"/>
      <c r="W53" s="3"/>
      <c r="X53" s="3"/>
      <c r="Y53" s="3"/>
      <c r="Z53" s="3"/>
      <c r="AA53" s="3"/>
      <c r="AB53" s="3"/>
      <c r="AC53" s="3"/>
      <c r="AD53" s="28" t="s">
        <v>61</v>
      </c>
      <c r="AE53" s="28"/>
      <c r="AF53" s="37" t="s">
        <v>33</v>
      </c>
      <c r="AG53" s="26" t="s">
        <v>34</v>
      </c>
      <c r="AH53" s="26" t="s">
        <v>35</v>
      </c>
      <c r="AI53" s="26" t="s">
        <v>36</v>
      </c>
      <c r="AJ53" s="3"/>
      <c r="AK53" s="60">
        <v>2.0</v>
      </c>
      <c r="AL53" s="59" t="s">
        <v>64</v>
      </c>
      <c r="AM53" s="61">
        <v>0.85</v>
      </c>
      <c r="AN53" s="55">
        <v>3.0</v>
      </c>
      <c r="AO53" s="55">
        <v>5.0</v>
      </c>
      <c r="AP53" s="55"/>
      <c r="AQ53" s="3"/>
      <c r="AR53" s="38"/>
      <c r="AS53" s="39"/>
      <c r="AT53" s="40">
        <v>0.7</v>
      </c>
      <c r="AU53" s="50">
        <v>4.0</v>
      </c>
      <c r="AV53" s="41">
        <v>4.0</v>
      </c>
      <c r="AW53" s="41">
        <f>Max!$B$3*AT53</f>
        <v>70</v>
      </c>
      <c r="AX53" s="3"/>
      <c r="AY53" s="3"/>
      <c r="AZ53" s="3"/>
      <c r="BA53" s="3"/>
      <c r="BB53" s="3"/>
      <c r="BC53" s="3"/>
      <c r="BD53" s="3"/>
      <c r="BE53" s="3"/>
      <c r="BF53" s="3"/>
      <c r="BG53" s="3"/>
    </row>
    <row r="54" ht="12.75" customHeight="1">
      <c r="A54" s="69">
        <v>1.0</v>
      </c>
      <c r="B54" s="70" t="s">
        <v>55</v>
      </c>
      <c r="C54" s="71">
        <v>0.6</v>
      </c>
      <c r="D54" s="72">
        <v>3.0</v>
      </c>
      <c r="E54" s="72">
        <v>1.0</v>
      </c>
      <c r="F54" s="72">
        <f>Max!$B$5*C54</f>
        <v>60</v>
      </c>
      <c r="G54" s="51"/>
      <c r="H54" s="52"/>
      <c r="I54" s="51"/>
      <c r="J54" s="52"/>
      <c r="K54" s="51"/>
      <c r="L54" s="53"/>
      <c r="M54" s="3"/>
      <c r="N54" s="3"/>
      <c r="O54" s="3"/>
      <c r="P54" s="3"/>
      <c r="Q54" s="3"/>
      <c r="R54" s="3"/>
      <c r="S54" s="3"/>
      <c r="T54" s="3"/>
      <c r="U54" s="3"/>
      <c r="V54" s="3"/>
      <c r="W54" s="3"/>
      <c r="X54" s="3"/>
      <c r="Y54" s="3"/>
      <c r="Z54" s="3"/>
      <c r="AA54" s="3"/>
      <c r="AB54" s="3"/>
      <c r="AC54" s="3"/>
      <c r="AD54" s="69">
        <v>1.0</v>
      </c>
      <c r="AE54" s="70" t="s">
        <v>51</v>
      </c>
      <c r="AF54" s="71">
        <v>0.5</v>
      </c>
      <c r="AG54" s="72">
        <v>3.0</v>
      </c>
      <c r="AH54" s="72">
        <v>1.0</v>
      </c>
      <c r="AI54" s="72">
        <f>Max!$B$5*AF54</f>
        <v>50</v>
      </c>
      <c r="AJ54" s="3"/>
      <c r="AK54" s="64">
        <v>3.0</v>
      </c>
      <c r="AL54" s="65" t="s">
        <v>60</v>
      </c>
      <c r="AM54" s="66">
        <v>0.7</v>
      </c>
      <c r="AN54" s="91">
        <v>6.0</v>
      </c>
      <c r="AO54" s="55">
        <v>5.0</v>
      </c>
      <c r="AP54" s="55"/>
      <c r="AQ54" s="3"/>
      <c r="AR54" s="56">
        <v>4.0</v>
      </c>
      <c r="AS54" s="80" t="s">
        <v>44</v>
      </c>
      <c r="AT54" s="58">
        <v>0.65</v>
      </c>
      <c r="AU54" s="55">
        <v>8.0</v>
      </c>
      <c r="AV54" s="55">
        <v>5.0</v>
      </c>
      <c r="AW54" s="55"/>
      <c r="AX54" s="3"/>
      <c r="AY54" s="3"/>
      <c r="AZ54" s="3"/>
      <c r="BA54" s="3"/>
      <c r="BB54" s="3"/>
      <c r="BC54" s="3"/>
      <c r="BD54" s="3"/>
      <c r="BE54" s="3"/>
      <c r="BF54" s="3"/>
      <c r="BG54" s="3"/>
    </row>
    <row r="55" ht="12.75" customHeight="1">
      <c r="A55" s="69"/>
      <c r="B55" s="70"/>
      <c r="C55" s="71">
        <v>0.7</v>
      </c>
      <c r="D55" s="72">
        <v>3.0</v>
      </c>
      <c r="E55" s="72">
        <v>1.0</v>
      </c>
      <c r="F55" s="72">
        <f>Max!$B$5*C55</f>
        <v>70</v>
      </c>
      <c r="G55" s="51"/>
      <c r="H55" s="52"/>
      <c r="I55" s="51"/>
      <c r="J55" s="52"/>
      <c r="K55" s="51"/>
      <c r="L55" s="53"/>
      <c r="M55" s="3"/>
      <c r="N55" s="3"/>
      <c r="O55" s="3"/>
      <c r="P55" s="3"/>
      <c r="Q55" s="3"/>
      <c r="R55" s="3"/>
      <c r="S55" s="3"/>
      <c r="T55" s="3"/>
      <c r="U55" s="3"/>
      <c r="V55" s="3"/>
      <c r="W55" s="3"/>
      <c r="X55" s="3"/>
      <c r="Y55" s="3"/>
      <c r="Z55" s="3"/>
      <c r="AA55" s="3"/>
      <c r="AB55" s="3"/>
      <c r="AC55" s="3"/>
      <c r="AD55" s="69"/>
      <c r="AE55" s="70"/>
      <c r="AF55" s="71">
        <v>0.6</v>
      </c>
      <c r="AG55" s="72">
        <v>3.0</v>
      </c>
      <c r="AH55" s="72">
        <v>1.0</v>
      </c>
      <c r="AI55" s="72">
        <f>Max!$B$5*AF55</f>
        <v>60</v>
      </c>
      <c r="AJ55" s="3"/>
      <c r="AK55" s="64">
        <v>4.0</v>
      </c>
      <c r="AL55" s="65" t="s">
        <v>70</v>
      </c>
      <c r="AM55" s="66">
        <v>0.65</v>
      </c>
      <c r="AN55" s="92">
        <v>8.0</v>
      </c>
      <c r="AO55" s="68">
        <v>4.0</v>
      </c>
      <c r="AP55" s="68"/>
      <c r="AQ55" s="3"/>
      <c r="AR55" s="64">
        <v>5.0</v>
      </c>
      <c r="AS55" s="65" t="s">
        <v>59</v>
      </c>
      <c r="AT55" s="66">
        <v>0.65</v>
      </c>
      <c r="AU55" s="67">
        <v>8.0</v>
      </c>
      <c r="AV55" s="68">
        <v>4.0</v>
      </c>
      <c r="AW55" s="68"/>
      <c r="AX55" s="3"/>
      <c r="AY55" s="3"/>
      <c r="AZ55" s="3"/>
      <c r="BA55" s="3"/>
      <c r="BB55" s="3"/>
      <c r="BC55" s="3"/>
      <c r="BD55" s="3"/>
      <c r="BE55" s="3"/>
      <c r="BF55" s="3"/>
      <c r="BG55" s="3"/>
    </row>
    <row r="56" ht="12.75" customHeight="1">
      <c r="A56" s="69"/>
      <c r="B56" s="70"/>
      <c r="C56" s="71">
        <v>0.8</v>
      </c>
      <c r="D56" s="72">
        <v>3.0</v>
      </c>
      <c r="E56" s="72">
        <v>2.0</v>
      </c>
      <c r="F56" s="72">
        <f>Max!$B$5*C56</f>
        <v>80</v>
      </c>
      <c r="G56" s="82" t="str">
        <f t="shared" ref="G56:L56" si="19">SUM(G7:G55)</f>
        <v>#REF!</v>
      </c>
      <c r="H56" s="83" t="str">
        <f t="shared" si="19"/>
        <v>#REF!</v>
      </c>
      <c r="I56" s="82" t="str">
        <f t="shared" si="19"/>
        <v>#REF!</v>
      </c>
      <c r="J56" s="83" t="str">
        <f t="shared" si="19"/>
        <v>#REF!</v>
      </c>
      <c r="K56" s="82" t="str">
        <f t="shared" si="19"/>
        <v>#VALUE!</v>
      </c>
      <c r="L56" s="83" t="str">
        <f t="shared" si="19"/>
        <v>#VALUE!</v>
      </c>
      <c r="M56" s="6" t="str">
        <f t="shared" ref="M56:P56" si="20">SUM(M11:M55)</f>
        <v>#REF!</v>
      </c>
      <c r="N56" s="6" t="str">
        <f t="shared" si="20"/>
        <v>#REF!</v>
      </c>
      <c r="O56" s="6" t="str">
        <f t="shared" si="20"/>
        <v>#REF!</v>
      </c>
      <c r="P56" s="3">
        <f t="shared" si="20"/>
        <v>35</v>
      </c>
      <c r="Q56" s="3"/>
      <c r="R56" s="6">
        <f t="shared" ref="R56:U56" si="21">SUM(R7:R55)</f>
        <v>20</v>
      </c>
      <c r="S56" s="6">
        <f t="shared" si="21"/>
        <v>19</v>
      </c>
      <c r="T56" s="6">
        <f t="shared" si="21"/>
        <v>20</v>
      </c>
      <c r="U56" s="6" t="str">
        <f t="shared" si="21"/>
        <v>#REF!</v>
      </c>
      <c r="V56" s="3"/>
      <c r="W56" s="6" t="str">
        <f t="shared" ref="W56:AA56" si="22">SUM(W22:W55)</f>
        <v>#VALUE!</v>
      </c>
      <c r="X56" s="6">
        <f t="shared" si="22"/>
        <v>18</v>
      </c>
      <c r="Y56" s="6">
        <f t="shared" si="22"/>
        <v>33</v>
      </c>
      <c r="Z56" s="6">
        <f t="shared" si="22"/>
        <v>28</v>
      </c>
      <c r="AA56" s="6">
        <f t="shared" si="22"/>
        <v>25</v>
      </c>
      <c r="AB56" s="3"/>
      <c r="AC56" s="3"/>
      <c r="AD56" s="69"/>
      <c r="AE56" s="70"/>
      <c r="AF56" s="71">
        <v>0.7</v>
      </c>
      <c r="AG56" s="72">
        <v>3.0</v>
      </c>
      <c r="AH56" s="72">
        <v>1.0</v>
      </c>
      <c r="AI56" s="72">
        <f>Max!$B$5*AF56</f>
        <v>70</v>
      </c>
      <c r="AJ56" s="3"/>
      <c r="AK56" s="3"/>
      <c r="AL56" s="3"/>
      <c r="AM56" s="3"/>
      <c r="AN56" s="3"/>
      <c r="AO56" s="3"/>
      <c r="AP56" s="3"/>
      <c r="AQ56" s="3"/>
      <c r="AR56" s="3"/>
      <c r="AS56" s="3"/>
      <c r="AT56" s="3"/>
      <c r="AU56" s="3"/>
      <c r="AV56" s="3"/>
      <c r="AW56" s="3"/>
      <c r="AX56" s="3"/>
      <c r="AY56" s="3"/>
      <c r="AZ56" s="3"/>
      <c r="BA56" s="3"/>
      <c r="BB56" s="3"/>
      <c r="BC56" s="3"/>
      <c r="BD56" s="3"/>
      <c r="BE56" s="3"/>
      <c r="BF56" s="3"/>
      <c r="BG56" s="3"/>
    </row>
    <row r="57" ht="12.75" customHeight="1">
      <c r="A57" s="69"/>
      <c r="B57" s="70"/>
      <c r="C57" s="71">
        <v>0.85</v>
      </c>
      <c r="D57" s="72">
        <v>3.0</v>
      </c>
      <c r="E57" s="72">
        <v>3.0</v>
      </c>
      <c r="F57" s="72">
        <f>Max!$B$5*C57</f>
        <v>85</v>
      </c>
      <c r="G57" s="51"/>
      <c r="H57" s="52"/>
      <c r="I57" s="51"/>
      <c r="J57" s="52"/>
      <c r="K57" s="51"/>
      <c r="L57" s="53"/>
      <c r="M57" s="3" t="s">
        <v>37</v>
      </c>
      <c r="N57" s="3" t="s">
        <v>38</v>
      </c>
      <c r="O57" s="3" t="s">
        <v>39</v>
      </c>
      <c r="P57" s="3" t="s">
        <v>40</v>
      </c>
      <c r="Q57" s="3" t="s">
        <v>41</v>
      </c>
      <c r="R57" s="3" t="s">
        <v>37</v>
      </c>
      <c r="S57" s="3" t="s">
        <v>38</v>
      </c>
      <c r="T57" s="3" t="s">
        <v>39</v>
      </c>
      <c r="U57" s="3" t="s">
        <v>40</v>
      </c>
      <c r="V57" s="3" t="s">
        <v>41</v>
      </c>
      <c r="W57" s="3" t="s">
        <v>37</v>
      </c>
      <c r="X57" s="3" t="s">
        <v>38</v>
      </c>
      <c r="Y57" s="3" t="s">
        <v>39</v>
      </c>
      <c r="Z57" s="3" t="s">
        <v>40</v>
      </c>
      <c r="AA57" s="3" t="s">
        <v>41</v>
      </c>
      <c r="AB57" s="3"/>
      <c r="AC57" s="3"/>
      <c r="AD57" s="69"/>
      <c r="AE57" s="70"/>
      <c r="AF57" s="71">
        <v>0.75</v>
      </c>
      <c r="AG57" s="72">
        <v>2.0</v>
      </c>
      <c r="AH57" s="72">
        <v>4.0</v>
      </c>
      <c r="AI57" s="72">
        <f>Max!$B$5*AF57</f>
        <v>75</v>
      </c>
      <c r="AJ57" s="3"/>
      <c r="AK57" s="3"/>
      <c r="AL57" s="3"/>
      <c r="AM57" s="3"/>
      <c r="AN57" s="3"/>
      <c r="AO57" s="3"/>
      <c r="AP57" s="3"/>
      <c r="AQ57" s="3"/>
      <c r="AR57" s="28" t="s">
        <v>61</v>
      </c>
      <c r="AS57" s="28"/>
      <c r="AT57" s="37" t="s">
        <v>33</v>
      </c>
      <c r="AU57" s="26" t="s">
        <v>34</v>
      </c>
      <c r="AV57" s="26" t="s">
        <v>35</v>
      </c>
      <c r="AW57" s="26" t="s">
        <v>36</v>
      </c>
      <c r="AX57" s="3"/>
      <c r="AY57" s="3"/>
      <c r="AZ57" s="3"/>
      <c r="BA57" s="3"/>
      <c r="BB57" s="3"/>
      <c r="BC57" s="3"/>
      <c r="BD57" s="3"/>
      <c r="BE57" s="3"/>
      <c r="BF57" s="3"/>
      <c r="BG57" s="3"/>
    </row>
    <row r="58" ht="12.75" customHeight="1">
      <c r="A58" s="56">
        <v>2.0</v>
      </c>
      <c r="B58" s="80" t="s">
        <v>64</v>
      </c>
      <c r="C58" s="58">
        <v>0.85</v>
      </c>
      <c r="D58" s="55">
        <v>3.0</v>
      </c>
      <c r="E58" s="55">
        <v>5.0</v>
      </c>
      <c r="F58" s="55"/>
      <c r="G58" s="51"/>
      <c r="H58" s="52"/>
      <c r="I58" s="51"/>
      <c r="J58" s="52"/>
      <c r="K58" s="51"/>
      <c r="L58" s="53"/>
      <c r="M58" s="3"/>
      <c r="N58" s="3"/>
      <c r="O58" s="3"/>
      <c r="P58" s="3"/>
      <c r="Q58" s="3"/>
      <c r="R58" s="3"/>
      <c r="S58" s="3"/>
      <c r="T58" s="3"/>
      <c r="U58" s="3"/>
      <c r="V58" s="3"/>
      <c r="W58" s="3"/>
      <c r="X58" s="3"/>
      <c r="Y58" s="3"/>
      <c r="Z58" s="3"/>
      <c r="AA58" s="3"/>
      <c r="AB58" s="3"/>
      <c r="AC58" s="3"/>
      <c r="AD58" s="60">
        <v>2.0</v>
      </c>
      <c r="AE58" s="59" t="s">
        <v>64</v>
      </c>
      <c r="AF58" s="61">
        <v>0.85</v>
      </c>
      <c r="AG58" s="55">
        <v>3.0</v>
      </c>
      <c r="AH58" s="55">
        <v>5.0</v>
      </c>
      <c r="AI58" s="55"/>
      <c r="AJ58" s="3"/>
      <c r="AK58" s="3"/>
      <c r="AL58" s="3"/>
      <c r="AM58" s="3"/>
      <c r="AN58" s="3"/>
      <c r="AO58" s="3"/>
      <c r="AP58" s="3"/>
      <c r="AQ58" s="3"/>
      <c r="AR58" s="69">
        <v>1.0</v>
      </c>
      <c r="AS58" s="70" t="s">
        <v>53</v>
      </c>
      <c r="AT58" s="71">
        <v>0.5</v>
      </c>
      <c r="AU58" s="72">
        <v>3.0</v>
      </c>
      <c r="AV58" s="72">
        <v>1.0</v>
      </c>
      <c r="AW58" s="72">
        <f>Max!$B$5*AT58</f>
        <v>50</v>
      </c>
      <c r="AX58" s="3"/>
      <c r="AY58" s="3"/>
      <c r="AZ58" s="3"/>
      <c r="BA58" s="3"/>
      <c r="BB58" s="3"/>
      <c r="BC58" s="3"/>
      <c r="BD58" s="3"/>
      <c r="BE58" s="3"/>
      <c r="BF58" s="3"/>
      <c r="BG58" s="3"/>
    </row>
    <row r="59" ht="12.75" customHeight="1">
      <c r="A59" s="56">
        <v>3.0</v>
      </c>
      <c r="B59" s="57" t="s">
        <v>60</v>
      </c>
      <c r="C59" s="58">
        <v>0.7</v>
      </c>
      <c r="D59" s="55">
        <v>6.0</v>
      </c>
      <c r="E59" s="55">
        <v>5.0</v>
      </c>
      <c r="F59" s="55"/>
      <c r="G59" s="51"/>
      <c r="H59" s="52"/>
      <c r="I59" s="51">
        <f t="shared" ref="I59:I62" si="23">AG7*AH7</f>
        <v>5</v>
      </c>
      <c r="J59" s="52">
        <f t="shared" ref="J59:J62" si="24">AI7*I59</f>
        <v>275</v>
      </c>
      <c r="K59" s="51"/>
      <c r="L59" s="53"/>
      <c r="M59" s="3"/>
      <c r="N59" s="3"/>
      <c r="O59" s="3"/>
      <c r="P59" s="3"/>
      <c r="Q59" s="3"/>
      <c r="R59" s="6">
        <f>I59</f>
        <v>5</v>
      </c>
      <c r="S59" s="6">
        <f>I60</f>
        <v>4</v>
      </c>
      <c r="T59" s="6">
        <f>I61</f>
        <v>3</v>
      </c>
      <c r="U59" s="6">
        <f>I62</f>
        <v>8</v>
      </c>
      <c r="V59" s="6">
        <v>0.0</v>
      </c>
      <c r="W59" s="3"/>
      <c r="X59" s="3"/>
      <c r="Y59" s="3"/>
      <c r="Z59" s="3"/>
      <c r="AA59" s="3"/>
      <c r="AB59" s="3"/>
      <c r="AC59" s="3"/>
      <c r="AD59" s="64">
        <v>3.0</v>
      </c>
      <c r="AE59" s="65" t="s">
        <v>46</v>
      </c>
      <c r="AF59" s="66">
        <v>0.75</v>
      </c>
      <c r="AG59" s="91">
        <v>5.0</v>
      </c>
      <c r="AH59" s="55">
        <v>5.0</v>
      </c>
      <c r="AI59" s="55"/>
      <c r="AJ59" s="3"/>
      <c r="AK59" s="3"/>
      <c r="AL59" s="3"/>
      <c r="AM59" s="3"/>
      <c r="AN59" s="3"/>
      <c r="AO59" s="3"/>
      <c r="AP59" s="3"/>
      <c r="AQ59" s="3"/>
      <c r="AR59" s="69"/>
      <c r="AS59" s="70"/>
      <c r="AT59" s="71">
        <v>0.6</v>
      </c>
      <c r="AU59" s="72">
        <v>3.0</v>
      </c>
      <c r="AV59" s="72">
        <v>1.0</v>
      </c>
      <c r="AW59" s="72">
        <f>Max!$B$5*AT59</f>
        <v>60</v>
      </c>
      <c r="AX59" s="3"/>
      <c r="AY59" s="3"/>
      <c r="AZ59" s="3"/>
      <c r="BA59" s="3"/>
      <c r="BB59" s="3"/>
      <c r="BC59" s="3"/>
      <c r="BD59" s="3"/>
      <c r="BE59" s="3"/>
      <c r="BF59" s="3"/>
      <c r="BG59" s="3"/>
    </row>
    <row r="60" ht="12.75" customHeight="1">
      <c r="A60" s="64">
        <v>4.0</v>
      </c>
      <c r="B60" s="65" t="s">
        <v>50</v>
      </c>
      <c r="C60" s="66">
        <v>0.65</v>
      </c>
      <c r="D60" s="68">
        <v>8.0</v>
      </c>
      <c r="E60" s="68">
        <v>4.0</v>
      </c>
      <c r="F60" s="68"/>
      <c r="G60" s="51"/>
      <c r="H60" s="52"/>
      <c r="I60" s="51">
        <f t="shared" si="23"/>
        <v>4</v>
      </c>
      <c r="J60" s="52">
        <f t="shared" si="24"/>
        <v>260</v>
      </c>
      <c r="K60" s="51"/>
      <c r="L60" s="53"/>
      <c r="M60" s="3"/>
      <c r="N60" s="3"/>
      <c r="O60" s="3"/>
      <c r="P60" s="3"/>
      <c r="Q60" s="3"/>
      <c r="R60" s="3"/>
      <c r="S60" s="3"/>
      <c r="T60" s="3"/>
      <c r="U60" s="3"/>
      <c r="V60" s="3"/>
      <c r="W60" s="3"/>
      <c r="X60" s="3"/>
      <c r="Y60" s="3"/>
      <c r="Z60" s="3"/>
      <c r="AA60" s="3"/>
      <c r="AB60" s="3"/>
      <c r="AC60" s="3"/>
      <c r="AD60" s="64">
        <v>4.0</v>
      </c>
      <c r="AE60" s="65" t="s">
        <v>60</v>
      </c>
      <c r="AF60" s="66">
        <v>0.7</v>
      </c>
      <c r="AG60" s="92">
        <v>6.0</v>
      </c>
      <c r="AH60" s="68">
        <v>5.0</v>
      </c>
      <c r="AI60" s="68"/>
      <c r="AJ60" s="3"/>
      <c r="AK60" s="3"/>
      <c r="AL60" s="3"/>
      <c r="AM60" s="3"/>
      <c r="AN60" s="3"/>
      <c r="AO60" s="3"/>
      <c r="AP60" s="3"/>
      <c r="AQ60" s="3"/>
      <c r="AR60" s="69"/>
      <c r="AS60" s="70"/>
      <c r="AT60" s="71">
        <v>0.7</v>
      </c>
      <c r="AU60" s="72">
        <v>3.0</v>
      </c>
      <c r="AV60" s="72">
        <v>1.0</v>
      </c>
      <c r="AW60" s="72">
        <f>Max!$B$5*AT60</f>
        <v>70</v>
      </c>
      <c r="AX60" s="3"/>
      <c r="AY60" s="3"/>
      <c r="AZ60" s="3"/>
      <c r="BA60" s="3"/>
      <c r="BB60" s="3"/>
      <c r="BC60" s="3"/>
      <c r="BD60" s="3"/>
      <c r="BE60" s="3"/>
      <c r="BF60" s="3"/>
      <c r="BG60" s="3"/>
    </row>
    <row r="61" ht="12.75" customHeight="1">
      <c r="G61" s="51"/>
      <c r="H61" s="52"/>
      <c r="I61" s="51">
        <f t="shared" si="23"/>
        <v>3</v>
      </c>
      <c r="J61" s="52">
        <f t="shared" si="24"/>
        <v>225</v>
      </c>
      <c r="K61" s="51"/>
      <c r="L61" s="53"/>
      <c r="M61" s="3"/>
      <c r="N61" s="3"/>
      <c r="O61" s="3"/>
      <c r="P61" s="3"/>
      <c r="Q61" s="3"/>
      <c r="R61" s="3"/>
      <c r="S61" s="3"/>
      <c r="T61" s="3"/>
      <c r="U61" s="3"/>
      <c r="V61" s="3"/>
      <c r="W61" s="3"/>
      <c r="X61" s="3"/>
      <c r="Y61" s="3"/>
      <c r="Z61" s="3"/>
      <c r="AA61" s="3"/>
      <c r="AB61" s="3"/>
      <c r="AC61" s="3"/>
      <c r="AJ61" s="3"/>
      <c r="AK61" s="3"/>
      <c r="AL61" s="3"/>
      <c r="AM61" s="3"/>
      <c r="AN61" s="3"/>
      <c r="AO61" s="3"/>
      <c r="AP61" s="3"/>
      <c r="AQ61" s="3"/>
      <c r="AR61" s="69"/>
      <c r="AS61" s="70"/>
      <c r="AT61" s="71">
        <v>0.75</v>
      </c>
      <c r="AU61" s="72">
        <v>3.0</v>
      </c>
      <c r="AV61" s="72">
        <v>4.0</v>
      </c>
      <c r="AW61" s="72">
        <f>Max!$B$5*AT61</f>
        <v>75</v>
      </c>
      <c r="AX61" s="3"/>
      <c r="AY61" s="3"/>
      <c r="AZ61" s="3"/>
      <c r="BA61" s="3"/>
      <c r="BB61" s="3"/>
      <c r="BC61" s="3"/>
      <c r="BD61" s="3"/>
      <c r="BE61" s="3"/>
      <c r="BF61" s="3"/>
      <c r="BG61" s="3"/>
    </row>
    <row r="62" ht="12.75" customHeight="1">
      <c r="A62" s="3"/>
      <c r="B62" s="3"/>
      <c r="C62" s="3"/>
      <c r="D62" s="3"/>
      <c r="E62" s="3"/>
      <c r="F62" s="3"/>
      <c r="G62" s="51"/>
      <c r="H62" s="52"/>
      <c r="I62" s="51">
        <f t="shared" si="23"/>
        <v>8</v>
      </c>
      <c r="J62" s="52">
        <f t="shared" si="24"/>
        <v>680</v>
      </c>
      <c r="K62" s="51"/>
      <c r="L62" s="5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45">
        <v>2.0</v>
      </c>
      <c r="AS62" s="46" t="s">
        <v>43</v>
      </c>
      <c r="AT62" s="47">
        <v>0.5</v>
      </c>
      <c r="AU62" s="48">
        <v>5.0</v>
      </c>
      <c r="AV62" s="49">
        <v>1.0</v>
      </c>
      <c r="AW62" s="49">
        <f>Max!$B$4*AT62</f>
        <v>50</v>
      </c>
      <c r="AX62" s="3"/>
      <c r="AY62" s="3"/>
      <c r="AZ62" s="3"/>
      <c r="BA62" s="3"/>
      <c r="BB62" s="3"/>
      <c r="BC62" s="3"/>
      <c r="BD62" s="3"/>
      <c r="BE62" s="3"/>
      <c r="BF62" s="3"/>
      <c r="BG62" s="3"/>
    </row>
    <row r="63" ht="12.75" customHeight="1">
      <c r="A63" s="3"/>
      <c r="B63" s="3"/>
      <c r="C63" s="3"/>
      <c r="D63" s="3"/>
      <c r="E63" s="3"/>
      <c r="F63" s="3"/>
      <c r="G63" s="51">
        <f t="shared" ref="G63:G66" si="25">AG11*AH11</f>
        <v>5</v>
      </c>
      <c r="H63" s="52">
        <f t="shared" ref="H63:H66" si="26">AI11*G63</f>
        <v>250</v>
      </c>
      <c r="I63" s="51"/>
      <c r="J63" s="52"/>
      <c r="K63" s="51"/>
      <c r="L63" s="53"/>
      <c r="M63" s="6">
        <f>G63</f>
        <v>5</v>
      </c>
      <c r="N63" s="6">
        <f>G64</f>
        <v>4</v>
      </c>
      <c r="O63" s="6">
        <f>G65</f>
        <v>3</v>
      </c>
      <c r="P63" s="6">
        <f>G66</f>
        <v>8</v>
      </c>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45"/>
      <c r="AS63" s="46"/>
      <c r="AT63" s="47">
        <v>0.6</v>
      </c>
      <c r="AU63" s="48">
        <v>5.0</v>
      </c>
      <c r="AV63" s="49">
        <v>1.0</v>
      </c>
      <c r="AW63" s="49">
        <f>Max!$B$4*AT63</f>
        <v>60</v>
      </c>
      <c r="AX63" s="3"/>
      <c r="AY63" s="3"/>
      <c r="AZ63" s="3"/>
      <c r="BA63" s="3"/>
      <c r="BB63" s="3"/>
      <c r="BC63" s="3"/>
      <c r="BD63" s="3"/>
      <c r="BE63" s="3"/>
      <c r="BF63" s="3"/>
      <c r="BG63" s="3"/>
    </row>
    <row r="64" ht="12.75" customHeight="1">
      <c r="A64" s="3"/>
      <c r="B64" s="3"/>
      <c r="C64" s="3"/>
      <c r="D64" s="3"/>
      <c r="E64" s="3"/>
      <c r="F64" s="3"/>
      <c r="G64" s="51">
        <f t="shared" si="25"/>
        <v>4</v>
      </c>
      <c r="H64" s="52">
        <f t="shared" si="26"/>
        <v>240</v>
      </c>
      <c r="I64" s="51"/>
      <c r="J64" s="52"/>
      <c r="K64" s="51"/>
      <c r="L64" s="5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45"/>
      <c r="AS64" s="46"/>
      <c r="AT64" s="47">
        <v>0.7</v>
      </c>
      <c r="AU64" s="48">
        <v>5.0</v>
      </c>
      <c r="AV64" s="49">
        <v>4.0</v>
      </c>
      <c r="AW64" s="49">
        <f>Max!$B$4*AT64</f>
        <v>70</v>
      </c>
      <c r="AX64" s="3"/>
      <c r="AY64" s="3"/>
      <c r="AZ64" s="3"/>
      <c r="BA64" s="3"/>
      <c r="BB64" s="3"/>
      <c r="BC64" s="3"/>
      <c r="BD64" s="3"/>
      <c r="BE64" s="3"/>
      <c r="BF64" s="3"/>
      <c r="BG64" s="3"/>
    </row>
    <row r="65" ht="12.75" customHeight="1">
      <c r="A65" s="3"/>
      <c r="B65" s="3"/>
      <c r="C65" s="3"/>
      <c r="D65" s="3"/>
      <c r="E65" s="3"/>
      <c r="F65" s="3"/>
      <c r="G65" s="51">
        <f t="shared" si="25"/>
        <v>3</v>
      </c>
      <c r="H65" s="52">
        <f t="shared" si="26"/>
        <v>210</v>
      </c>
      <c r="I65" s="51"/>
      <c r="J65" s="52"/>
      <c r="K65" s="51"/>
      <c r="L65" s="5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69">
        <v>3.0</v>
      </c>
      <c r="AS65" s="70" t="s">
        <v>55</v>
      </c>
      <c r="AT65" s="71">
        <v>0.65</v>
      </c>
      <c r="AU65" s="72">
        <v>3.0</v>
      </c>
      <c r="AV65" s="72">
        <v>1.0</v>
      </c>
      <c r="AW65" s="72">
        <f>Max!$B$5*AT65</f>
        <v>65</v>
      </c>
      <c r="AX65" s="3"/>
      <c r="AY65" s="3"/>
      <c r="AZ65" s="3"/>
      <c r="BA65" s="3"/>
      <c r="BB65" s="3"/>
      <c r="BC65" s="3"/>
      <c r="BD65" s="3"/>
      <c r="BE65" s="3"/>
      <c r="BF65" s="3"/>
      <c r="BG65" s="3"/>
    </row>
    <row r="66" ht="12.75" customHeight="1">
      <c r="A66" s="3"/>
      <c r="B66" s="3"/>
      <c r="C66" s="3"/>
      <c r="D66" s="3"/>
      <c r="E66" s="3"/>
      <c r="F66" s="3"/>
      <c r="G66" s="51">
        <f t="shared" si="25"/>
        <v>8</v>
      </c>
      <c r="H66" s="52">
        <f t="shared" si="26"/>
        <v>640</v>
      </c>
      <c r="I66" s="51"/>
      <c r="J66" s="52"/>
      <c r="K66" s="51"/>
      <c r="L66" s="5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69"/>
      <c r="AS66" s="70"/>
      <c r="AT66" s="71">
        <v>0.75</v>
      </c>
      <c r="AU66" s="72">
        <v>3.0</v>
      </c>
      <c r="AV66" s="72">
        <v>1.0</v>
      </c>
      <c r="AW66" s="72">
        <f>Max!$B$5*AT66</f>
        <v>75</v>
      </c>
      <c r="AX66" s="3"/>
      <c r="AY66" s="3"/>
      <c r="AZ66" s="3"/>
      <c r="BA66" s="3"/>
      <c r="BB66" s="3"/>
      <c r="BC66" s="3"/>
      <c r="BD66" s="3"/>
      <c r="BE66" s="3"/>
      <c r="BF66" s="3"/>
      <c r="BG66" s="3"/>
    </row>
    <row r="67" ht="12.75" customHeight="1">
      <c r="A67" s="3"/>
      <c r="B67" s="3"/>
      <c r="C67" s="3"/>
      <c r="D67" s="3"/>
      <c r="E67" s="3"/>
      <c r="F67" s="3"/>
      <c r="G67" s="51"/>
      <c r="H67" s="52"/>
      <c r="I67" s="51">
        <f t="shared" ref="I67:I70" si="27">AG15*AH15</f>
        <v>3</v>
      </c>
      <c r="J67" s="52">
        <f t="shared" ref="J67:J70" si="28">AI15*I67</f>
        <v>150</v>
      </c>
      <c r="K67" s="51"/>
      <c r="L67" s="53"/>
      <c r="M67" s="3"/>
      <c r="N67" s="3"/>
      <c r="O67" s="3"/>
      <c r="P67" s="3"/>
      <c r="Q67" s="3"/>
      <c r="R67" s="6">
        <f>I67</f>
        <v>3</v>
      </c>
      <c r="S67" s="6">
        <f>I68</f>
        <v>3</v>
      </c>
      <c r="T67" s="6">
        <f>I69</f>
        <v>3</v>
      </c>
      <c r="U67" s="6">
        <f>I70</f>
        <v>8</v>
      </c>
      <c r="V67" s="3"/>
      <c r="W67" s="3"/>
      <c r="X67" s="3"/>
      <c r="Y67" s="3"/>
      <c r="Z67" s="3"/>
      <c r="AA67" s="3"/>
      <c r="AB67" s="3"/>
      <c r="AC67" s="3"/>
      <c r="AD67" s="3"/>
      <c r="AE67" s="3"/>
      <c r="AF67" s="3"/>
      <c r="AG67" s="3"/>
      <c r="AH67" s="3"/>
      <c r="AI67" s="3"/>
      <c r="AJ67" s="3"/>
      <c r="AK67" s="3"/>
      <c r="AL67" s="3"/>
      <c r="AM67" s="3"/>
      <c r="AN67" s="3"/>
      <c r="AO67" s="3"/>
      <c r="AP67" s="3"/>
      <c r="AQ67" s="3"/>
      <c r="AR67" s="69"/>
      <c r="AS67" s="70"/>
      <c r="AT67" s="71">
        <v>0.85</v>
      </c>
      <c r="AU67" s="72">
        <v>2.0</v>
      </c>
      <c r="AV67" s="72">
        <v>4.0</v>
      </c>
      <c r="AW67" s="72">
        <f>Max!$B$5*AT67</f>
        <v>85</v>
      </c>
      <c r="AX67" s="3"/>
      <c r="AY67" s="3"/>
      <c r="AZ67" s="3"/>
      <c r="BA67" s="3"/>
      <c r="BB67" s="3"/>
      <c r="BC67" s="3"/>
      <c r="BD67" s="3"/>
      <c r="BE67" s="3"/>
      <c r="BF67" s="3"/>
      <c r="BG67" s="3"/>
    </row>
    <row r="68" ht="12.75" customHeight="1">
      <c r="A68" s="3"/>
      <c r="B68" s="3"/>
      <c r="C68" s="3"/>
      <c r="D68" s="3"/>
      <c r="E68" s="3"/>
      <c r="F68" s="3"/>
      <c r="G68" s="51"/>
      <c r="H68" s="52"/>
      <c r="I68" s="51">
        <f t="shared" si="27"/>
        <v>3</v>
      </c>
      <c r="J68" s="52">
        <f t="shared" si="28"/>
        <v>180</v>
      </c>
      <c r="K68" s="51"/>
      <c r="L68" s="5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60">
        <v>4.0</v>
      </c>
      <c r="AS68" s="80" t="s">
        <v>46</v>
      </c>
      <c r="AT68" s="61">
        <v>0.8</v>
      </c>
      <c r="AU68" s="62">
        <v>4.0</v>
      </c>
      <c r="AV68" s="63">
        <v>5.0</v>
      </c>
      <c r="AW68" s="63"/>
      <c r="AX68" s="3"/>
      <c r="AY68" s="3"/>
      <c r="AZ68" s="3"/>
      <c r="BA68" s="3"/>
      <c r="BB68" s="3"/>
      <c r="BC68" s="3"/>
      <c r="BD68" s="3"/>
      <c r="BE68" s="3"/>
      <c r="BF68" s="3"/>
      <c r="BG68" s="3"/>
    </row>
    <row r="69" ht="12.75" customHeight="1">
      <c r="A69" s="3"/>
      <c r="B69" s="3"/>
      <c r="C69" s="3"/>
      <c r="D69" s="3"/>
      <c r="E69" s="3"/>
      <c r="F69" s="3"/>
      <c r="G69" s="51"/>
      <c r="H69" s="52"/>
      <c r="I69" s="51">
        <f t="shared" si="27"/>
        <v>3</v>
      </c>
      <c r="J69" s="52">
        <f t="shared" si="28"/>
        <v>210</v>
      </c>
      <c r="K69" s="51"/>
      <c r="L69" s="5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56">
        <v>5.0</v>
      </c>
      <c r="AS69" s="80" t="s">
        <v>60</v>
      </c>
      <c r="AT69" s="58">
        <v>0.7</v>
      </c>
      <c r="AU69" s="79">
        <v>6.0</v>
      </c>
      <c r="AV69" s="55">
        <v>5.0</v>
      </c>
      <c r="AW69" s="55"/>
      <c r="AX69" s="3"/>
      <c r="AY69" s="3"/>
      <c r="AZ69" s="3"/>
      <c r="BA69" s="3"/>
      <c r="BB69" s="3"/>
      <c r="BC69" s="3"/>
      <c r="BD69" s="3"/>
      <c r="BE69" s="3"/>
      <c r="BF69" s="3"/>
      <c r="BG69" s="3"/>
    </row>
    <row r="70" ht="12.75" customHeight="1">
      <c r="A70" s="3"/>
      <c r="B70" s="3"/>
      <c r="C70" s="3"/>
      <c r="D70" s="3"/>
      <c r="E70" s="3"/>
      <c r="F70" s="3"/>
      <c r="G70" s="51"/>
      <c r="H70" s="52"/>
      <c r="I70" s="51">
        <f t="shared" si="27"/>
        <v>8</v>
      </c>
      <c r="J70" s="52">
        <f t="shared" si="28"/>
        <v>640</v>
      </c>
      <c r="K70" s="51"/>
      <c r="L70" s="5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64">
        <v>6.0</v>
      </c>
      <c r="AS70" s="65" t="s">
        <v>70</v>
      </c>
      <c r="AT70" s="66">
        <v>0.65</v>
      </c>
      <c r="AU70" s="92">
        <v>8.0</v>
      </c>
      <c r="AV70" s="68">
        <v>4.0</v>
      </c>
      <c r="AW70" s="68"/>
      <c r="AX70" s="3"/>
      <c r="AY70" s="3"/>
      <c r="AZ70" s="3"/>
      <c r="BA70" s="3"/>
      <c r="BB70" s="3"/>
      <c r="BC70" s="3"/>
      <c r="BD70" s="3"/>
      <c r="BE70" s="3"/>
      <c r="BF70" s="3"/>
      <c r="BG70" s="3"/>
    </row>
    <row r="71" ht="12.75" customHeight="1">
      <c r="A71" s="3"/>
      <c r="B71" s="3"/>
      <c r="C71" s="3"/>
      <c r="D71" s="3"/>
      <c r="E71" s="3"/>
      <c r="F71" s="3"/>
      <c r="G71" s="51"/>
      <c r="H71" s="52"/>
      <c r="I71" s="51"/>
      <c r="J71" s="52"/>
      <c r="K71" s="51"/>
      <c r="L71" s="5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row>
    <row r="72" ht="12.75" customHeight="1">
      <c r="A72" s="28"/>
      <c r="B72" s="57"/>
      <c r="C72" s="36"/>
      <c r="D72" s="13"/>
      <c r="E72" s="13"/>
      <c r="F72" s="13"/>
      <c r="G72" s="51"/>
      <c r="H72" s="52"/>
      <c r="I72" s="51"/>
      <c r="J72" s="52"/>
      <c r="K72" s="51"/>
      <c r="L72" s="5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row>
    <row r="73" ht="12.75" customHeight="1">
      <c r="A73" s="28"/>
      <c r="B73" s="57"/>
      <c r="C73" s="36"/>
      <c r="D73" s="13"/>
      <c r="E73" s="13"/>
      <c r="F73" s="13"/>
      <c r="G73" s="51"/>
      <c r="H73" s="52"/>
      <c r="I73" s="51"/>
      <c r="J73" s="52"/>
      <c r="K73" s="51"/>
      <c r="L73" s="5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row>
    <row r="74" ht="12.75" customHeight="1">
      <c r="A74" s="28"/>
      <c r="B74" s="57"/>
      <c r="C74" s="36"/>
      <c r="D74" s="13"/>
      <c r="E74" s="13"/>
      <c r="F74" s="13"/>
      <c r="G74" s="51"/>
      <c r="H74" s="52"/>
      <c r="I74" s="51"/>
      <c r="J74" s="52"/>
      <c r="K74" s="51"/>
      <c r="L74" s="5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row>
    <row r="75" ht="12.75" customHeight="1">
      <c r="A75" s="28"/>
      <c r="B75" s="57"/>
      <c r="C75" s="36"/>
      <c r="D75" s="13"/>
      <c r="E75" s="13"/>
      <c r="F75" s="13"/>
      <c r="G75" s="51"/>
      <c r="H75" s="52"/>
      <c r="I75" s="51"/>
      <c r="J75" s="52"/>
      <c r="K75" s="51">
        <f t="shared" ref="K75:K77" si="29">AG23*AH23</f>
        <v>3</v>
      </c>
      <c r="L75" s="53">
        <f t="shared" ref="L75:L77" si="30">AI23*K75</f>
        <v>150</v>
      </c>
      <c r="M75" s="3"/>
      <c r="N75" s="3"/>
      <c r="O75" s="3"/>
      <c r="P75" s="3"/>
      <c r="Q75" s="3"/>
      <c r="R75" s="3"/>
      <c r="S75" s="3"/>
      <c r="T75" s="3"/>
      <c r="U75" s="3"/>
      <c r="V75" s="3"/>
      <c r="W75" s="6">
        <f>K75</f>
        <v>3</v>
      </c>
      <c r="X75" s="6">
        <f>K76</f>
        <v>3</v>
      </c>
      <c r="Y75" s="6">
        <f>K77</f>
        <v>8</v>
      </c>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row>
    <row r="76" ht="12.75" customHeight="1">
      <c r="A76" s="28"/>
      <c r="B76" s="57"/>
      <c r="C76" s="36"/>
      <c r="D76" s="13"/>
      <c r="E76" s="13"/>
      <c r="F76" s="13"/>
      <c r="G76" s="51"/>
      <c r="H76" s="52"/>
      <c r="I76" s="51"/>
      <c r="J76" s="52"/>
      <c r="K76" s="51">
        <f t="shared" si="29"/>
        <v>3</v>
      </c>
      <c r="L76" s="53">
        <f t="shared" si="30"/>
        <v>180</v>
      </c>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row>
    <row r="77" ht="12.75" customHeight="1">
      <c r="A77" s="28"/>
      <c r="B77" s="57"/>
      <c r="C77" s="36"/>
      <c r="D77" s="13"/>
      <c r="E77" s="13"/>
      <c r="F77" s="13"/>
      <c r="G77" s="51"/>
      <c r="H77" s="52"/>
      <c r="I77" s="51"/>
      <c r="J77" s="52"/>
      <c r="K77" s="51">
        <f t="shared" si="29"/>
        <v>8</v>
      </c>
      <c r="L77" s="53">
        <f t="shared" si="30"/>
        <v>560</v>
      </c>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row>
    <row r="78" ht="12.75" customHeight="1">
      <c r="A78" s="28"/>
      <c r="B78" s="57"/>
      <c r="C78" s="36"/>
      <c r="D78" s="13"/>
      <c r="E78" s="13"/>
      <c r="F78" s="13"/>
      <c r="G78" s="51"/>
      <c r="H78" s="52"/>
      <c r="I78" s="51">
        <f t="shared" ref="I78:I81" si="31">AG26*AH26</f>
        <v>4</v>
      </c>
      <c r="J78" s="52">
        <f t="shared" ref="J78:J81" si="32">AI26*I78</f>
        <v>200</v>
      </c>
      <c r="K78" s="51"/>
      <c r="L78" s="53"/>
      <c r="M78" s="3"/>
      <c r="N78" s="3"/>
      <c r="O78" s="3"/>
      <c r="P78" s="3"/>
      <c r="Q78" s="3"/>
      <c r="R78" s="6">
        <f>I78</f>
        <v>4</v>
      </c>
      <c r="S78" s="6">
        <f>I79</f>
        <v>4</v>
      </c>
      <c r="T78" s="6">
        <f>I80+I81</f>
        <v>20</v>
      </c>
      <c r="U78" s="6">
        <v>0.0</v>
      </c>
      <c r="V78" s="3">
        <v>0.0</v>
      </c>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row>
    <row r="79" ht="12.75" customHeight="1">
      <c r="A79" s="28"/>
      <c r="B79" s="57"/>
      <c r="C79" s="36"/>
      <c r="D79" s="13"/>
      <c r="E79" s="13"/>
      <c r="F79" s="13"/>
      <c r="G79" s="51"/>
      <c r="H79" s="52"/>
      <c r="I79" s="51">
        <f t="shared" si="31"/>
        <v>4</v>
      </c>
      <c r="J79" s="52">
        <f t="shared" si="32"/>
        <v>240</v>
      </c>
      <c r="K79" s="51"/>
      <c r="L79" s="5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row>
    <row r="80" ht="12.75" customHeight="1">
      <c r="A80" s="28"/>
      <c r="B80" s="57"/>
      <c r="C80" s="36"/>
      <c r="D80" s="13"/>
      <c r="E80" s="13"/>
      <c r="F80" s="13"/>
      <c r="G80" s="51"/>
      <c r="H80" s="52"/>
      <c r="I80" s="51">
        <f t="shared" si="31"/>
        <v>4</v>
      </c>
      <c r="J80" s="52">
        <f t="shared" si="32"/>
        <v>280</v>
      </c>
      <c r="K80" s="51"/>
      <c r="L80" s="5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row>
    <row r="81" ht="12.75" customHeight="1">
      <c r="A81" s="28"/>
      <c r="B81" s="57"/>
      <c r="C81" s="36"/>
      <c r="D81" s="13"/>
      <c r="E81" s="13"/>
      <c r="F81" s="13"/>
      <c r="G81" s="51"/>
      <c r="H81" s="52"/>
      <c r="I81" s="51">
        <f t="shared" si="31"/>
        <v>16</v>
      </c>
      <c r="J81" s="52">
        <f t="shared" si="32"/>
        <v>1200</v>
      </c>
      <c r="K81" s="51"/>
      <c r="L81" s="5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row>
    <row r="82" ht="12.75" customHeight="1">
      <c r="A82" s="28"/>
      <c r="B82" s="57"/>
      <c r="C82" s="36"/>
      <c r="D82" s="13"/>
      <c r="E82" s="13"/>
      <c r="F82" s="13"/>
      <c r="G82" s="51"/>
      <c r="H82" s="52"/>
      <c r="I82" s="51"/>
      <c r="J82" s="52"/>
      <c r="K82" s="51" t="str">
        <f t="shared" ref="K82:K85" si="33">AG29:AG30*AH29:AH30</f>
        <v>#VALUE!</v>
      </c>
      <c r="L82" s="53" t="str">
        <f t="shared" ref="L82:L85" si="34">AI29:AI30*K82</f>
        <v>#VALUE!</v>
      </c>
      <c r="M82" s="3"/>
      <c r="N82" s="3"/>
      <c r="O82" s="3"/>
      <c r="P82" s="3"/>
      <c r="Q82" s="3"/>
      <c r="R82" s="3"/>
      <c r="S82" s="3"/>
      <c r="T82" s="3"/>
      <c r="U82" s="3"/>
      <c r="V82" s="3"/>
      <c r="W82" s="6" t="str">
        <f>K82</f>
        <v>#VALUE!</v>
      </c>
      <c r="X82" s="6" t="str">
        <f>K83</f>
        <v>#VALUE!</v>
      </c>
      <c r="Y82" s="6" t="str">
        <f>K84</f>
        <v>#VALUE!</v>
      </c>
      <c r="Z82" s="6" t="str">
        <f>K85</f>
        <v>#VALUE!</v>
      </c>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row>
    <row r="83" ht="12.75" customHeight="1">
      <c r="A83" s="28"/>
      <c r="B83" s="57"/>
      <c r="C83" s="36"/>
      <c r="D83" s="13"/>
      <c r="E83" s="13"/>
      <c r="F83" s="13"/>
      <c r="G83" s="51"/>
      <c r="H83" s="52"/>
      <c r="I83" s="51"/>
      <c r="J83" s="52"/>
      <c r="K83" s="51" t="str">
        <f t="shared" si="33"/>
        <v>#VALUE!</v>
      </c>
      <c r="L83" s="53" t="str">
        <f t="shared" si="34"/>
        <v>#VALUE!</v>
      </c>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row>
    <row r="84" ht="12.75" customHeight="1">
      <c r="A84" s="28"/>
      <c r="B84" s="57"/>
      <c r="C84" s="36"/>
      <c r="D84" s="13"/>
      <c r="E84" s="13"/>
      <c r="F84" s="13"/>
      <c r="G84" s="51"/>
      <c r="H84" s="52"/>
      <c r="I84" s="51"/>
      <c r="J84" s="52"/>
      <c r="K84" s="51" t="str">
        <f t="shared" si="33"/>
        <v>#VALUE!</v>
      </c>
      <c r="L84" s="53" t="str">
        <f t="shared" si="34"/>
        <v>#VALUE!</v>
      </c>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row>
    <row r="85" ht="12.75" customHeight="1">
      <c r="A85" s="28"/>
      <c r="B85" s="57"/>
      <c r="C85" s="36"/>
      <c r="D85" s="13"/>
      <c r="E85" s="13"/>
      <c r="F85" s="13"/>
      <c r="G85" s="51"/>
      <c r="H85" s="52"/>
      <c r="I85" s="51"/>
      <c r="J85" s="52"/>
      <c r="K85" s="51" t="str">
        <f t="shared" si="33"/>
        <v>#VALUE!</v>
      </c>
      <c r="L85" s="53" t="str">
        <f t="shared" si="34"/>
        <v>#VALUE!</v>
      </c>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row>
    <row r="86" ht="12.75" customHeight="1">
      <c r="A86" s="28"/>
      <c r="B86" s="57"/>
      <c r="C86" s="36"/>
      <c r="D86" s="13"/>
      <c r="E86" s="13"/>
      <c r="F86" s="13"/>
      <c r="G86" s="51"/>
      <c r="H86" s="52"/>
      <c r="I86" s="51"/>
      <c r="J86" s="52"/>
      <c r="K86" s="51"/>
      <c r="L86" s="5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row>
    <row r="87" ht="12.75" customHeight="1">
      <c r="A87" s="28"/>
      <c r="B87" s="57"/>
      <c r="C87" s="36"/>
      <c r="D87" s="13"/>
      <c r="E87" s="13"/>
      <c r="F87" s="13"/>
      <c r="G87" s="51"/>
      <c r="H87" s="52"/>
      <c r="I87" s="51"/>
      <c r="J87" s="52"/>
      <c r="K87" s="51"/>
      <c r="L87" s="5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row>
    <row r="88" ht="12.75" customHeight="1">
      <c r="A88" s="28"/>
      <c r="B88" s="57"/>
      <c r="C88" s="36"/>
      <c r="D88" s="13"/>
      <c r="E88" s="13"/>
      <c r="F88" s="13"/>
      <c r="G88" s="51"/>
      <c r="H88" s="52"/>
      <c r="I88" s="51"/>
      <c r="J88" s="52"/>
      <c r="K88" s="51"/>
      <c r="L88" s="5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row>
    <row r="89" ht="12.75" customHeight="1">
      <c r="A89" s="28"/>
      <c r="B89" s="57"/>
      <c r="C89" s="36"/>
      <c r="D89" s="13"/>
      <c r="E89" s="13"/>
      <c r="F89" s="13"/>
      <c r="G89" s="51"/>
      <c r="H89" s="52"/>
      <c r="I89" s="51"/>
      <c r="J89" s="52"/>
      <c r="K89" s="51"/>
      <c r="L89" s="5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row>
    <row r="90" ht="12.75" customHeight="1">
      <c r="A90" s="28"/>
      <c r="B90" s="57"/>
      <c r="C90" s="36"/>
      <c r="D90" s="13"/>
      <c r="E90" s="13"/>
      <c r="F90" s="13"/>
      <c r="G90" s="51"/>
      <c r="H90" s="52"/>
      <c r="I90" s="51"/>
      <c r="J90" s="52"/>
      <c r="K90" s="51"/>
      <c r="L90" s="5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row>
    <row r="91" ht="12.75" customHeight="1">
      <c r="A91" s="28"/>
      <c r="B91" s="57"/>
      <c r="C91" s="36"/>
      <c r="D91" s="13"/>
      <c r="E91" s="13"/>
      <c r="F91" s="13"/>
      <c r="G91" s="51">
        <f t="shared" ref="G91:G96" si="35">AG42*AH42</f>
        <v>5</v>
      </c>
      <c r="H91" s="52">
        <f t="shared" ref="H91:H96" si="36">AI42*G91</f>
        <v>250</v>
      </c>
      <c r="I91" s="51"/>
      <c r="J91" s="52"/>
      <c r="K91" s="51"/>
      <c r="L91" s="53"/>
      <c r="M91" s="6">
        <f>G91</f>
        <v>5</v>
      </c>
      <c r="N91" s="6">
        <f>G92</f>
        <v>4</v>
      </c>
      <c r="O91" s="6">
        <f>G93</f>
        <v>3</v>
      </c>
      <c r="P91" s="6">
        <f>G94+G96+G95</f>
        <v>21</v>
      </c>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row>
    <row r="92" ht="12.75" customHeight="1">
      <c r="A92" s="28"/>
      <c r="B92" s="57"/>
      <c r="C92" s="36"/>
      <c r="D92" s="13"/>
      <c r="E92" s="13"/>
      <c r="F92" s="13"/>
      <c r="G92" s="51">
        <f t="shared" si="35"/>
        <v>4</v>
      </c>
      <c r="H92" s="52">
        <f t="shared" si="36"/>
        <v>240</v>
      </c>
      <c r="I92" s="51"/>
      <c r="J92" s="52"/>
      <c r="K92" s="51"/>
      <c r="L92" s="5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row>
    <row r="93" ht="12.75" customHeight="1">
      <c r="A93" s="28"/>
      <c r="B93" s="57"/>
      <c r="C93" s="36"/>
      <c r="D93" s="13"/>
      <c r="E93" s="13"/>
      <c r="F93" s="13"/>
      <c r="G93" s="51">
        <f t="shared" si="35"/>
        <v>3</v>
      </c>
      <c r="H93" s="52">
        <f t="shared" si="36"/>
        <v>210</v>
      </c>
      <c r="I93" s="51"/>
      <c r="J93" s="52"/>
      <c r="K93" s="51"/>
      <c r="L93" s="5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row>
    <row r="94" ht="12.75" customHeight="1">
      <c r="A94" s="28"/>
      <c r="B94" s="57"/>
      <c r="C94" s="36"/>
      <c r="D94" s="13"/>
      <c r="E94" s="13"/>
      <c r="F94" s="13"/>
      <c r="G94" s="51">
        <f t="shared" si="35"/>
        <v>15</v>
      </c>
      <c r="H94" s="52">
        <f t="shared" si="36"/>
        <v>1200</v>
      </c>
      <c r="I94" s="51"/>
      <c r="J94" s="52"/>
      <c r="K94" s="51"/>
      <c r="L94" s="5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row>
    <row r="95" ht="12.75" customHeight="1">
      <c r="A95" s="28"/>
      <c r="B95" s="57"/>
      <c r="C95" s="36"/>
      <c r="D95" s="13"/>
      <c r="E95" s="13"/>
      <c r="F95" s="13"/>
      <c r="G95" s="51">
        <f t="shared" si="35"/>
        <v>3</v>
      </c>
      <c r="H95" s="52">
        <f t="shared" si="36"/>
        <v>150</v>
      </c>
      <c r="I95" s="51"/>
      <c r="J95" s="52"/>
      <c r="K95" s="51"/>
      <c r="L95" s="5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row>
    <row r="96" ht="12.75" customHeight="1">
      <c r="A96" s="28"/>
      <c r="B96" s="57"/>
      <c r="C96" s="36"/>
      <c r="D96" s="13"/>
      <c r="E96" s="13"/>
      <c r="F96" s="13"/>
      <c r="G96" s="51">
        <f t="shared" si="35"/>
        <v>3</v>
      </c>
      <c r="H96" s="52">
        <f t="shared" si="36"/>
        <v>180</v>
      </c>
      <c r="I96" s="51"/>
      <c r="J96" s="52"/>
      <c r="K96" s="51"/>
      <c r="L96" s="5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row>
    <row r="97" ht="12.75" customHeight="1">
      <c r="A97" s="28"/>
      <c r="B97" s="57"/>
      <c r="C97" s="36"/>
      <c r="D97" s="13"/>
      <c r="E97" s="13"/>
      <c r="F97" s="13"/>
      <c r="G97" s="51"/>
      <c r="H97" s="52"/>
      <c r="I97" s="51">
        <f t="shared" ref="I97:I99" si="37">AG48*AH48</f>
        <v>3</v>
      </c>
      <c r="J97" s="52">
        <f t="shared" ref="J97:J99" si="38">AI48*I97</f>
        <v>210</v>
      </c>
      <c r="K97" s="51"/>
      <c r="L97" s="53"/>
      <c r="M97" s="3"/>
      <c r="N97" s="3"/>
      <c r="O97" s="3"/>
      <c r="P97" s="3"/>
      <c r="Q97" s="3"/>
      <c r="R97" s="6">
        <f>I97</f>
        <v>3</v>
      </c>
      <c r="S97" s="6">
        <f>I98</f>
        <v>8</v>
      </c>
      <c r="T97" s="6">
        <f>I99</f>
        <v>30</v>
      </c>
      <c r="U97" s="6">
        <v>0.0</v>
      </c>
      <c r="V97" s="3">
        <v>0.0</v>
      </c>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row>
    <row r="98" ht="12.75" customHeight="1">
      <c r="A98" s="28"/>
      <c r="B98" s="57"/>
      <c r="C98" s="36"/>
      <c r="D98" s="13"/>
      <c r="E98" s="13"/>
      <c r="F98" s="13"/>
      <c r="G98" s="51"/>
      <c r="H98" s="52"/>
      <c r="I98" s="51">
        <f t="shared" si="37"/>
        <v>8</v>
      </c>
      <c r="J98" s="52">
        <f t="shared" si="38"/>
        <v>640</v>
      </c>
      <c r="K98" s="51"/>
      <c r="L98" s="53"/>
      <c r="M98" s="3"/>
      <c r="N98" s="3"/>
      <c r="O98" s="3"/>
      <c r="P98" s="3"/>
      <c r="Q98" s="3"/>
      <c r="R98" s="6"/>
      <c r="S98" s="6"/>
      <c r="T98" s="6"/>
      <c r="U98" s="6"/>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row>
    <row r="99" ht="12.75" customHeight="1">
      <c r="A99" s="28"/>
      <c r="B99" s="57"/>
      <c r="C99" s="36"/>
      <c r="D99" s="13"/>
      <c r="E99" s="13"/>
      <c r="F99" s="13"/>
      <c r="G99" s="51"/>
      <c r="H99" s="52"/>
      <c r="I99" s="51">
        <f t="shared" si="37"/>
        <v>30</v>
      </c>
      <c r="J99" s="52">
        <f t="shared" si="38"/>
        <v>0</v>
      </c>
      <c r="K99" s="51"/>
      <c r="L99" s="53"/>
      <c r="M99" s="3"/>
      <c r="N99" s="3"/>
      <c r="O99" s="3"/>
      <c r="P99" s="3"/>
      <c r="Q99" s="3"/>
      <c r="R99" s="6"/>
      <c r="S99" s="6"/>
      <c r="T99" s="6"/>
      <c r="U99" s="6"/>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row>
    <row r="100" ht="12.75" customHeight="1">
      <c r="A100" s="28"/>
      <c r="B100" s="57"/>
      <c r="C100" s="36"/>
      <c r="D100" s="13"/>
      <c r="E100" s="13"/>
      <c r="F100" s="13"/>
      <c r="G100" s="51"/>
      <c r="H100" s="52"/>
      <c r="I100" s="51"/>
      <c r="J100" s="52"/>
      <c r="K100" s="51"/>
      <c r="L100" s="5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row>
    <row r="101" ht="12.75" customHeight="1">
      <c r="A101" s="28"/>
      <c r="B101" s="57"/>
      <c r="C101" s="36"/>
      <c r="D101" s="13"/>
      <c r="E101" s="13"/>
      <c r="F101" s="13"/>
      <c r="G101" s="51"/>
      <c r="H101" s="52"/>
      <c r="I101" s="51"/>
      <c r="J101" s="52"/>
      <c r="K101" s="51"/>
      <c r="L101" s="5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row>
    <row r="102" ht="12.75" customHeight="1">
      <c r="A102" s="28"/>
      <c r="B102" s="57"/>
      <c r="C102" s="36"/>
      <c r="D102" s="13"/>
      <c r="E102" s="13"/>
      <c r="F102" s="13"/>
      <c r="G102" s="51"/>
      <c r="H102" s="52"/>
      <c r="I102" s="51"/>
      <c r="J102" s="52"/>
      <c r="K102" s="51"/>
      <c r="L102" s="5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row>
    <row r="103" ht="12.75" customHeight="1">
      <c r="A103" s="28"/>
      <c r="B103" s="57"/>
      <c r="C103" s="36"/>
      <c r="D103" s="13"/>
      <c r="E103" s="13"/>
      <c r="F103" s="13"/>
      <c r="G103" s="82">
        <f t="shared" ref="G103:H103" si="39">SUM(G63:G102)</f>
        <v>53</v>
      </c>
      <c r="H103" s="83">
        <f t="shared" si="39"/>
        <v>3570</v>
      </c>
      <c r="I103" s="82">
        <f t="shared" ref="I103:L103" si="40">SUM(I59:I102)</f>
        <v>106</v>
      </c>
      <c r="J103" s="83">
        <f t="shared" si="40"/>
        <v>5390</v>
      </c>
      <c r="K103" s="82" t="str">
        <f t="shared" si="40"/>
        <v>#VALUE!</v>
      </c>
      <c r="L103" s="83" t="str">
        <f t="shared" si="40"/>
        <v>#VALUE!</v>
      </c>
      <c r="M103" s="6">
        <f t="shared" ref="M103:P103" si="41">SUM(M63:M102)</f>
        <v>10</v>
      </c>
      <c r="N103" s="6">
        <f t="shared" si="41"/>
        <v>8</v>
      </c>
      <c r="O103" s="6">
        <f t="shared" si="41"/>
        <v>6</v>
      </c>
      <c r="P103" s="6">
        <f t="shared" si="41"/>
        <v>29</v>
      </c>
      <c r="Q103" s="3"/>
      <c r="R103" s="6">
        <f t="shared" ref="R103:V103" si="42">SUM(R59:R102)</f>
        <v>15</v>
      </c>
      <c r="S103" s="6">
        <f t="shared" si="42"/>
        <v>19</v>
      </c>
      <c r="T103" s="6">
        <f t="shared" si="42"/>
        <v>56</v>
      </c>
      <c r="U103" s="6">
        <f t="shared" si="42"/>
        <v>16</v>
      </c>
      <c r="V103" s="6">
        <f t="shared" si="42"/>
        <v>0</v>
      </c>
      <c r="W103" s="6" t="str">
        <f t="shared" ref="W103:Z103" si="43">SUM(W75:W102)</f>
        <v>#VALUE!</v>
      </c>
      <c r="X103" s="6" t="str">
        <f t="shared" si="43"/>
        <v>#VALUE!</v>
      </c>
      <c r="Y103" s="6" t="str">
        <f t="shared" si="43"/>
        <v>#VALUE!</v>
      </c>
      <c r="Z103" s="3" t="str">
        <f t="shared" si="43"/>
        <v>#VALUE!</v>
      </c>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row>
    <row r="104" ht="12.75" customHeight="1">
      <c r="A104" s="28"/>
      <c r="B104" s="57"/>
      <c r="C104" s="36"/>
      <c r="D104" s="13"/>
      <c r="E104" s="13"/>
      <c r="F104" s="13"/>
      <c r="G104" s="51"/>
      <c r="H104" s="52"/>
      <c r="I104" s="51"/>
      <c r="J104" s="52"/>
      <c r="K104" s="51"/>
      <c r="L104" s="53"/>
      <c r="M104" s="3" t="s">
        <v>37</v>
      </c>
      <c r="N104" s="3" t="s">
        <v>38</v>
      </c>
      <c r="O104" s="3" t="s">
        <v>39</v>
      </c>
      <c r="P104" s="3" t="s">
        <v>40</v>
      </c>
      <c r="Q104" s="3" t="s">
        <v>41</v>
      </c>
      <c r="R104" s="3" t="s">
        <v>37</v>
      </c>
      <c r="S104" s="3" t="s">
        <v>38</v>
      </c>
      <c r="T104" s="3" t="s">
        <v>39</v>
      </c>
      <c r="U104" s="3" t="s">
        <v>40</v>
      </c>
      <c r="V104" s="3" t="s">
        <v>41</v>
      </c>
      <c r="W104" s="3" t="s">
        <v>37</v>
      </c>
      <c r="X104" s="3" t="s">
        <v>38</v>
      </c>
      <c r="Y104" s="3" t="s">
        <v>39</v>
      </c>
      <c r="Z104" s="3" t="s">
        <v>40</v>
      </c>
      <c r="AA104" s="3" t="s">
        <v>41</v>
      </c>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row>
    <row r="105" ht="12.75" customHeight="1">
      <c r="A105" s="28"/>
      <c r="B105" s="57"/>
      <c r="C105" s="36"/>
      <c r="D105" s="13"/>
      <c r="E105" s="13"/>
      <c r="F105" s="13"/>
      <c r="G105" s="51"/>
      <c r="H105" s="52"/>
      <c r="I105" s="51"/>
      <c r="J105" s="52"/>
      <c r="K105" s="51"/>
      <c r="L105" s="5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row>
    <row r="106" ht="12.75" customHeight="1">
      <c r="A106" s="28"/>
      <c r="B106" s="57"/>
      <c r="C106" s="36"/>
      <c r="D106" s="13"/>
      <c r="E106" s="13"/>
      <c r="F106" s="13"/>
      <c r="G106" s="51"/>
      <c r="H106" s="52"/>
      <c r="I106" s="51">
        <f t="shared" ref="I106:I109" si="44">AN7*AO7</f>
        <v>5</v>
      </c>
      <c r="J106" s="52">
        <f t="shared" ref="J106:J109" si="45">AP7*I106</f>
        <v>250</v>
      </c>
      <c r="K106" s="51"/>
      <c r="L106" s="53"/>
      <c r="M106" s="3"/>
      <c r="N106" s="3"/>
      <c r="O106" s="3"/>
      <c r="P106" s="3"/>
      <c r="Q106" s="3"/>
      <c r="R106" s="6">
        <f>I106</f>
        <v>5</v>
      </c>
      <c r="S106" s="6">
        <f>I107</f>
        <v>4</v>
      </c>
      <c r="T106" s="6">
        <f>I108</f>
        <v>3</v>
      </c>
      <c r="U106" s="6">
        <f>I109</f>
        <v>10</v>
      </c>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row>
    <row r="107" ht="12.75" customHeight="1">
      <c r="A107" s="28"/>
      <c r="B107" s="57"/>
      <c r="C107" s="36"/>
      <c r="D107" s="13"/>
      <c r="E107" s="13"/>
      <c r="F107" s="13"/>
      <c r="G107" s="51"/>
      <c r="H107" s="52"/>
      <c r="I107" s="51">
        <f t="shared" si="44"/>
        <v>4</v>
      </c>
      <c r="J107" s="52">
        <f t="shared" si="45"/>
        <v>240</v>
      </c>
      <c r="K107" s="51"/>
      <c r="L107" s="5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row>
    <row r="108" ht="12.75" customHeight="1">
      <c r="A108" s="28"/>
      <c r="B108" s="57"/>
      <c r="C108" s="36"/>
      <c r="D108" s="13"/>
      <c r="E108" s="13"/>
      <c r="F108" s="13"/>
      <c r="G108" s="51"/>
      <c r="H108" s="52"/>
      <c r="I108" s="51">
        <f t="shared" si="44"/>
        <v>3</v>
      </c>
      <c r="J108" s="52">
        <f t="shared" si="45"/>
        <v>210</v>
      </c>
      <c r="K108" s="51"/>
      <c r="L108" s="5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row>
    <row r="109" ht="12.75" customHeight="1">
      <c r="A109" s="28"/>
      <c r="B109" s="57"/>
      <c r="C109" s="36"/>
      <c r="D109" s="13"/>
      <c r="E109" s="13"/>
      <c r="F109" s="13"/>
      <c r="G109" s="51"/>
      <c r="H109" s="52"/>
      <c r="I109" s="51">
        <f t="shared" si="44"/>
        <v>10</v>
      </c>
      <c r="J109" s="52">
        <f t="shared" si="45"/>
        <v>800</v>
      </c>
      <c r="K109" s="51"/>
      <c r="L109" s="5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row>
    <row r="110" ht="12.75" customHeight="1">
      <c r="A110" s="28"/>
      <c r="B110" s="57"/>
      <c r="C110" s="36"/>
      <c r="D110" s="13"/>
      <c r="E110" s="13"/>
      <c r="F110" s="13"/>
      <c r="G110" s="51">
        <f t="shared" ref="G110:G111" si="46">AN11*AO11</f>
        <v>5</v>
      </c>
      <c r="H110" s="52">
        <f t="shared" ref="H110:H112" si="47">AP11*G110</f>
        <v>275</v>
      </c>
      <c r="I110" s="51"/>
      <c r="J110" s="52"/>
      <c r="K110" s="51"/>
      <c r="L110" s="53"/>
      <c r="M110" s="6">
        <f>G110</f>
        <v>5</v>
      </c>
      <c r="N110" s="6">
        <f>G111</f>
        <v>4</v>
      </c>
      <c r="O110" s="6">
        <f>G112</f>
        <v>35</v>
      </c>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row>
    <row r="111" ht="12.75" customHeight="1">
      <c r="A111" s="28"/>
      <c r="B111" s="57"/>
      <c r="C111" s="36"/>
      <c r="D111" s="13"/>
      <c r="E111" s="13"/>
      <c r="F111" s="13"/>
      <c r="G111" s="51">
        <f t="shared" si="46"/>
        <v>4</v>
      </c>
      <c r="H111" s="52">
        <f t="shared" si="47"/>
        <v>260</v>
      </c>
      <c r="I111" s="51"/>
      <c r="J111" s="52"/>
      <c r="K111" s="51"/>
      <c r="L111" s="5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row>
    <row r="112" ht="12.75" customHeight="1">
      <c r="A112" s="28"/>
      <c r="B112" s="57"/>
      <c r="C112" s="36"/>
      <c r="D112" s="13"/>
      <c r="E112" s="13"/>
      <c r="F112" s="13"/>
      <c r="G112" s="51">
        <v>35.0</v>
      </c>
      <c r="H112" s="52">
        <f t="shared" si="47"/>
        <v>2625</v>
      </c>
      <c r="I112" s="51"/>
      <c r="J112" s="52"/>
      <c r="K112" s="51"/>
      <c r="L112" s="5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row>
    <row r="113" ht="12.75" customHeight="1">
      <c r="A113" s="28"/>
      <c r="B113" s="57"/>
      <c r="C113" s="36"/>
      <c r="D113" s="13"/>
      <c r="E113" s="13"/>
      <c r="F113" s="13"/>
      <c r="G113" s="51"/>
      <c r="H113" s="52"/>
      <c r="I113" s="51">
        <f t="shared" ref="I113:I115" si="48">AN14*AO14</f>
        <v>8</v>
      </c>
      <c r="J113" s="52">
        <f t="shared" ref="J113:J115" si="49">AP14*I113</f>
        <v>680</v>
      </c>
      <c r="K113" s="51"/>
      <c r="L113" s="53"/>
      <c r="M113" s="3"/>
      <c r="N113" s="3"/>
      <c r="O113" s="3"/>
      <c r="P113" s="3"/>
      <c r="Q113" s="3"/>
      <c r="R113" s="6">
        <f>I113</f>
        <v>8</v>
      </c>
      <c r="S113" s="6">
        <f>I114</f>
        <v>40</v>
      </c>
      <c r="T113" s="6">
        <f>I115</f>
        <v>30</v>
      </c>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row>
    <row r="114" ht="12.75" customHeight="1">
      <c r="A114" s="28"/>
      <c r="B114" s="57"/>
      <c r="C114" s="36"/>
      <c r="D114" s="13"/>
      <c r="E114" s="13"/>
      <c r="F114" s="13"/>
      <c r="G114" s="51"/>
      <c r="H114" s="52"/>
      <c r="I114" s="51">
        <f t="shared" si="48"/>
        <v>40</v>
      </c>
      <c r="J114" s="52">
        <f t="shared" si="49"/>
        <v>0</v>
      </c>
      <c r="K114" s="51"/>
      <c r="L114" s="5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row>
    <row r="115" ht="12.75" customHeight="1">
      <c r="A115" s="28"/>
      <c r="B115" s="57"/>
      <c r="C115" s="36"/>
      <c r="D115" s="13"/>
      <c r="E115" s="13"/>
      <c r="F115" s="13"/>
      <c r="G115" s="51"/>
      <c r="H115" s="52"/>
      <c r="I115" s="51">
        <f t="shared" si="48"/>
        <v>30</v>
      </c>
      <c r="J115" s="52">
        <f t="shared" si="49"/>
        <v>0</v>
      </c>
      <c r="K115" s="51"/>
      <c r="L115" s="5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row>
    <row r="116" ht="12.75" customHeight="1">
      <c r="A116" s="28"/>
      <c r="B116" s="57"/>
      <c r="C116" s="36"/>
      <c r="D116" s="13"/>
      <c r="E116" s="13"/>
      <c r="F116" s="13"/>
      <c r="G116" s="51"/>
      <c r="H116" s="52"/>
      <c r="I116" s="51"/>
      <c r="J116" s="52"/>
      <c r="K116" s="51"/>
      <c r="L116" s="5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row>
    <row r="117" ht="12.75" customHeight="1">
      <c r="A117" s="28"/>
      <c r="B117" s="57"/>
      <c r="C117" s="36"/>
      <c r="D117" s="13"/>
      <c r="E117" s="13"/>
      <c r="F117" s="13"/>
      <c r="G117" s="51"/>
      <c r="H117" s="52"/>
      <c r="I117" s="51"/>
      <c r="J117" s="52"/>
      <c r="K117" s="51"/>
      <c r="L117" s="5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row>
    <row r="118" ht="12.75" customHeight="1">
      <c r="A118" s="28"/>
      <c r="B118" s="57"/>
      <c r="C118" s="36"/>
      <c r="D118" s="13"/>
      <c r="E118" s="13"/>
      <c r="F118" s="13"/>
      <c r="G118" s="51"/>
      <c r="H118" s="52"/>
      <c r="I118" s="51"/>
      <c r="J118" s="52"/>
      <c r="K118" s="51"/>
      <c r="L118" s="5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row>
    <row r="119" ht="12.75" customHeight="1">
      <c r="A119" s="28"/>
      <c r="B119" s="57"/>
      <c r="C119" s="36"/>
      <c r="D119" s="13"/>
      <c r="E119" s="13"/>
      <c r="F119" s="13"/>
      <c r="G119" s="51"/>
      <c r="H119" s="52"/>
      <c r="I119" s="51"/>
      <c r="J119" s="52"/>
      <c r="K119" s="51"/>
      <c r="L119" s="5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row>
    <row r="120" ht="12.75" customHeight="1">
      <c r="A120" s="28"/>
      <c r="B120" s="57"/>
      <c r="C120" s="36"/>
      <c r="D120" s="13"/>
      <c r="E120" s="13"/>
      <c r="F120" s="13"/>
      <c r="G120" s="51"/>
      <c r="H120" s="52"/>
      <c r="I120" s="51"/>
      <c r="J120" s="52"/>
      <c r="K120" s="51">
        <f t="shared" ref="K120:K123" si="50">AN22*AO22</f>
        <v>3</v>
      </c>
      <c r="L120" s="53">
        <f t="shared" ref="L120:L123" si="51">AP22*K120</f>
        <v>210</v>
      </c>
      <c r="M120" s="3"/>
      <c r="N120" s="3"/>
      <c r="O120" s="3"/>
      <c r="P120" s="3"/>
      <c r="Q120" s="3"/>
      <c r="R120" s="3"/>
      <c r="S120" s="3"/>
      <c r="T120" s="3"/>
      <c r="U120" s="3"/>
      <c r="V120" s="3"/>
      <c r="W120" s="6">
        <f>K120</f>
        <v>3</v>
      </c>
      <c r="X120" s="6">
        <f>K121</f>
        <v>8</v>
      </c>
      <c r="Y120" s="6">
        <f>K122</f>
        <v>5</v>
      </c>
      <c r="Z120" s="6">
        <f>K123</f>
        <v>4</v>
      </c>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row>
    <row r="121" ht="12.75" customHeight="1">
      <c r="A121" s="28"/>
      <c r="B121" s="57"/>
      <c r="C121" s="36"/>
      <c r="D121" s="13"/>
      <c r="E121" s="13"/>
      <c r="F121" s="13"/>
      <c r="G121" s="51"/>
      <c r="H121" s="52"/>
      <c r="I121" s="51"/>
      <c r="J121" s="52"/>
      <c r="K121" s="51">
        <f t="shared" si="50"/>
        <v>8</v>
      </c>
      <c r="L121" s="53">
        <f t="shared" si="51"/>
        <v>600</v>
      </c>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row>
    <row r="122" ht="12.75" customHeight="1">
      <c r="A122" s="28"/>
      <c r="B122" s="57"/>
      <c r="C122" s="36"/>
      <c r="D122" s="13"/>
      <c r="E122" s="13"/>
      <c r="F122" s="13"/>
      <c r="G122" s="51"/>
      <c r="H122" s="52"/>
      <c r="I122" s="51"/>
      <c r="J122" s="52"/>
      <c r="K122" s="51">
        <f t="shared" si="50"/>
        <v>5</v>
      </c>
      <c r="L122" s="53">
        <f t="shared" si="51"/>
        <v>250</v>
      </c>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row>
    <row r="123" ht="12.75" customHeight="1">
      <c r="A123" s="28"/>
      <c r="B123" s="57"/>
      <c r="C123" s="36"/>
      <c r="D123" s="13"/>
      <c r="E123" s="13"/>
      <c r="F123" s="13"/>
      <c r="G123" s="51"/>
      <c r="H123" s="52"/>
      <c r="I123" s="51"/>
      <c r="J123" s="52"/>
      <c r="K123" s="51">
        <f t="shared" si="50"/>
        <v>4</v>
      </c>
      <c r="L123" s="53">
        <f t="shared" si="51"/>
        <v>240</v>
      </c>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row>
    <row r="124" ht="12.75" customHeight="1">
      <c r="A124" s="28"/>
      <c r="B124" s="57"/>
      <c r="C124" s="36"/>
      <c r="D124" s="13"/>
      <c r="E124" s="13"/>
      <c r="F124" s="13"/>
      <c r="G124" s="51"/>
      <c r="H124" s="52"/>
      <c r="I124" s="51">
        <f t="shared" ref="I124:I130" si="52">AN26*AO26</f>
        <v>3</v>
      </c>
      <c r="J124" s="52">
        <f t="shared" ref="J124:J130" si="53">AP26*I124</f>
        <v>210</v>
      </c>
      <c r="K124" s="51"/>
      <c r="L124" s="53"/>
      <c r="M124" s="3"/>
      <c r="N124" s="3"/>
      <c r="O124" s="3"/>
      <c r="P124" s="3"/>
      <c r="Q124" s="3"/>
      <c r="R124" s="6">
        <f>I124</f>
        <v>3</v>
      </c>
      <c r="S124" s="6">
        <f>I125</f>
        <v>8</v>
      </c>
      <c r="T124" s="6">
        <f>I126</f>
        <v>3</v>
      </c>
      <c r="U124" s="6">
        <f>I127+I128+I130</f>
        <v>39</v>
      </c>
      <c r="V124" s="6">
        <f>I129</f>
        <v>6</v>
      </c>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row>
    <row r="125" ht="12.75" customHeight="1">
      <c r="A125" s="28"/>
      <c r="B125" s="57"/>
      <c r="C125" s="36"/>
      <c r="D125" s="13"/>
      <c r="E125" s="13"/>
      <c r="F125" s="13"/>
      <c r="G125" s="51"/>
      <c r="H125" s="52"/>
      <c r="I125" s="51">
        <f t="shared" si="52"/>
        <v>8</v>
      </c>
      <c r="J125" s="52">
        <f t="shared" si="53"/>
        <v>640</v>
      </c>
      <c r="K125" s="51"/>
      <c r="L125" s="5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row>
    <row r="126" ht="12.75" customHeight="1">
      <c r="A126" s="28"/>
      <c r="B126" s="57"/>
      <c r="C126" s="36"/>
      <c r="D126" s="13"/>
      <c r="E126" s="13"/>
      <c r="F126" s="13"/>
      <c r="G126" s="51"/>
      <c r="H126" s="52"/>
      <c r="I126" s="51">
        <f t="shared" si="52"/>
        <v>3</v>
      </c>
      <c r="J126" s="52">
        <f t="shared" si="53"/>
        <v>180</v>
      </c>
      <c r="K126" s="51"/>
      <c r="L126" s="5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row>
    <row r="127" ht="12.75" customHeight="1">
      <c r="A127" s="28"/>
      <c r="B127" s="57"/>
      <c r="C127" s="36"/>
      <c r="D127" s="13"/>
      <c r="E127" s="13"/>
      <c r="F127" s="13"/>
      <c r="G127" s="51"/>
      <c r="H127" s="52"/>
      <c r="I127" s="51">
        <f t="shared" si="52"/>
        <v>3</v>
      </c>
      <c r="J127" s="52">
        <f t="shared" si="53"/>
        <v>210</v>
      </c>
      <c r="K127" s="51"/>
      <c r="L127" s="5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row>
    <row r="128" ht="12.75" customHeight="1">
      <c r="A128" s="28"/>
      <c r="B128" s="57"/>
      <c r="C128" s="36"/>
      <c r="D128" s="13"/>
      <c r="E128" s="13"/>
      <c r="F128" s="13"/>
      <c r="G128" s="51"/>
      <c r="H128" s="52"/>
      <c r="I128" s="51">
        <f t="shared" si="52"/>
        <v>6</v>
      </c>
      <c r="J128" s="52">
        <f t="shared" si="53"/>
        <v>480</v>
      </c>
      <c r="K128" s="51"/>
      <c r="L128" s="5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row>
    <row r="129" ht="12.75" customHeight="1">
      <c r="A129" s="28"/>
      <c r="B129" s="57"/>
      <c r="C129" s="36"/>
      <c r="D129" s="13"/>
      <c r="E129" s="13"/>
      <c r="F129" s="13"/>
      <c r="G129" s="51"/>
      <c r="H129" s="52"/>
      <c r="I129" s="51">
        <f t="shared" si="52"/>
        <v>6</v>
      </c>
      <c r="J129" s="52">
        <f t="shared" si="53"/>
        <v>510</v>
      </c>
      <c r="K129" s="51"/>
      <c r="L129" s="5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row>
    <row r="130" ht="12.75" customHeight="1">
      <c r="A130" s="28"/>
      <c r="B130" s="57"/>
      <c r="C130" s="36"/>
      <c r="D130" s="13"/>
      <c r="E130" s="13"/>
      <c r="F130" s="13"/>
      <c r="G130" s="51"/>
      <c r="H130" s="52"/>
      <c r="I130" s="51">
        <f t="shared" si="52"/>
        <v>30</v>
      </c>
      <c r="J130" s="52">
        <f t="shared" si="53"/>
        <v>0</v>
      </c>
      <c r="K130" s="51"/>
      <c r="L130" s="5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row>
    <row r="131" ht="12.75" customHeight="1">
      <c r="A131" s="28"/>
      <c r="B131" s="57"/>
      <c r="C131" s="36"/>
      <c r="D131" s="13"/>
      <c r="E131" s="13"/>
      <c r="F131" s="13"/>
      <c r="G131" s="51"/>
      <c r="H131" s="52"/>
      <c r="I131" s="51"/>
      <c r="J131" s="52"/>
      <c r="K131" s="51">
        <f t="shared" ref="K131:K132" si="54">AN33*AO33</f>
        <v>32</v>
      </c>
      <c r="L131" s="53">
        <f t="shared" ref="L131:L132" si="55">AP33*K131</f>
        <v>0</v>
      </c>
      <c r="M131" s="3"/>
      <c r="N131" s="3"/>
      <c r="O131" s="3"/>
      <c r="P131" s="3"/>
      <c r="Q131" s="3"/>
      <c r="R131" s="3"/>
      <c r="S131" s="3"/>
      <c r="T131" s="3"/>
      <c r="U131" s="3"/>
      <c r="V131" s="3"/>
      <c r="W131" s="3"/>
      <c r="X131" s="6">
        <f>K132</f>
        <v>0</v>
      </c>
      <c r="Y131" s="6">
        <f>K132</f>
        <v>0</v>
      </c>
      <c r="Z131" s="6" t="str">
        <f>K133</f>
        <v>#REF!</v>
      </c>
      <c r="AA131" s="6">
        <f>K135</f>
        <v>5</v>
      </c>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row>
    <row r="132" ht="12.75" customHeight="1">
      <c r="A132" s="28"/>
      <c r="B132" s="57"/>
      <c r="C132" s="36"/>
      <c r="D132" s="13"/>
      <c r="E132" s="13"/>
      <c r="F132" s="13"/>
      <c r="G132" s="51"/>
      <c r="H132" s="52"/>
      <c r="I132" s="51"/>
      <c r="J132" s="52"/>
      <c r="K132" s="51">
        <f t="shared" si="54"/>
        <v>0</v>
      </c>
      <c r="L132" s="53">
        <f t="shared" si="55"/>
        <v>0</v>
      </c>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row>
    <row r="133" ht="12.75" customHeight="1">
      <c r="A133" s="28"/>
      <c r="B133" s="57"/>
      <c r="C133" s="36"/>
      <c r="D133" s="13"/>
      <c r="E133" s="13"/>
      <c r="F133" s="13"/>
      <c r="G133" s="51"/>
      <c r="H133" s="52"/>
      <c r="I133" s="51"/>
      <c r="J133" s="52"/>
      <c r="K133" s="51" t="str">
        <f>#REF!*#REF!</f>
        <v>#REF!</v>
      </c>
      <c r="L133" s="53" t="str">
        <f>#REF!*K133</f>
        <v>#REF!</v>
      </c>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row>
    <row r="134" ht="12.75" customHeight="1">
      <c r="A134" s="28"/>
      <c r="B134" s="57"/>
      <c r="C134" s="36"/>
      <c r="D134" s="13"/>
      <c r="E134" s="13"/>
      <c r="F134" s="13"/>
      <c r="G134" s="51"/>
      <c r="H134" s="52"/>
      <c r="I134" s="51"/>
      <c r="J134" s="52"/>
      <c r="K134" s="51" t="str">
        <f t="shared" ref="K134:K135" si="56">AN35*AO35</f>
        <v>#VALUE!</v>
      </c>
      <c r="L134" s="53" t="str">
        <f t="shared" ref="L134:L135" si="57">AP35*K134</f>
        <v>#VALUE!</v>
      </c>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row>
    <row r="135" ht="12.75" customHeight="1">
      <c r="A135" s="28"/>
      <c r="B135" s="57"/>
      <c r="C135" s="36"/>
      <c r="D135" s="13"/>
      <c r="E135" s="13"/>
      <c r="F135" s="13"/>
      <c r="G135" s="51"/>
      <c r="H135" s="52"/>
      <c r="I135" s="51"/>
      <c r="J135" s="52"/>
      <c r="K135" s="51">
        <f t="shared" si="56"/>
        <v>5</v>
      </c>
      <c r="L135" s="53">
        <f t="shared" si="57"/>
        <v>250</v>
      </c>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row>
    <row r="136" ht="12.75" customHeight="1">
      <c r="A136" s="28"/>
      <c r="B136" s="57"/>
      <c r="C136" s="36"/>
      <c r="D136" s="13"/>
      <c r="E136" s="13"/>
      <c r="F136" s="13"/>
      <c r="G136" s="51"/>
      <c r="H136" s="52"/>
      <c r="I136" s="51"/>
      <c r="J136" s="52"/>
      <c r="K136" s="51"/>
      <c r="L136" s="5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row>
    <row r="137" ht="12.75" customHeight="1">
      <c r="A137" s="28"/>
      <c r="B137" s="57"/>
      <c r="C137" s="36"/>
      <c r="D137" s="13"/>
      <c r="E137" s="13"/>
      <c r="F137" s="13"/>
      <c r="G137" s="51"/>
      <c r="H137" s="52"/>
      <c r="I137" s="51"/>
      <c r="J137" s="52"/>
      <c r="K137" s="51"/>
      <c r="L137" s="5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row>
    <row r="138" ht="12.75" customHeight="1">
      <c r="A138" s="28"/>
      <c r="B138" s="57"/>
      <c r="C138" s="36"/>
      <c r="D138" s="13"/>
      <c r="E138" s="13"/>
      <c r="F138" s="13"/>
      <c r="G138" s="51"/>
      <c r="H138" s="52"/>
      <c r="I138" s="51"/>
      <c r="J138" s="52"/>
      <c r="K138" s="51"/>
      <c r="L138" s="5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row>
    <row r="139" ht="12.75" customHeight="1">
      <c r="A139" s="28"/>
      <c r="B139" s="57"/>
      <c r="C139" s="36"/>
      <c r="D139" s="13"/>
      <c r="E139" s="13"/>
      <c r="F139" s="13"/>
      <c r="G139" s="51"/>
      <c r="H139" s="52"/>
      <c r="I139" s="51"/>
      <c r="J139" s="52"/>
      <c r="K139" s="51"/>
      <c r="L139" s="5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row>
    <row r="140" ht="12.75" customHeight="1">
      <c r="A140" s="28"/>
      <c r="B140" s="57"/>
      <c r="C140" s="36"/>
      <c r="D140" s="13"/>
      <c r="E140" s="13"/>
      <c r="F140" s="13"/>
      <c r="G140" s="51">
        <f t="shared" ref="G140:G143" si="58">AN39*AO39</f>
        <v>8</v>
      </c>
      <c r="H140" s="52">
        <f t="shared" ref="H140:H143" si="59">AP39*G140</f>
        <v>600</v>
      </c>
      <c r="I140" s="51"/>
      <c r="J140" s="52"/>
      <c r="K140" s="51"/>
      <c r="L140" s="53"/>
      <c r="M140" s="6">
        <f>G140</f>
        <v>8</v>
      </c>
      <c r="N140" s="6">
        <f>G141</f>
        <v>5</v>
      </c>
      <c r="O140" s="6">
        <f>G142</f>
        <v>4</v>
      </c>
      <c r="P140" s="6">
        <f>G143</f>
        <v>3</v>
      </c>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row>
    <row r="141" ht="12.75" customHeight="1">
      <c r="A141" s="28"/>
      <c r="B141" s="57"/>
      <c r="C141" s="36"/>
      <c r="D141" s="13"/>
      <c r="E141" s="13"/>
      <c r="F141" s="13"/>
      <c r="G141" s="51">
        <f t="shared" si="58"/>
        <v>5</v>
      </c>
      <c r="H141" s="52">
        <f t="shared" si="59"/>
        <v>250</v>
      </c>
      <c r="I141" s="51"/>
      <c r="J141" s="52"/>
      <c r="K141" s="51"/>
      <c r="L141" s="5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row>
    <row r="142" ht="12.75" customHeight="1">
      <c r="A142" s="28"/>
      <c r="B142" s="57"/>
      <c r="C142" s="36"/>
      <c r="D142" s="13"/>
      <c r="E142" s="13"/>
      <c r="F142" s="13"/>
      <c r="G142" s="51">
        <f t="shared" si="58"/>
        <v>4</v>
      </c>
      <c r="H142" s="52">
        <f t="shared" si="59"/>
        <v>240</v>
      </c>
      <c r="I142" s="51"/>
      <c r="J142" s="52"/>
      <c r="K142" s="51"/>
      <c r="L142" s="5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row>
    <row r="143" ht="12.75" customHeight="1">
      <c r="A143" s="28"/>
      <c r="B143" s="57"/>
      <c r="C143" s="36"/>
      <c r="D143" s="13"/>
      <c r="E143" s="13"/>
      <c r="F143" s="13"/>
      <c r="G143" s="51">
        <f t="shared" si="58"/>
        <v>3</v>
      </c>
      <c r="H143" s="52">
        <f t="shared" si="59"/>
        <v>210</v>
      </c>
      <c r="I143" s="51"/>
      <c r="J143" s="52"/>
      <c r="K143" s="51"/>
      <c r="L143" s="53"/>
      <c r="M143" s="3"/>
      <c r="N143" s="3"/>
      <c r="O143" s="3"/>
      <c r="P143" s="3"/>
      <c r="Q143" s="3"/>
      <c r="R143" s="3"/>
      <c r="S143" s="3"/>
      <c r="T143" s="3"/>
      <c r="U143" s="3"/>
      <c r="V143" s="3"/>
      <c r="W143" s="3"/>
      <c r="X143" s="3"/>
      <c r="Y143" s="3"/>
      <c r="Z143" s="3"/>
      <c r="AA143" s="3"/>
      <c r="AB143" s="3" t="s">
        <v>72</v>
      </c>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row>
    <row r="144" ht="12.75" customHeight="1">
      <c r="A144" s="28"/>
      <c r="B144" s="57"/>
      <c r="C144" s="36"/>
      <c r="D144" s="13"/>
      <c r="E144" s="13"/>
      <c r="F144" s="13"/>
      <c r="G144" s="51"/>
      <c r="H144" s="52"/>
      <c r="I144" s="51">
        <f t="shared" ref="I144:I146" si="60">AN46*AO46</f>
        <v>30</v>
      </c>
      <c r="J144" s="52">
        <f t="shared" ref="J144:J146" si="61">AP46*I144</f>
        <v>0</v>
      </c>
      <c r="K144" s="51"/>
      <c r="L144" s="53"/>
      <c r="M144" s="3"/>
      <c r="N144" s="3"/>
      <c r="O144" s="3"/>
      <c r="P144" s="3"/>
      <c r="Q144" s="3"/>
      <c r="R144" s="6">
        <f>I144</f>
        <v>30</v>
      </c>
      <c r="S144" s="6">
        <f>I145</f>
        <v>0</v>
      </c>
      <c r="T144" s="6" t="str">
        <f>I146</f>
        <v>#VALUE!</v>
      </c>
      <c r="U144" s="6" t="str">
        <f>I147</f>
        <v>#REF!</v>
      </c>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row>
    <row r="145" ht="12.75" customHeight="1">
      <c r="A145" s="28"/>
      <c r="B145" s="57"/>
      <c r="C145" s="36"/>
      <c r="D145" s="13"/>
      <c r="E145" s="13"/>
      <c r="F145" s="13"/>
      <c r="G145" s="51"/>
      <c r="H145" s="52"/>
      <c r="I145" s="51">
        <f t="shared" si="60"/>
        <v>0</v>
      </c>
      <c r="J145" s="52">
        <f t="shared" si="61"/>
        <v>0</v>
      </c>
      <c r="K145" s="51"/>
      <c r="L145" s="5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row>
    <row r="146" ht="12.75" customHeight="1">
      <c r="A146" s="28"/>
      <c r="B146" s="57"/>
      <c r="C146" s="36"/>
      <c r="D146" s="13"/>
      <c r="E146" s="13"/>
      <c r="F146" s="13"/>
      <c r="G146" s="51"/>
      <c r="H146" s="52"/>
      <c r="I146" s="51" t="str">
        <f t="shared" si="60"/>
        <v>#VALUE!</v>
      </c>
      <c r="J146" s="52" t="str">
        <f t="shared" si="61"/>
        <v>#VALUE!</v>
      </c>
      <c r="K146" s="51"/>
      <c r="L146" s="5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row>
    <row r="147" ht="12.75" customHeight="1">
      <c r="A147" s="28"/>
      <c r="B147" s="57"/>
      <c r="C147" s="36"/>
      <c r="D147" s="13"/>
      <c r="E147" s="13"/>
      <c r="F147" s="13"/>
      <c r="G147" s="51"/>
      <c r="H147" s="52"/>
      <c r="I147" s="51" t="str">
        <f>#REF!*#REF!</f>
        <v>#REF!</v>
      </c>
      <c r="J147" s="52" t="str">
        <f>#REF!*I147</f>
        <v>#REF!</v>
      </c>
      <c r="K147" s="51"/>
      <c r="L147" s="5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row>
    <row r="148" ht="12.75" customHeight="1">
      <c r="A148" s="28"/>
      <c r="B148" s="57"/>
      <c r="C148" s="36"/>
      <c r="D148" s="13"/>
      <c r="E148" s="13"/>
      <c r="F148" s="13"/>
      <c r="G148" s="51"/>
      <c r="H148" s="52"/>
      <c r="I148" s="51"/>
      <c r="J148" s="52"/>
      <c r="K148" s="51"/>
      <c r="L148" s="5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row>
    <row r="149" ht="12.75" customHeight="1">
      <c r="A149" s="28"/>
      <c r="B149" s="57"/>
      <c r="C149" s="36"/>
      <c r="D149" s="13"/>
      <c r="E149" s="13"/>
      <c r="F149" s="13"/>
      <c r="G149" s="51"/>
      <c r="H149" s="52"/>
      <c r="I149" s="51"/>
      <c r="J149" s="52"/>
      <c r="K149" s="51"/>
      <c r="L149" s="5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row>
    <row r="150" ht="12.75" customHeight="1">
      <c r="A150" s="28"/>
      <c r="B150" s="57"/>
      <c r="C150" s="36"/>
      <c r="D150" s="13"/>
      <c r="E150" s="13"/>
      <c r="F150" s="13"/>
      <c r="G150" s="51"/>
      <c r="H150" s="52"/>
      <c r="I150" s="51"/>
      <c r="J150" s="52"/>
      <c r="K150" s="51"/>
      <c r="L150" s="5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row>
    <row r="151" ht="12.75" customHeight="1">
      <c r="A151" s="28"/>
      <c r="B151" s="57"/>
      <c r="C151" s="36"/>
      <c r="D151" s="13"/>
      <c r="E151" s="13"/>
      <c r="F151" s="13"/>
      <c r="G151" s="82">
        <f t="shared" ref="G151:H151" si="62">SUM(G110:G150)</f>
        <v>64</v>
      </c>
      <c r="H151" s="83">
        <f t="shared" si="62"/>
        <v>4460</v>
      </c>
      <c r="I151" s="82" t="str">
        <f t="shared" ref="I151:J151" si="63">SUM(I106:I150)</f>
        <v>#VALUE!</v>
      </c>
      <c r="J151" s="83" t="str">
        <f t="shared" si="63"/>
        <v>#VALUE!</v>
      </c>
      <c r="K151" s="82" t="str">
        <f t="shared" ref="K151:P151" si="64">SUM(K110:K150)</f>
        <v>#REF!</v>
      </c>
      <c r="L151" s="83" t="str">
        <f t="shared" si="64"/>
        <v>#REF!</v>
      </c>
      <c r="M151" s="6">
        <f t="shared" si="64"/>
        <v>13</v>
      </c>
      <c r="N151" s="6">
        <f t="shared" si="64"/>
        <v>9</v>
      </c>
      <c r="O151" s="6">
        <f t="shared" si="64"/>
        <v>39</v>
      </c>
      <c r="P151" s="6">
        <f t="shared" si="64"/>
        <v>3</v>
      </c>
      <c r="Q151" s="3"/>
      <c r="R151" s="6">
        <f t="shared" ref="R151:V151" si="65">SUM(R106:R150)</f>
        <v>46</v>
      </c>
      <c r="S151" s="6">
        <f t="shared" si="65"/>
        <v>52</v>
      </c>
      <c r="T151" s="6" t="str">
        <f t="shared" si="65"/>
        <v>#VALUE!</v>
      </c>
      <c r="U151" s="6" t="str">
        <f t="shared" si="65"/>
        <v>#REF!</v>
      </c>
      <c r="V151" s="6">
        <f t="shared" si="65"/>
        <v>6</v>
      </c>
      <c r="W151" s="6">
        <f t="shared" ref="W151:AA151" si="66">SUM(W120:W150)</f>
        <v>3</v>
      </c>
      <c r="X151" s="6">
        <f t="shared" si="66"/>
        <v>8</v>
      </c>
      <c r="Y151" s="6">
        <f t="shared" si="66"/>
        <v>5</v>
      </c>
      <c r="Z151" s="6" t="str">
        <f t="shared" si="66"/>
        <v>#REF!</v>
      </c>
      <c r="AA151" s="6">
        <f t="shared" si="66"/>
        <v>5</v>
      </c>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row>
    <row r="152" ht="12.75" customHeight="1">
      <c r="A152" s="28"/>
      <c r="B152" s="57"/>
      <c r="C152" s="36"/>
      <c r="D152" s="13"/>
      <c r="E152" s="13"/>
      <c r="F152" s="13"/>
      <c r="G152" s="51"/>
      <c r="H152" s="52"/>
      <c r="I152" s="51"/>
      <c r="J152" s="52"/>
      <c r="K152" s="51"/>
      <c r="L152" s="53"/>
      <c r="M152" s="3" t="s">
        <v>37</v>
      </c>
      <c r="N152" s="3" t="s">
        <v>38</v>
      </c>
      <c r="O152" s="3" t="s">
        <v>39</v>
      </c>
      <c r="P152" s="3" t="s">
        <v>40</v>
      </c>
      <c r="Q152" s="3" t="s">
        <v>41</v>
      </c>
      <c r="R152" s="3" t="s">
        <v>37</v>
      </c>
      <c r="S152" s="3" t="s">
        <v>38</v>
      </c>
      <c r="T152" s="3" t="s">
        <v>39</v>
      </c>
      <c r="U152" s="3" t="s">
        <v>40</v>
      </c>
      <c r="V152" s="3" t="s">
        <v>41</v>
      </c>
      <c r="W152" s="3" t="s">
        <v>37</v>
      </c>
      <c r="X152" s="3" t="s">
        <v>38</v>
      </c>
      <c r="Y152" s="3" t="s">
        <v>39</v>
      </c>
      <c r="Z152" s="3" t="s">
        <v>40</v>
      </c>
      <c r="AA152" s="3" t="s">
        <v>41</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row>
    <row r="153" ht="12.75" customHeight="1">
      <c r="A153" s="28"/>
      <c r="B153" s="57"/>
      <c r="C153" s="36"/>
      <c r="D153" s="13"/>
      <c r="E153" s="13"/>
      <c r="F153" s="13"/>
      <c r="G153" s="51"/>
      <c r="H153" s="52"/>
      <c r="I153" s="51"/>
      <c r="J153" s="52"/>
      <c r="K153" s="51"/>
      <c r="L153" s="5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row>
    <row r="154" ht="12.75" customHeight="1">
      <c r="A154" s="28"/>
      <c r="B154" s="57"/>
      <c r="C154" s="36"/>
      <c r="D154" s="13"/>
      <c r="E154" s="13"/>
      <c r="F154" s="13"/>
      <c r="G154" s="51">
        <f t="shared" ref="G154:G157" si="67">AU7*AV7</f>
        <v>5</v>
      </c>
      <c r="H154" s="52">
        <f t="shared" ref="H154:H157" si="68">AW7*G154</f>
        <v>250</v>
      </c>
      <c r="I154" s="51"/>
      <c r="J154" s="52"/>
      <c r="K154" s="51"/>
      <c r="L154" s="53"/>
      <c r="M154" s="6">
        <f>G154</f>
        <v>5</v>
      </c>
      <c r="N154" s="6">
        <f>G155</f>
        <v>4</v>
      </c>
      <c r="O154" s="6">
        <f>G156</f>
        <v>3</v>
      </c>
      <c r="P154" s="6">
        <f>G157</f>
        <v>2</v>
      </c>
      <c r="Q154" s="6">
        <v>0.0</v>
      </c>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row>
    <row r="155" ht="12.75" customHeight="1">
      <c r="A155" s="28"/>
      <c r="B155" s="57"/>
      <c r="C155" s="36"/>
      <c r="D155" s="13"/>
      <c r="E155" s="13"/>
      <c r="F155" s="13"/>
      <c r="G155" s="51">
        <f t="shared" si="67"/>
        <v>4</v>
      </c>
      <c r="H155" s="52">
        <f t="shared" si="68"/>
        <v>240</v>
      </c>
      <c r="I155" s="51"/>
      <c r="J155" s="52"/>
      <c r="K155" s="51"/>
      <c r="L155" s="5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row>
    <row r="156" ht="12.75" customHeight="1">
      <c r="A156" s="28"/>
      <c r="B156" s="57"/>
      <c r="C156" s="36"/>
      <c r="D156" s="13"/>
      <c r="E156" s="13"/>
      <c r="F156" s="13"/>
      <c r="G156" s="51">
        <f t="shared" si="67"/>
        <v>3</v>
      </c>
      <c r="H156" s="52">
        <f t="shared" si="68"/>
        <v>210</v>
      </c>
      <c r="I156" s="51"/>
      <c r="J156" s="52"/>
      <c r="K156" s="51"/>
      <c r="L156" s="5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row>
    <row r="157" ht="12.75" customHeight="1">
      <c r="A157" s="28"/>
      <c r="B157" s="57"/>
      <c r="C157" s="36"/>
      <c r="D157" s="13"/>
      <c r="E157" s="13"/>
      <c r="F157" s="13"/>
      <c r="G157" s="51">
        <f t="shared" si="67"/>
        <v>2</v>
      </c>
      <c r="H157" s="52">
        <f t="shared" si="68"/>
        <v>160</v>
      </c>
      <c r="I157" s="51"/>
      <c r="J157" s="52"/>
      <c r="K157" s="51"/>
      <c r="L157" s="5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row>
    <row r="158" ht="12.75" customHeight="1">
      <c r="A158" s="28"/>
      <c r="B158" s="57"/>
      <c r="C158" s="36"/>
      <c r="D158" s="13"/>
      <c r="E158" s="13"/>
      <c r="F158" s="13"/>
      <c r="G158" s="51"/>
      <c r="H158" s="52"/>
      <c r="I158" s="51">
        <f t="shared" ref="I158:I161" si="69">AU11*AV11</f>
        <v>1</v>
      </c>
      <c r="J158" s="52">
        <f t="shared" ref="J158:J161" si="70">AW11*I158</f>
        <v>90</v>
      </c>
      <c r="K158" s="51"/>
      <c r="L158" s="53"/>
      <c r="M158" s="3"/>
      <c r="N158" s="3"/>
      <c r="O158" s="3"/>
      <c r="P158" s="3"/>
      <c r="Q158" s="3"/>
      <c r="R158" s="6">
        <f>I158</f>
        <v>1</v>
      </c>
      <c r="S158" s="6">
        <f>I159</f>
        <v>1</v>
      </c>
      <c r="T158" s="6">
        <f>I160</f>
        <v>1</v>
      </c>
      <c r="U158" s="6">
        <f>I161</f>
        <v>1</v>
      </c>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row>
    <row r="159" ht="12.75" customHeight="1">
      <c r="A159" s="28"/>
      <c r="B159" s="57"/>
      <c r="C159" s="36"/>
      <c r="D159" s="13"/>
      <c r="E159" s="13"/>
      <c r="F159" s="13"/>
      <c r="G159" s="51"/>
      <c r="H159" s="52"/>
      <c r="I159" s="51">
        <f t="shared" si="69"/>
        <v>1</v>
      </c>
      <c r="J159" s="52">
        <f t="shared" si="70"/>
        <v>95</v>
      </c>
      <c r="K159" s="51"/>
      <c r="L159" s="5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row>
    <row r="160" ht="12.75" customHeight="1">
      <c r="A160" s="28"/>
      <c r="B160" s="57"/>
      <c r="C160" s="36"/>
      <c r="D160" s="13"/>
      <c r="E160" s="13"/>
      <c r="F160" s="13"/>
      <c r="G160" s="51"/>
      <c r="H160" s="52"/>
      <c r="I160" s="51">
        <f t="shared" si="69"/>
        <v>1</v>
      </c>
      <c r="J160" s="52">
        <f t="shared" si="70"/>
        <v>100</v>
      </c>
      <c r="K160" s="51"/>
      <c r="L160" s="5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row>
    <row r="161" ht="12.75" customHeight="1">
      <c r="A161" s="28"/>
      <c r="B161" s="57"/>
      <c r="C161" s="36"/>
      <c r="D161" s="13"/>
      <c r="E161" s="13"/>
      <c r="F161" s="13"/>
      <c r="G161" s="51"/>
      <c r="H161" s="52"/>
      <c r="I161" s="51">
        <f t="shared" si="69"/>
        <v>1</v>
      </c>
      <c r="J161" s="52">
        <f t="shared" si="70"/>
        <v>105</v>
      </c>
      <c r="K161" s="51"/>
      <c r="L161" s="5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row>
    <row r="162" ht="12.75" customHeight="1">
      <c r="A162" s="28"/>
      <c r="B162" s="57"/>
      <c r="C162" s="36"/>
      <c r="D162" s="13"/>
      <c r="E162" s="13"/>
      <c r="F162" s="13"/>
      <c r="G162" s="51"/>
      <c r="H162" s="52"/>
      <c r="I162" s="51"/>
      <c r="J162" s="52"/>
      <c r="K162" s="51"/>
      <c r="L162" s="5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row>
    <row r="163" ht="12.75" customHeight="1">
      <c r="A163" s="28"/>
      <c r="B163" s="57"/>
      <c r="C163" s="36"/>
      <c r="D163" s="13"/>
      <c r="E163" s="13"/>
      <c r="F163" s="13"/>
      <c r="G163" s="51"/>
      <c r="H163" s="52"/>
      <c r="I163" s="51"/>
      <c r="J163" s="52"/>
      <c r="K163" s="51"/>
      <c r="L163" s="5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row>
    <row r="164" ht="12.75" customHeight="1">
      <c r="A164" s="28"/>
      <c r="B164" s="57"/>
      <c r="C164" s="36"/>
      <c r="D164" s="13"/>
      <c r="E164" s="13"/>
      <c r="F164" s="13"/>
      <c r="G164" s="51"/>
      <c r="H164" s="52"/>
      <c r="I164" s="51"/>
      <c r="J164" s="52"/>
      <c r="K164" s="51"/>
      <c r="L164" s="5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row>
    <row r="165" ht="12.75" customHeight="1">
      <c r="A165" s="28"/>
      <c r="B165" s="57"/>
      <c r="C165" s="36"/>
      <c r="D165" s="13"/>
      <c r="E165" s="13"/>
      <c r="F165" s="13"/>
      <c r="G165" s="51"/>
      <c r="H165" s="52"/>
      <c r="I165" s="51"/>
      <c r="J165" s="52"/>
      <c r="K165" s="51"/>
      <c r="L165" s="5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row>
    <row r="166" ht="12.75" customHeight="1">
      <c r="A166" s="28"/>
      <c r="B166" s="57"/>
      <c r="C166" s="36"/>
      <c r="D166" s="13"/>
      <c r="E166" s="13"/>
      <c r="F166" s="13"/>
      <c r="G166" s="51"/>
      <c r="H166" s="52"/>
      <c r="I166" s="51">
        <f t="shared" ref="I166:I172" si="71">AU19*AV19</f>
        <v>50</v>
      </c>
      <c r="J166" s="52">
        <f t="shared" ref="J166:J172" si="72">AW19*I166</f>
        <v>0</v>
      </c>
      <c r="K166" s="51"/>
      <c r="L166" s="53"/>
      <c r="M166" s="3"/>
      <c r="N166" s="3"/>
      <c r="O166" s="3"/>
      <c r="P166" s="3"/>
      <c r="Q166" s="3"/>
      <c r="R166" s="6">
        <f>I166</f>
        <v>50</v>
      </c>
      <c r="S166" s="6">
        <f>I167</f>
        <v>32</v>
      </c>
      <c r="T166" s="6">
        <f>I168</f>
        <v>0</v>
      </c>
      <c r="U166" s="6" t="str">
        <f>I169+I172+I170</f>
        <v>#VALUE!</v>
      </c>
      <c r="V166" s="6">
        <f>I171</f>
        <v>4</v>
      </c>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row>
    <row r="167" ht="12.75" customHeight="1">
      <c r="A167" s="28"/>
      <c r="B167" s="57"/>
      <c r="C167" s="36"/>
      <c r="D167" s="13"/>
      <c r="E167" s="13"/>
      <c r="F167" s="13"/>
      <c r="G167" s="51"/>
      <c r="H167" s="52"/>
      <c r="I167" s="51">
        <f t="shared" si="71"/>
        <v>32</v>
      </c>
      <c r="J167" s="52">
        <f t="shared" si="72"/>
        <v>0</v>
      </c>
      <c r="K167" s="51"/>
      <c r="L167" s="5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row>
    <row r="168" ht="12.75" customHeight="1">
      <c r="A168" s="28"/>
      <c r="B168" s="57"/>
      <c r="C168" s="36"/>
      <c r="D168" s="13"/>
      <c r="E168" s="13"/>
      <c r="F168" s="13"/>
      <c r="G168" s="51"/>
      <c r="H168" s="52"/>
      <c r="I168" s="51">
        <f t="shared" si="71"/>
        <v>0</v>
      </c>
      <c r="J168" s="52">
        <f t="shared" si="72"/>
        <v>0</v>
      </c>
      <c r="K168" s="51"/>
      <c r="L168" s="5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row>
    <row r="169" ht="12.75" customHeight="1">
      <c r="A169" s="28"/>
      <c r="B169" s="57"/>
      <c r="C169" s="36"/>
      <c r="D169" s="13"/>
      <c r="E169" s="13"/>
      <c r="F169" s="13"/>
      <c r="G169" s="51"/>
      <c r="H169" s="52"/>
      <c r="I169" s="51" t="str">
        <f t="shared" si="71"/>
        <v>#VALUE!</v>
      </c>
      <c r="J169" s="52" t="str">
        <f t="shared" si="72"/>
        <v>#VALUE!</v>
      </c>
      <c r="K169" s="51"/>
      <c r="L169" s="5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row>
    <row r="170" ht="12.75" customHeight="1">
      <c r="A170" s="28"/>
      <c r="B170" s="57"/>
      <c r="C170" s="36"/>
      <c r="D170" s="13"/>
      <c r="E170" s="13"/>
      <c r="F170" s="13"/>
      <c r="G170" s="51"/>
      <c r="H170" s="52"/>
      <c r="I170" s="51">
        <f t="shared" si="71"/>
        <v>5</v>
      </c>
      <c r="J170" s="52">
        <f t="shared" si="72"/>
        <v>250</v>
      </c>
      <c r="K170" s="51"/>
      <c r="L170" s="5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row>
    <row r="171" ht="12.75" customHeight="1">
      <c r="A171" s="28"/>
      <c r="B171" s="57"/>
      <c r="C171" s="36"/>
      <c r="D171" s="13"/>
      <c r="E171" s="13"/>
      <c r="F171" s="13"/>
      <c r="G171" s="51"/>
      <c r="H171" s="52"/>
      <c r="I171" s="51">
        <f t="shared" si="71"/>
        <v>4</v>
      </c>
      <c r="J171" s="52">
        <f t="shared" si="72"/>
        <v>240</v>
      </c>
      <c r="K171" s="51"/>
      <c r="L171" s="5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row>
    <row r="172" ht="12.75" customHeight="1">
      <c r="A172" s="28"/>
      <c r="B172" s="57"/>
      <c r="C172" s="36"/>
      <c r="D172" s="13"/>
      <c r="E172" s="13"/>
      <c r="F172" s="13"/>
      <c r="G172" s="51"/>
      <c r="H172" s="52"/>
      <c r="I172" s="51">
        <f t="shared" si="71"/>
        <v>3</v>
      </c>
      <c r="J172" s="52">
        <f t="shared" si="72"/>
        <v>210</v>
      </c>
      <c r="K172" s="51"/>
      <c r="L172" s="5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row>
    <row r="173" ht="12.75" customHeight="1">
      <c r="A173" s="28"/>
      <c r="B173" s="57"/>
      <c r="C173" s="36"/>
      <c r="D173" s="13"/>
      <c r="E173" s="13"/>
      <c r="F173" s="13"/>
      <c r="G173" s="51"/>
      <c r="H173" s="52"/>
      <c r="I173" s="51"/>
      <c r="J173" s="52"/>
      <c r="K173" s="51">
        <f t="shared" ref="K173:K178" si="73">AU26*AV26</f>
        <v>2</v>
      </c>
      <c r="L173" s="53">
        <f t="shared" ref="L173:L178" si="74">AW26*K173</f>
        <v>160</v>
      </c>
      <c r="M173" s="3"/>
      <c r="N173" s="3"/>
      <c r="O173" s="3"/>
      <c r="P173" s="3"/>
      <c r="Q173" s="3"/>
      <c r="R173" s="3"/>
      <c r="S173" s="3"/>
      <c r="T173" s="3"/>
      <c r="U173" s="3"/>
      <c r="V173" s="3"/>
      <c r="W173" s="6">
        <f>K173</f>
        <v>2</v>
      </c>
      <c r="X173" s="6">
        <f>K174</f>
        <v>1</v>
      </c>
      <c r="Y173" s="6">
        <f>K175</f>
        <v>1</v>
      </c>
      <c r="Z173" s="6">
        <f>K176+K177</f>
        <v>2</v>
      </c>
      <c r="AA173" s="6">
        <f>K178</f>
        <v>5</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row>
    <row r="174" ht="12.75" customHeight="1">
      <c r="A174" s="28"/>
      <c r="B174" s="57"/>
      <c r="C174" s="36"/>
      <c r="D174" s="13"/>
      <c r="E174" s="13"/>
      <c r="F174" s="13"/>
      <c r="G174" s="51"/>
      <c r="H174" s="52"/>
      <c r="I174" s="51"/>
      <c r="J174" s="52"/>
      <c r="K174" s="51">
        <f t="shared" si="73"/>
        <v>1</v>
      </c>
      <c r="L174" s="53">
        <f t="shared" si="74"/>
        <v>90</v>
      </c>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row>
    <row r="175" ht="12.75" customHeight="1">
      <c r="A175" s="28"/>
      <c r="B175" s="57"/>
      <c r="C175" s="36"/>
      <c r="D175" s="13"/>
      <c r="E175" s="13"/>
      <c r="F175" s="13"/>
      <c r="G175" s="51"/>
      <c r="H175" s="52"/>
      <c r="I175" s="51"/>
      <c r="J175" s="52"/>
      <c r="K175" s="51">
        <f t="shared" si="73"/>
        <v>1</v>
      </c>
      <c r="L175" s="53">
        <f t="shared" si="74"/>
        <v>95</v>
      </c>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row>
    <row r="176" ht="12.75" customHeight="1">
      <c r="A176" s="28"/>
      <c r="B176" s="57"/>
      <c r="C176" s="36"/>
      <c r="D176" s="13"/>
      <c r="E176" s="13"/>
      <c r="F176" s="13"/>
      <c r="G176" s="51"/>
      <c r="H176" s="52"/>
      <c r="I176" s="51"/>
      <c r="J176" s="52"/>
      <c r="K176" s="51">
        <f t="shared" si="73"/>
        <v>1</v>
      </c>
      <c r="L176" s="53">
        <f t="shared" si="74"/>
        <v>100</v>
      </c>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row>
    <row r="177" ht="12.75" customHeight="1">
      <c r="A177" s="28"/>
      <c r="B177" s="57"/>
      <c r="C177" s="36"/>
      <c r="D177" s="13"/>
      <c r="E177" s="13"/>
      <c r="F177" s="13"/>
      <c r="G177" s="51"/>
      <c r="H177" s="52"/>
      <c r="I177" s="51"/>
      <c r="J177" s="52"/>
      <c r="K177" s="51">
        <f t="shared" si="73"/>
        <v>1</v>
      </c>
      <c r="L177" s="53">
        <f t="shared" si="74"/>
        <v>105</v>
      </c>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row>
    <row r="178" ht="12.75" customHeight="1">
      <c r="A178" s="28"/>
      <c r="B178" s="57"/>
      <c r="C178" s="36"/>
      <c r="D178" s="13"/>
      <c r="E178" s="13"/>
      <c r="F178" s="13"/>
      <c r="G178" s="51"/>
      <c r="H178" s="52"/>
      <c r="I178" s="51"/>
      <c r="J178" s="52"/>
      <c r="K178" s="51">
        <f t="shared" si="73"/>
        <v>5</v>
      </c>
      <c r="L178" s="53">
        <f t="shared" si="74"/>
        <v>250</v>
      </c>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row>
    <row r="179" ht="12.75" customHeight="1">
      <c r="A179" s="3"/>
      <c r="B179" s="3"/>
      <c r="C179" s="3"/>
      <c r="D179" s="3"/>
      <c r="E179" s="3"/>
      <c r="F179" s="3"/>
      <c r="G179" s="51"/>
      <c r="H179" s="52"/>
      <c r="I179" s="51"/>
      <c r="J179" s="52"/>
      <c r="K179" s="51"/>
      <c r="L179" s="5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row>
    <row r="180" ht="12.75" customHeight="1">
      <c r="A180" s="3"/>
      <c r="B180" s="3"/>
      <c r="C180" s="3"/>
      <c r="D180" s="3"/>
      <c r="E180" s="3"/>
      <c r="F180" s="3"/>
      <c r="G180" s="51"/>
      <c r="H180" s="52"/>
      <c r="I180" s="51"/>
      <c r="J180" s="52"/>
      <c r="K180" s="51"/>
      <c r="L180" s="5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row>
    <row r="181" ht="12.75" customHeight="1">
      <c r="A181" s="28"/>
      <c r="B181" s="57"/>
      <c r="C181" s="36"/>
      <c r="D181" s="13"/>
      <c r="E181" s="13"/>
      <c r="F181" s="13"/>
      <c r="G181" s="51"/>
      <c r="H181" s="52"/>
      <c r="I181" s="51"/>
      <c r="J181" s="52"/>
      <c r="K181" s="51"/>
      <c r="L181" s="5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row>
    <row r="182" ht="12.75" customHeight="1">
      <c r="A182" s="28"/>
      <c r="B182" s="57"/>
      <c r="C182" s="36"/>
      <c r="D182" s="13"/>
      <c r="E182" s="13"/>
      <c r="F182" s="13"/>
      <c r="G182" s="51"/>
      <c r="H182" s="52"/>
      <c r="I182" s="51"/>
      <c r="J182" s="52"/>
      <c r="K182" s="51"/>
      <c r="L182" s="5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row>
    <row r="183" ht="12.75" customHeight="1">
      <c r="A183" s="28"/>
      <c r="B183" s="57"/>
      <c r="C183" s="36"/>
      <c r="D183" s="13"/>
      <c r="E183" s="13"/>
      <c r="F183" s="13"/>
      <c r="G183" s="51"/>
      <c r="H183" s="52"/>
      <c r="I183" s="51"/>
      <c r="J183" s="52"/>
      <c r="K183" s="51"/>
      <c r="L183" s="5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row>
    <row r="184" ht="12.75" customHeight="1">
      <c r="A184" s="28"/>
      <c r="B184" s="57"/>
      <c r="C184" s="36"/>
      <c r="D184" s="13"/>
      <c r="E184" s="13"/>
      <c r="F184" s="13"/>
      <c r="G184" s="51">
        <f t="shared" ref="G184:G188" si="75">AU37*AV37</f>
        <v>1</v>
      </c>
      <c r="H184" s="52">
        <f t="shared" ref="H184:H188" si="76">AW37*G184</f>
        <v>100</v>
      </c>
      <c r="I184" s="51"/>
      <c r="J184" s="52"/>
      <c r="K184" s="51"/>
      <c r="L184" s="53"/>
      <c r="M184" s="6">
        <f>G184</f>
        <v>1</v>
      </c>
      <c r="N184" s="6">
        <f>G185</f>
        <v>1</v>
      </c>
      <c r="O184" s="6">
        <f>G186</f>
        <v>20</v>
      </c>
      <c r="P184" s="6">
        <f>G188+G187</f>
        <v>32</v>
      </c>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row>
    <row r="185" ht="12.75" customHeight="1">
      <c r="A185" s="28"/>
      <c r="B185" s="57"/>
      <c r="C185" s="36"/>
      <c r="D185" s="13"/>
      <c r="E185" s="13"/>
      <c r="F185" s="13"/>
      <c r="G185" s="51">
        <f t="shared" si="75"/>
        <v>1</v>
      </c>
      <c r="H185" s="52">
        <f t="shared" si="76"/>
        <v>105</v>
      </c>
      <c r="I185" s="51"/>
      <c r="J185" s="52"/>
      <c r="K185" s="51"/>
      <c r="L185" s="5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row>
    <row r="186" ht="12.75" customHeight="1">
      <c r="A186" s="28"/>
      <c r="B186" s="57"/>
      <c r="C186" s="36"/>
      <c r="D186" s="13"/>
      <c r="E186" s="13"/>
      <c r="F186" s="13"/>
      <c r="G186" s="51">
        <f t="shared" si="75"/>
        <v>20</v>
      </c>
      <c r="H186" s="52">
        <f t="shared" si="76"/>
        <v>0</v>
      </c>
      <c r="I186" s="51"/>
      <c r="J186" s="52"/>
      <c r="K186" s="51"/>
      <c r="L186" s="5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row>
    <row r="187" ht="12.75" customHeight="1">
      <c r="A187" s="28"/>
      <c r="B187" s="57"/>
      <c r="C187" s="36"/>
      <c r="D187" s="13"/>
      <c r="E187" s="13"/>
      <c r="F187" s="13"/>
      <c r="G187" s="51">
        <f t="shared" si="75"/>
        <v>32</v>
      </c>
      <c r="H187" s="52">
        <f t="shared" si="76"/>
        <v>0</v>
      </c>
      <c r="I187" s="51"/>
      <c r="J187" s="52"/>
      <c r="K187" s="51"/>
      <c r="L187" s="5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row>
    <row r="188" ht="12.75" customHeight="1">
      <c r="A188" s="28"/>
      <c r="B188" s="57"/>
      <c r="C188" s="36"/>
      <c r="D188" s="13"/>
      <c r="E188" s="13"/>
      <c r="F188" s="13"/>
      <c r="G188" s="51">
        <f t="shared" si="75"/>
        <v>0</v>
      </c>
      <c r="H188" s="52">
        <f t="shared" si="76"/>
        <v>0</v>
      </c>
      <c r="I188" s="51"/>
      <c r="J188" s="52"/>
      <c r="K188" s="51"/>
      <c r="L188" s="5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row>
    <row r="189" ht="12.75" customHeight="1">
      <c r="A189" s="28"/>
      <c r="B189" s="57"/>
      <c r="C189" s="36"/>
      <c r="D189" s="13"/>
      <c r="E189" s="13"/>
      <c r="F189" s="13"/>
      <c r="G189" s="51"/>
      <c r="H189" s="52"/>
      <c r="I189" s="51" t="str">
        <f t="shared" ref="I189:I191" si="77">AU42*AV42</f>
        <v>#VALUE!</v>
      </c>
      <c r="J189" s="52" t="str">
        <f t="shared" ref="J189:J191" si="78">AW42*I189</f>
        <v>#VALUE!</v>
      </c>
      <c r="K189" s="51"/>
      <c r="L189" s="53"/>
      <c r="M189" s="3"/>
      <c r="N189" s="3"/>
      <c r="O189" s="3"/>
      <c r="P189" s="3"/>
      <c r="Q189" s="3"/>
      <c r="R189" s="6" t="str">
        <f>I189</f>
        <v>#VALUE!</v>
      </c>
      <c r="S189" s="6">
        <f>I190</f>
        <v>5</v>
      </c>
      <c r="T189" s="6">
        <f>I191</f>
        <v>4</v>
      </c>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row>
    <row r="190" ht="12.75" customHeight="1">
      <c r="A190" s="28"/>
      <c r="B190" s="57"/>
      <c r="C190" s="36"/>
      <c r="D190" s="13"/>
      <c r="E190" s="13"/>
      <c r="F190" s="13"/>
      <c r="G190" s="51"/>
      <c r="H190" s="52"/>
      <c r="I190" s="51">
        <f t="shared" si="77"/>
        <v>5</v>
      </c>
      <c r="J190" s="52">
        <f t="shared" si="78"/>
        <v>250</v>
      </c>
      <c r="K190" s="51"/>
      <c r="L190" s="5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row>
    <row r="191" ht="12.75" customHeight="1">
      <c r="A191" s="28"/>
      <c r="B191" s="57"/>
      <c r="C191" s="36"/>
      <c r="D191" s="13"/>
      <c r="E191" s="13"/>
      <c r="F191" s="13"/>
      <c r="G191" s="51"/>
      <c r="H191" s="52"/>
      <c r="I191" s="51">
        <f t="shared" si="77"/>
        <v>4</v>
      </c>
      <c r="J191" s="52">
        <f t="shared" si="78"/>
        <v>240</v>
      </c>
      <c r="K191" s="51"/>
      <c r="L191" s="5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row>
    <row r="192" ht="12.75" customHeight="1">
      <c r="A192" s="28"/>
      <c r="B192" s="57"/>
      <c r="C192" s="36"/>
      <c r="D192" s="13"/>
      <c r="E192" s="13"/>
      <c r="F192" s="13"/>
      <c r="G192" s="51"/>
      <c r="H192" s="52"/>
      <c r="I192" s="51"/>
      <c r="J192" s="52"/>
      <c r="K192" s="51"/>
      <c r="L192" s="5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row>
    <row r="193" ht="12.75" customHeight="1">
      <c r="A193" s="28"/>
      <c r="B193" s="57"/>
      <c r="C193" s="36"/>
      <c r="D193" s="13"/>
      <c r="E193" s="13"/>
      <c r="F193" s="13"/>
      <c r="G193" s="51"/>
      <c r="H193" s="52"/>
      <c r="I193" s="51"/>
      <c r="J193" s="52"/>
      <c r="K193" s="51"/>
      <c r="L193" s="5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row>
    <row r="194" ht="12.75" customHeight="1">
      <c r="A194" s="28"/>
      <c r="B194" s="57"/>
      <c r="C194" s="36"/>
      <c r="D194" s="13"/>
      <c r="E194" s="13"/>
      <c r="F194" s="13"/>
      <c r="G194" s="51"/>
      <c r="H194" s="52"/>
      <c r="I194" s="51"/>
      <c r="J194" s="52"/>
      <c r="K194" s="51"/>
      <c r="L194" s="5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row>
    <row r="195" ht="12.75" customHeight="1">
      <c r="A195" s="28"/>
      <c r="B195" s="57"/>
      <c r="C195" s="37"/>
      <c r="D195" s="26"/>
      <c r="E195" s="26"/>
      <c r="F195" s="26"/>
      <c r="G195" s="51"/>
      <c r="H195" s="52"/>
      <c r="I195" s="51"/>
      <c r="J195" s="52"/>
      <c r="K195" s="51"/>
      <c r="L195" s="5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row>
    <row r="196" ht="12.75" customHeight="1">
      <c r="A196" s="28"/>
      <c r="B196" s="57"/>
      <c r="C196" s="36"/>
      <c r="D196" s="13"/>
      <c r="E196" s="13"/>
      <c r="F196" s="13"/>
      <c r="G196" s="26">
        <f t="shared" ref="G196:Q196" si="79">SUM(G154:G195)</f>
        <v>68</v>
      </c>
      <c r="H196" s="26">
        <f t="shared" si="79"/>
        <v>1065</v>
      </c>
      <c r="I196" s="26" t="str">
        <f t="shared" si="79"/>
        <v>#VALUE!</v>
      </c>
      <c r="J196" s="26" t="str">
        <f t="shared" si="79"/>
        <v>#VALUE!</v>
      </c>
      <c r="K196" s="26">
        <f t="shared" si="79"/>
        <v>11</v>
      </c>
      <c r="L196" s="26">
        <f t="shared" si="79"/>
        <v>800</v>
      </c>
      <c r="M196" s="6">
        <f t="shared" si="79"/>
        <v>6</v>
      </c>
      <c r="N196" s="6">
        <f t="shared" si="79"/>
        <v>5</v>
      </c>
      <c r="O196" s="6">
        <f t="shared" si="79"/>
        <v>23</v>
      </c>
      <c r="P196" s="6">
        <f t="shared" si="79"/>
        <v>34</v>
      </c>
      <c r="Q196" s="6">
        <f t="shared" si="79"/>
        <v>0</v>
      </c>
      <c r="R196" s="6" t="str">
        <f t="shared" ref="R196:V196" si="80">SUM(R158:R195)</f>
        <v>#VALUE!</v>
      </c>
      <c r="S196" s="6">
        <f t="shared" si="80"/>
        <v>38</v>
      </c>
      <c r="T196" s="6">
        <f t="shared" si="80"/>
        <v>5</v>
      </c>
      <c r="U196" s="6" t="str">
        <f t="shared" si="80"/>
        <v>#VALUE!</v>
      </c>
      <c r="V196" s="6">
        <f t="shared" si="80"/>
        <v>4</v>
      </c>
      <c r="W196" s="6">
        <f t="shared" ref="W196:AA196" si="81">SUM(W173:W195)</f>
        <v>2</v>
      </c>
      <c r="X196" s="6">
        <f t="shared" si="81"/>
        <v>1</v>
      </c>
      <c r="Y196" s="6">
        <f t="shared" si="81"/>
        <v>1</v>
      </c>
      <c r="Z196" s="6">
        <f t="shared" si="81"/>
        <v>2</v>
      </c>
      <c r="AA196" s="6">
        <f t="shared" si="81"/>
        <v>5</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row>
    <row r="197" ht="12.75" customHeight="1">
      <c r="A197" s="28"/>
      <c r="B197" s="57"/>
      <c r="C197" s="36"/>
      <c r="D197" s="13"/>
      <c r="E197" s="13"/>
      <c r="F197" s="13"/>
      <c r="G197" s="13"/>
      <c r="H197" s="13"/>
      <c r="I197" s="13"/>
      <c r="J197" s="13"/>
      <c r="K197" s="13"/>
      <c r="L197" s="27"/>
      <c r="M197" s="3" t="s">
        <v>37</v>
      </c>
      <c r="N197" s="3" t="s">
        <v>38</v>
      </c>
      <c r="O197" s="3" t="s">
        <v>39</v>
      </c>
      <c r="P197" s="3" t="s">
        <v>40</v>
      </c>
      <c r="Q197" s="3" t="s">
        <v>41</v>
      </c>
      <c r="R197" s="3" t="s">
        <v>37</v>
      </c>
      <c r="S197" s="3" t="s">
        <v>38</v>
      </c>
      <c r="T197" s="3" t="s">
        <v>39</v>
      </c>
      <c r="U197" s="3" t="s">
        <v>40</v>
      </c>
      <c r="V197" s="3" t="s">
        <v>41</v>
      </c>
      <c r="W197" s="3" t="s">
        <v>37</v>
      </c>
      <c r="X197" s="3" t="s">
        <v>38</v>
      </c>
      <c r="Y197" s="3" t="s">
        <v>39</v>
      </c>
      <c r="Z197" s="3" t="s">
        <v>40</v>
      </c>
      <c r="AA197" s="3" t="s">
        <v>41</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row>
    <row r="198" ht="12.75" customHeight="1">
      <c r="A198" s="28"/>
      <c r="B198" s="57"/>
      <c r="C198" s="36"/>
      <c r="D198" s="13"/>
      <c r="E198" s="13"/>
      <c r="F198" s="13"/>
      <c r="G198" s="13"/>
      <c r="H198" s="13"/>
      <c r="I198" s="13"/>
      <c r="J198" s="13"/>
      <c r="K198" s="13"/>
      <c r="L198" s="27"/>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row>
    <row r="199" ht="12.75" customHeight="1">
      <c r="A199" s="28"/>
      <c r="B199" s="57"/>
      <c r="C199" s="36"/>
      <c r="D199" s="13"/>
      <c r="E199" s="13"/>
      <c r="F199" s="13"/>
      <c r="G199" s="26" t="str">
        <f t="shared" ref="G199:L199" si="82">SUM(G196+G151+G103+G56)</f>
        <v>#REF!</v>
      </c>
      <c r="H199" s="26" t="str">
        <f t="shared" si="82"/>
        <v>#REF!</v>
      </c>
      <c r="I199" s="26" t="str">
        <f t="shared" si="82"/>
        <v>#VALUE!</v>
      </c>
      <c r="J199" s="26" t="str">
        <f t="shared" si="82"/>
        <v>#VALUE!</v>
      </c>
      <c r="K199" s="26" t="str">
        <f t="shared" si="82"/>
        <v>#REF!</v>
      </c>
      <c r="L199" s="26" t="str">
        <f t="shared" si="82"/>
        <v>#REF!</v>
      </c>
      <c r="M199" s="6" t="str">
        <f t="shared" ref="M199:AA199" si="83">M196+M151+M103+M56</f>
        <v>#REF!</v>
      </c>
      <c r="N199" s="6" t="str">
        <f t="shared" si="83"/>
        <v>#REF!</v>
      </c>
      <c r="O199" s="6" t="str">
        <f t="shared" si="83"/>
        <v>#REF!</v>
      </c>
      <c r="P199" s="6">
        <f t="shared" si="83"/>
        <v>101</v>
      </c>
      <c r="Q199" s="6">
        <f t="shared" si="83"/>
        <v>0</v>
      </c>
      <c r="R199" s="6" t="str">
        <f t="shared" si="83"/>
        <v>#VALUE!</v>
      </c>
      <c r="S199" s="6">
        <f t="shared" si="83"/>
        <v>128</v>
      </c>
      <c r="T199" s="6" t="str">
        <f t="shared" si="83"/>
        <v>#VALUE!</v>
      </c>
      <c r="U199" s="6" t="str">
        <f t="shared" si="83"/>
        <v>#VALUE!</v>
      </c>
      <c r="V199" s="6">
        <f t="shared" si="83"/>
        <v>10</v>
      </c>
      <c r="W199" s="6" t="str">
        <f t="shared" si="83"/>
        <v>#VALUE!</v>
      </c>
      <c r="X199" s="6" t="str">
        <f t="shared" si="83"/>
        <v>#VALUE!</v>
      </c>
      <c r="Y199" s="6" t="str">
        <f t="shared" si="83"/>
        <v>#VALUE!</v>
      </c>
      <c r="Z199" s="6" t="str">
        <f t="shared" si="83"/>
        <v>#REF!</v>
      </c>
      <c r="AA199" s="6">
        <f t="shared" si="83"/>
        <v>35</v>
      </c>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row>
    <row r="200" ht="12.75" customHeight="1">
      <c r="A200" s="28"/>
      <c r="B200" s="57"/>
      <c r="C200" s="36"/>
      <c r="D200" s="13"/>
      <c r="E200" s="13"/>
      <c r="F200" s="13"/>
      <c r="G200" s="13"/>
      <c r="H200" s="13"/>
      <c r="I200" s="13"/>
      <c r="J200" s="13"/>
      <c r="K200" s="13"/>
      <c r="L200" s="27"/>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R5:AS5"/>
    <mergeCell ref="AR6:AS6"/>
    <mergeCell ref="AD22:AE22"/>
    <mergeCell ref="B2:F2"/>
    <mergeCell ref="A5:B5"/>
    <mergeCell ref="AD5:AE5"/>
    <mergeCell ref="AK5:AL5"/>
    <mergeCell ref="A6:B6"/>
    <mergeCell ref="AD6:AE6"/>
    <mergeCell ref="AK6:AL6"/>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7"/>
    <col customWidth="1" min="2" max="2" width="26.86"/>
    <col customWidth="1" min="3" max="3" width="9.0"/>
    <col customWidth="1" min="4" max="4" width="11.43"/>
    <col customWidth="1" min="5" max="5" width="9.86"/>
    <col customWidth="1" min="6" max="6" width="9.0"/>
    <col customWidth="1" hidden="1" min="7" max="28" width="9.86"/>
    <col customWidth="1" min="29" max="29" width="3.0"/>
    <col customWidth="1" min="30" max="30" width="2.86"/>
    <col customWidth="1" min="31" max="31" width="26.86"/>
    <col customWidth="1" min="32" max="35" width="8.57"/>
    <col customWidth="1" min="36" max="36" width="2.86"/>
    <col customWidth="1" min="37" max="37" width="2.57"/>
    <col customWidth="1" min="38" max="38" width="26.57"/>
    <col customWidth="1" min="39" max="39" width="8.57"/>
    <col customWidth="1" min="40" max="40" width="10.29"/>
    <col customWidth="1" min="41" max="41" width="9.86"/>
    <col customWidth="1" min="42" max="42" width="8.57"/>
    <col customWidth="1" min="43" max="43" width="3.43"/>
    <col customWidth="1" min="44" max="44" width="2.57"/>
    <col customWidth="1" min="45" max="45" width="31.71"/>
    <col customWidth="1" min="46" max="49" width="8.57"/>
    <col customWidth="1" min="50" max="59" width="17.14"/>
  </cols>
  <sheetData>
    <row r="1" ht="12.75" customHeight="1">
      <c r="A1" s="25"/>
      <c r="B1" s="25" t="s">
        <v>23</v>
      </c>
      <c r="C1" s="25"/>
      <c r="D1" s="26"/>
      <c r="E1" s="25"/>
      <c r="F1" s="25"/>
      <c r="G1" s="13"/>
      <c r="H1" s="13"/>
      <c r="I1" s="13"/>
      <c r="J1" s="13"/>
      <c r="K1" s="13"/>
      <c r="L1" s="27"/>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row>
    <row r="2" ht="21.75" customHeight="1">
      <c r="A2" s="28"/>
      <c r="B2" s="29" t="s">
        <v>73</v>
      </c>
      <c r="G2" s="30"/>
      <c r="H2" s="30"/>
      <c r="I2" s="13"/>
      <c r="J2" s="13"/>
      <c r="K2" s="13"/>
      <c r="L2" s="27"/>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row>
    <row r="3" ht="12.75" customHeight="1">
      <c r="A3" s="28"/>
      <c r="B3" s="31"/>
      <c r="C3" s="32"/>
      <c r="D3" s="33"/>
      <c r="E3" s="33"/>
      <c r="F3" s="30"/>
      <c r="G3" s="30"/>
      <c r="H3" s="30"/>
      <c r="I3" s="13"/>
      <c r="J3" s="13"/>
      <c r="K3" s="13"/>
      <c r="L3" s="27"/>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row>
    <row r="4" ht="12.75" customHeight="1">
      <c r="A4" s="34"/>
      <c r="B4" s="34"/>
      <c r="C4" s="34"/>
      <c r="D4" s="35"/>
      <c r="E4" s="26"/>
      <c r="F4" s="34"/>
      <c r="G4" s="13"/>
      <c r="H4" s="13"/>
      <c r="I4" s="13"/>
      <c r="J4" s="13"/>
      <c r="K4" s="13"/>
      <c r="L4" s="27"/>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row>
    <row r="5" ht="12.75" customHeight="1">
      <c r="A5" s="28" t="s">
        <v>25</v>
      </c>
      <c r="C5" s="36"/>
      <c r="D5" s="13"/>
      <c r="E5" s="13"/>
      <c r="F5" s="13"/>
      <c r="G5" s="13"/>
      <c r="H5" s="13"/>
      <c r="I5" s="13"/>
      <c r="J5" s="13"/>
      <c r="K5" s="13"/>
      <c r="L5" s="27"/>
      <c r="M5" s="3" t="s">
        <v>26</v>
      </c>
      <c r="N5" s="3"/>
      <c r="O5" s="3"/>
      <c r="P5" s="3"/>
      <c r="Q5" s="3"/>
      <c r="R5" s="3" t="s">
        <v>27</v>
      </c>
      <c r="S5" s="3"/>
      <c r="T5" s="3"/>
      <c r="U5" s="3"/>
      <c r="V5" s="3"/>
      <c r="W5" s="3" t="s">
        <v>28</v>
      </c>
      <c r="X5" s="3"/>
      <c r="Y5" s="3"/>
      <c r="Z5" s="3"/>
      <c r="AA5" s="3"/>
      <c r="AB5" s="3"/>
      <c r="AC5" s="3"/>
      <c r="AD5" s="28" t="s">
        <v>29</v>
      </c>
      <c r="AF5" s="36"/>
      <c r="AG5" s="13"/>
      <c r="AH5" s="13"/>
      <c r="AI5" s="13"/>
      <c r="AJ5" s="3"/>
      <c r="AK5" s="28" t="s">
        <v>30</v>
      </c>
      <c r="AM5" s="36"/>
      <c r="AN5" s="13"/>
      <c r="AO5" s="13"/>
      <c r="AP5" s="13"/>
      <c r="AQ5" s="3"/>
      <c r="AR5" s="28" t="s">
        <v>31</v>
      </c>
      <c r="AT5" s="36"/>
      <c r="AU5" s="13"/>
      <c r="AV5" s="13"/>
      <c r="AW5" s="13"/>
      <c r="AX5" s="3"/>
      <c r="AY5" s="3"/>
      <c r="AZ5" s="3"/>
      <c r="BA5" s="3"/>
      <c r="BB5" s="3"/>
      <c r="BC5" s="3"/>
      <c r="BD5" s="3"/>
      <c r="BE5" s="3"/>
      <c r="BF5" s="3"/>
      <c r="BG5" s="3"/>
    </row>
    <row r="6" ht="12.75" customHeight="1">
      <c r="A6" s="28" t="s">
        <v>32</v>
      </c>
      <c r="C6" s="37" t="s">
        <v>33</v>
      </c>
      <c r="D6" s="26" t="s">
        <v>34</v>
      </c>
      <c r="E6" s="26" t="s">
        <v>35</v>
      </c>
      <c r="F6" s="26" t="s">
        <v>36</v>
      </c>
      <c r="G6" s="13"/>
      <c r="H6" s="13"/>
      <c r="I6" s="13"/>
      <c r="J6" s="13"/>
      <c r="K6" s="13"/>
      <c r="L6" s="27"/>
      <c r="M6" s="3" t="s">
        <v>37</v>
      </c>
      <c r="N6" s="3" t="s">
        <v>38</v>
      </c>
      <c r="O6" s="3" t="s">
        <v>39</v>
      </c>
      <c r="P6" s="3" t="s">
        <v>40</v>
      </c>
      <c r="Q6" s="3" t="s">
        <v>41</v>
      </c>
      <c r="R6" s="3" t="s">
        <v>37</v>
      </c>
      <c r="S6" s="3" t="s">
        <v>38</v>
      </c>
      <c r="T6" s="3" t="s">
        <v>39</v>
      </c>
      <c r="U6" s="3" t="s">
        <v>40</v>
      </c>
      <c r="V6" s="3" t="s">
        <v>41</v>
      </c>
      <c r="W6" s="3" t="s">
        <v>37</v>
      </c>
      <c r="X6" s="3" t="s">
        <v>38</v>
      </c>
      <c r="Y6" s="3" t="s">
        <v>39</v>
      </c>
      <c r="Z6" s="3" t="s">
        <v>40</v>
      </c>
      <c r="AA6" s="3" t="s">
        <v>41</v>
      </c>
      <c r="AB6" s="3"/>
      <c r="AC6" s="3"/>
      <c r="AD6" s="28" t="s">
        <v>32</v>
      </c>
      <c r="AF6" s="37" t="s">
        <v>33</v>
      </c>
      <c r="AG6" s="26" t="s">
        <v>34</v>
      </c>
      <c r="AH6" s="26" t="s">
        <v>35</v>
      </c>
      <c r="AI6" s="26" t="s">
        <v>36</v>
      </c>
      <c r="AJ6" s="3"/>
      <c r="AK6" s="28" t="s">
        <v>32</v>
      </c>
      <c r="AM6" s="37" t="s">
        <v>33</v>
      </c>
      <c r="AN6" s="26" t="s">
        <v>34</v>
      </c>
      <c r="AO6" s="26" t="s">
        <v>35</v>
      </c>
      <c r="AP6" s="26" t="s">
        <v>36</v>
      </c>
      <c r="AQ6" s="3"/>
      <c r="AR6" s="28" t="s">
        <v>32</v>
      </c>
      <c r="AT6" s="37" t="s">
        <v>33</v>
      </c>
      <c r="AU6" s="26" t="s">
        <v>34</v>
      </c>
      <c r="AV6" s="26" t="s">
        <v>35</v>
      </c>
      <c r="AW6" s="26" t="s">
        <v>36</v>
      </c>
      <c r="AX6" s="3"/>
      <c r="AY6" s="3"/>
      <c r="AZ6" s="3"/>
      <c r="BA6" s="3"/>
      <c r="BB6" s="3"/>
      <c r="BC6" s="3"/>
      <c r="BD6" s="3"/>
      <c r="BE6" s="3"/>
      <c r="BF6" s="3"/>
      <c r="BG6" s="3"/>
    </row>
    <row r="7" ht="12.75" customHeight="1">
      <c r="A7" s="38">
        <v>1.0</v>
      </c>
      <c r="B7" s="39" t="s">
        <v>42</v>
      </c>
      <c r="C7" s="40">
        <v>0.55</v>
      </c>
      <c r="D7" s="50">
        <v>5.0</v>
      </c>
      <c r="E7" s="41">
        <v>1.0</v>
      </c>
      <c r="F7" s="41">
        <f>Max!$B$3*C7</f>
        <v>55</v>
      </c>
      <c r="G7" s="42"/>
      <c r="H7" s="43"/>
      <c r="I7" s="42">
        <f t="shared" ref="I7:I10" si="1">D7*E7</f>
        <v>5</v>
      </c>
      <c r="J7" s="43">
        <f t="shared" ref="J7:J10" si="2">F7*I7</f>
        <v>275</v>
      </c>
      <c r="K7" s="42"/>
      <c r="L7" s="44"/>
      <c r="M7" s="3"/>
      <c r="N7" s="3"/>
      <c r="O7" s="3"/>
      <c r="P7" s="3"/>
      <c r="Q7" s="3"/>
      <c r="R7" s="6">
        <f>I7</f>
        <v>5</v>
      </c>
      <c r="S7" s="6">
        <f>I8</f>
        <v>4</v>
      </c>
      <c r="T7" s="6">
        <f>I9</f>
        <v>3</v>
      </c>
      <c r="U7" s="6">
        <f>I10</f>
        <v>6</v>
      </c>
      <c r="V7" s="3">
        <v>0.0</v>
      </c>
      <c r="W7" s="3"/>
      <c r="X7" s="3"/>
      <c r="Y7" s="3"/>
      <c r="Z7" s="3"/>
      <c r="AA7" s="3"/>
      <c r="AB7" s="3"/>
      <c r="AC7" s="3"/>
      <c r="AD7" s="38">
        <v>3.0</v>
      </c>
      <c r="AE7" s="39" t="s">
        <v>42</v>
      </c>
      <c r="AF7" s="40">
        <v>0.5</v>
      </c>
      <c r="AG7" s="50">
        <v>5.0</v>
      </c>
      <c r="AH7" s="41">
        <v>1.0</v>
      </c>
      <c r="AI7" s="41">
        <f>Max!$B$3*AF7</f>
        <v>50</v>
      </c>
      <c r="AJ7" s="3"/>
      <c r="AK7" s="38">
        <v>1.0</v>
      </c>
      <c r="AL7" s="39" t="s">
        <v>42</v>
      </c>
      <c r="AM7" s="40">
        <v>0.5</v>
      </c>
      <c r="AN7" s="50">
        <v>5.0</v>
      </c>
      <c r="AO7" s="41">
        <v>1.0</v>
      </c>
      <c r="AP7" s="41">
        <f>Max!$B$3*AM7</f>
        <v>50</v>
      </c>
      <c r="AQ7" s="3"/>
      <c r="AR7" s="45">
        <v>1.0</v>
      </c>
      <c r="AS7" s="46" t="s">
        <v>43</v>
      </c>
      <c r="AT7" s="47">
        <v>0.5</v>
      </c>
      <c r="AU7" s="48">
        <v>5.0</v>
      </c>
      <c r="AV7" s="49">
        <v>1.0</v>
      </c>
      <c r="AW7" s="49">
        <f>Max!$B$4*AT7</f>
        <v>50</v>
      </c>
      <c r="AX7" s="3"/>
      <c r="AY7" s="3"/>
      <c r="AZ7" s="3"/>
      <c r="BA7" s="3"/>
      <c r="BB7" s="3"/>
      <c r="BC7" s="3"/>
      <c r="BD7" s="3"/>
      <c r="BE7" s="3"/>
      <c r="BF7" s="3"/>
      <c r="BG7" s="3"/>
    </row>
    <row r="8" ht="12.75" customHeight="1">
      <c r="A8" s="38"/>
      <c r="B8" s="39"/>
      <c r="C8" s="40">
        <v>0.65</v>
      </c>
      <c r="D8" s="50">
        <v>4.0</v>
      </c>
      <c r="E8" s="41">
        <v>1.0</v>
      </c>
      <c r="F8" s="41">
        <f>Max!$B$3*C8</f>
        <v>65</v>
      </c>
      <c r="G8" s="51"/>
      <c r="H8" s="52"/>
      <c r="I8" s="51">
        <f t="shared" si="1"/>
        <v>4</v>
      </c>
      <c r="J8" s="52">
        <f t="shared" si="2"/>
        <v>260</v>
      </c>
      <c r="K8" s="51"/>
      <c r="L8" s="53"/>
      <c r="M8" s="3"/>
      <c r="N8" s="3"/>
      <c r="O8" s="3"/>
      <c r="P8" s="3"/>
      <c r="Q8" s="3"/>
      <c r="R8" s="3"/>
      <c r="S8" s="3"/>
      <c r="T8" s="3"/>
      <c r="U8" s="3"/>
      <c r="V8" s="3"/>
      <c r="W8" s="3"/>
      <c r="X8" s="3"/>
      <c r="Y8" s="3"/>
      <c r="Z8" s="3"/>
      <c r="AA8" s="3"/>
      <c r="AB8" s="3"/>
      <c r="AC8" s="3"/>
      <c r="AD8" s="38"/>
      <c r="AE8" s="39"/>
      <c r="AF8" s="40">
        <v>0.6</v>
      </c>
      <c r="AG8" s="50">
        <v>4.0</v>
      </c>
      <c r="AH8" s="41">
        <v>1.0</v>
      </c>
      <c r="AI8" s="41">
        <f>Max!$B$3*AF8</f>
        <v>60</v>
      </c>
      <c r="AJ8" s="3"/>
      <c r="AK8" s="38"/>
      <c r="AL8" s="39"/>
      <c r="AM8" s="40">
        <v>0.6</v>
      </c>
      <c r="AN8" s="50">
        <v>4.0</v>
      </c>
      <c r="AO8" s="41">
        <v>1.0</v>
      </c>
      <c r="AP8" s="41">
        <f>Max!$B$3*AM8</f>
        <v>60</v>
      </c>
      <c r="AQ8" s="3"/>
      <c r="AR8" s="45"/>
      <c r="AS8" s="46"/>
      <c r="AT8" s="47">
        <v>0.6</v>
      </c>
      <c r="AU8" s="48">
        <v>4.0</v>
      </c>
      <c r="AV8" s="49">
        <v>1.0</v>
      </c>
      <c r="AW8" s="49">
        <f>Max!$B$4*AT8</f>
        <v>60</v>
      </c>
      <c r="AX8" s="3"/>
      <c r="AY8" s="3"/>
      <c r="AZ8" s="3"/>
      <c r="BA8" s="3"/>
      <c r="BB8" s="3"/>
      <c r="BC8" s="3"/>
      <c r="BD8" s="3"/>
      <c r="BE8" s="3"/>
      <c r="BF8" s="3"/>
      <c r="BG8" s="3"/>
    </row>
    <row r="9" ht="12.75" customHeight="1">
      <c r="A9" s="38"/>
      <c r="B9" s="39"/>
      <c r="C9" s="40">
        <v>0.75</v>
      </c>
      <c r="D9" s="50">
        <v>3.0</v>
      </c>
      <c r="E9" s="41">
        <v>1.0</v>
      </c>
      <c r="F9" s="41">
        <f>Max!$B$3*C9</f>
        <v>75</v>
      </c>
      <c r="G9" s="51"/>
      <c r="H9" s="52"/>
      <c r="I9" s="51">
        <f t="shared" si="1"/>
        <v>3</v>
      </c>
      <c r="J9" s="52">
        <f t="shared" si="2"/>
        <v>225</v>
      </c>
      <c r="K9" s="51"/>
      <c r="L9" s="53"/>
      <c r="M9" s="3"/>
      <c r="N9" s="3"/>
      <c r="O9" s="3"/>
      <c r="P9" s="3"/>
      <c r="Q9" s="3"/>
      <c r="R9" s="3"/>
      <c r="S9" s="3"/>
      <c r="T9" s="3"/>
      <c r="U9" s="3"/>
      <c r="V9" s="3"/>
      <c r="W9" s="3"/>
      <c r="X9" s="3"/>
      <c r="Y9" s="3"/>
      <c r="Z9" s="3"/>
      <c r="AA9" s="3"/>
      <c r="AB9" s="3"/>
      <c r="AC9" s="3"/>
      <c r="AD9" s="38"/>
      <c r="AE9" s="39"/>
      <c r="AF9" s="40">
        <v>0.7</v>
      </c>
      <c r="AG9" s="50">
        <v>3.0</v>
      </c>
      <c r="AH9" s="41">
        <v>1.0</v>
      </c>
      <c r="AI9" s="41">
        <f>Max!$B$3*AF9</f>
        <v>70</v>
      </c>
      <c r="AJ9" s="3"/>
      <c r="AK9" s="38"/>
      <c r="AL9" s="39"/>
      <c r="AM9" s="40">
        <v>0.7</v>
      </c>
      <c r="AN9" s="41">
        <v>3.0</v>
      </c>
      <c r="AO9" s="41">
        <v>1.0</v>
      </c>
      <c r="AP9" s="41">
        <f>Max!$B$3*AM9</f>
        <v>70</v>
      </c>
      <c r="AQ9" s="3"/>
      <c r="AR9" s="45"/>
      <c r="AS9" s="46"/>
      <c r="AT9" s="47">
        <v>0.7</v>
      </c>
      <c r="AU9" s="48">
        <v>3.0</v>
      </c>
      <c r="AV9" s="49">
        <v>1.0</v>
      </c>
      <c r="AW9" s="49">
        <f>Max!$B$4*AT9</f>
        <v>70</v>
      </c>
      <c r="AX9" s="3"/>
      <c r="AY9" s="3"/>
      <c r="AZ9" s="3"/>
      <c r="BA9" s="3"/>
      <c r="BB9" s="3"/>
      <c r="BC9" s="3"/>
      <c r="BD9" s="3"/>
      <c r="BE9" s="3"/>
      <c r="BF9" s="3"/>
      <c r="BG9" s="3"/>
    </row>
    <row r="10" ht="12.75" customHeight="1">
      <c r="A10" s="38"/>
      <c r="B10" s="39"/>
      <c r="C10" s="40">
        <v>0.85</v>
      </c>
      <c r="D10" s="50">
        <v>2.0</v>
      </c>
      <c r="E10" s="41">
        <v>3.0</v>
      </c>
      <c r="F10" s="41">
        <f>Max!$B$3*C10</f>
        <v>85</v>
      </c>
      <c r="G10" s="51"/>
      <c r="H10" s="52"/>
      <c r="I10" s="51">
        <f t="shared" si="1"/>
        <v>6</v>
      </c>
      <c r="J10" s="52">
        <f t="shared" si="2"/>
        <v>510</v>
      </c>
      <c r="K10" s="51"/>
      <c r="L10" s="53"/>
      <c r="M10" s="3"/>
      <c r="N10" s="3"/>
      <c r="O10" s="3"/>
      <c r="P10" s="3"/>
      <c r="Q10" s="3"/>
      <c r="R10" s="3"/>
      <c r="S10" s="3"/>
      <c r="T10" s="3"/>
      <c r="U10" s="3"/>
      <c r="V10" s="3"/>
      <c r="W10" s="3"/>
      <c r="X10" s="3"/>
      <c r="Y10" s="3"/>
      <c r="Z10" s="3"/>
      <c r="AA10" s="3"/>
      <c r="AB10" s="3"/>
      <c r="AC10" s="3"/>
      <c r="AD10" s="38"/>
      <c r="AE10" s="39"/>
      <c r="AF10" s="40">
        <v>0.8</v>
      </c>
      <c r="AG10" s="50">
        <v>3.0</v>
      </c>
      <c r="AH10" s="41">
        <v>4.0</v>
      </c>
      <c r="AI10" s="41">
        <f>Max!$B$3*AF10</f>
        <v>80</v>
      </c>
      <c r="AJ10" s="3"/>
      <c r="AK10" s="38"/>
      <c r="AL10" s="39"/>
      <c r="AM10" s="40">
        <v>0.8</v>
      </c>
      <c r="AN10" s="41">
        <v>3.0</v>
      </c>
      <c r="AO10" s="41">
        <v>2.0</v>
      </c>
      <c r="AP10" s="41">
        <f>Max!$B$3*AM10</f>
        <v>80</v>
      </c>
      <c r="AQ10" s="3"/>
      <c r="AR10" s="45"/>
      <c r="AS10" s="46"/>
      <c r="AT10" s="47">
        <v>0.8</v>
      </c>
      <c r="AU10" s="48">
        <v>3.0</v>
      </c>
      <c r="AV10" s="49">
        <v>4.0</v>
      </c>
      <c r="AW10" s="49">
        <f>Max!$B$4*AT10</f>
        <v>80</v>
      </c>
      <c r="AX10" s="3"/>
      <c r="AY10" s="3"/>
      <c r="AZ10" s="3"/>
      <c r="BA10" s="3"/>
      <c r="BB10" s="3"/>
      <c r="BC10" s="3"/>
      <c r="BD10" s="3"/>
      <c r="BE10" s="3"/>
      <c r="BF10" s="3"/>
      <c r="BG10" s="3"/>
    </row>
    <row r="11" ht="12.75" customHeight="1">
      <c r="A11" s="45">
        <v>2.0</v>
      </c>
      <c r="B11" s="46" t="s">
        <v>43</v>
      </c>
      <c r="C11" s="47">
        <v>0.5</v>
      </c>
      <c r="D11" s="49">
        <v>5.0</v>
      </c>
      <c r="E11" s="49">
        <v>1.0</v>
      </c>
      <c r="F11" s="49">
        <f>Max!$B$4*C11</f>
        <v>50</v>
      </c>
      <c r="G11" s="51">
        <f t="shared" ref="G11:G12" si="3">D11*E11</f>
        <v>5</v>
      </c>
      <c r="H11" s="52">
        <f t="shared" ref="H11:H13" si="4">F11*G11</f>
        <v>250</v>
      </c>
      <c r="I11" s="51"/>
      <c r="J11" s="52"/>
      <c r="K11" s="51"/>
      <c r="L11" s="53"/>
      <c r="M11" s="6">
        <f>G11</f>
        <v>5</v>
      </c>
      <c r="N11" s="6">
        <f>G12</f>
        <v>4</v>
      </c>
      <c r="O11" s="6">
        <f>G13</f>
        <v>27</v>
      </c>
      <c r="P11" s="3"/>
      <c r="Q11" s="3"/>
      <c r="R11" s="3"/>
      <c r="S11" s="3"/>
      <c r="T11" s="3"/>
      <c r="U11" s="3"/>
      <c r="V11" s="3"/>
      <c r="W11" s="3"/>
      <c r="X11" s="3"/>
      <c r="Y11" s="3"/>
      <c r="Z11" s="3"/>
      <c r="AA11" s="3"/>
      <c r="AB11" s="3"/>
      <c r="AC11" s="3"/>
      <c r="AD11" s="45">
        <v>2.0</v>
      </c>
      <c r="AE11" s="46" t="s">
        <v>43</v>
      </c>
      <c r="AF11" s="47">
        <v>0.5</v>
      </c>
      <c r="AG11" s="48">
        <v>5.0</v>
      </c>
      <c r="AH11" s="49">
        <v>1.0</v>
      </c>
      <c r="AI11" s="49">
        <f>Max!$B$4*AF11</f>
        <v>50</v>
      </c>
      <c r="AJ11" s="3"/>
      <c r="AK11" s="38"/>
      <c r="AL11" s="39"/>
      <c r="AM11" s="40">
        <v>0.85</v>
      </c>
      <c r="AN11" s="41">
        <v>2.0</v>
      </c>
      <c r="AO11" s="41">
        <v>2.0</v>
      </c>
      <c r="AP11" s="41">
        <f>Max!$B$3*AM11</f>
        <v>85</v>
      </c>
      <c r="AQ11" s="3"/>
      <c r="AR11" s="38">
        <v>2.0</v>
      </c>
      <c r="AS11" s="39" t="s">
        <v>42</v>
      </c>
      <c r="AT11" s="40">
        <v>0.5</v>
      </c>
      <c r="AU11" s="50">
        <v>5.0</v>
      </c>
      <c r="AV11" s="41">
        <v>1.0</v>
      </c>
      <c r="AW11" s="41">
        <f>Max!$B$3*AT11</f>
        <v>50</v>
      </c>
      <c r="AX11" s="3"/>
      <c r="AY11" s="3"/>
      <c r="AZ11" s="3"/>
      <c r="BA11" s="3"/>
      <c r="BB11" s="3"/>
      <c r="BC11" s="3"/>
      <c r="BD11" s="3"/>
      <c r="BE11" s="3"/>
      <c r="BF11" s="3"/>
      <c r="BG11" s="3"/>
    </row>
    <row r="12" ht="12.75" customHeight="1">
      <c r="A12" s="45"/>
      <c r="B12" s="46"/>
      <c r="C12" s="47">
        <v>0.6</v>
      </c>
      <c r="D12" s="49">
        <v>4.0</v>
      </c>
      <c r="E12" s="49">
        <v>1.0</v>
      </c>
      <c r="F12" s="49">
        <f>Max!$B$4*C12</f>
        <v>60</v>
      </c>
      <c r="G12" s="51">
        <f t="shared" si="3"/>
        <v>4</v>
      </c>
      <c r="H12" s="52">
        <f t="shared" si="4"/>
        <v>240</v>
      </c>
      <c r="I12" s="51"/>
      <c r="J12" s="52"/>
      <c r="K12" s="51"/>
      <c r="L12" s="53"/>
      <c r="M12" s="3"/>
      <c r="N12" s="3"/>
      <c r="O12" s="3"/>
      <c r="P12" s="3"/>
      <c r="Q12" s="3"/>
      <c r="R12" s="3"/>
      <c r="S12" s="3"/>
      <c r="T12" s="3"/>
      <c r="U12" s="3"/>
      <c r="V12" s="3"/>
      <c r="W12" s="3"/>
      <c r="X12" s="3"/>
      <c r="Y12" s="3"/>
      <c r="Z12" s="3"/>
      <c r="AA12" s="3"/>
      <c r="AB12" s="3"/>
      <c r="AC12" s="3"/>
      <c r="AD12" s="45"/>
      <c r="AE12" s="46"/>
      <c r="AF12" s="47">
        <v>0.6</v>
      </c>
      <c r="AG12" s="48">
        <v>4.0</v>
      </c>
      <c r="AH12" s="49">
        <v>1.0</v>
      </c>
      <c r="AI12" s="49">
        <f>Max!$B$4*AF12</f>
        <v>60</v>
      </c>
      <c r="AJ12" s="3"/>
      <c r="AK12" s="38"/>
      <c r="AL12" s="39"/>
      <c r="AM12" s="40">
        <v>0.8</v>
      </c>
      <c r="AN12" s="41">
        <v>3.0</v>
      </c>
      <c r="AO12" s="41">
        <v>2.0</v>
      </c>
      <c r="AP12" s="41">
        <f>Max!$B$3*AM12</f>
        <v>80</v>
      </c>
      <c r="AQ12" s="3"/>
      <c r="AR12" s="38"/>
      <c r="AS12" s="39"/>
      <c r="AT12" s="40">
        <v>0.6</v>
      </c>
      <c r="AU12" s="50">
        <v>4.0</v>
      </c>
      <c r="AV12" s="41">
        <v>1.0</v>
      </c>
      <c r="AW12" s="41">
        <f>Max!$B$3*AT12</f>
        <v>60</v>
      </c>
      <c r="AX12" s="3"/>
      <c r="AY12" s="3"/>
      <c r="AZ12" s="3"/>
      <c r="BA12" s="3"/>
      <c r="BB12" s="3"/>
      <c r="BC12" s="3"/>
      <c r="BD12" s="3"/>
      <c r="BE12" s="3"/>
      <c r="BF12" s="3"/>
      <c r="BG12" s="3"/>
    </row>
    <row r="13" ht="12.75" customHeight="1">
      <c r="A13" s="45"/>
      <c r="B13" s="46"/>
      <c r="C13" s="47">
        <v>0.7</v>
      </c>
      <c r="D13" s="49">
        <v>3.0</v>
      </c>
      <c r="E13" s="49">
        <v>1.0</v>
      </c>
      <c r="F13" s="49">
        <f>Max!$B$4*C13</f>
        <v>70</v>
      </c>
      <c r="G13" s="51">
        <v>27.0</v>
      </c>
      <c r="H13" s="52">
        <f t="shared" si="4"/>
        <v>1890</v>
      </c>
      <c r="I13" s="51"/>
      <c r="J13" s="52"/>
      <c r="K13" s="51"/>
      <c r="L13" s="53"/>
      <c r="M13" s="3"/>
      <c r="N13" s="3"/>
      <c r="O13" s="3"/>
      <c r="P13" s="3"/>
      <c r="Q13" s="3"/>
      <c r="R13" s="3"/>
      <c r="S13" s="3"/>
      <c r="T13" s="3"/>
      <c r="U13" s="3"/>
      <c r="V13" s="3"/>
      <c r="W13" s="3"/>
      <c r="X13" s="3"/>
      <c r="Y13" s="3"/>
      <c r="Z13" s="3"/>
      <c r="AA13" s="3"/>
      <c r="AB13" s="3"/>
      <c r="AC13" s="3"/>
      <c r="AD13" s="45"/>
      <c r="AE13" s="46"/>
      <c r="AF13" s="47">
        <v>0.7</v>
      </c>
      <c r="AG13" s="48">
        <v>3.0</v>
      </c>
      <c r="AH13" s="49">
        <v>1.0</v>
      </c>
      <c r="AI13" s="49">
        <f>Max!$B$4*AF13</f>
        <v>70</v>
      </c>
      <c r="AJ13" s="3"/>
      <c r="AK13" s="45">
        <v>2.0</v>
      </c>
      <c r="AL13" s="46" t="s">
        <v>43</v>
      </c>
      <c r="AM13" s="47">
        <v>0.5</v>
      </c>
      <c r="AN13" s="48">
        <v>5.0</v>
      </c>
      <c r="AO13" s="49">
        <v>1.0</v>
      </c>
      <c r="AP13" s="49">
        <f>Max!$B$4*AM13</f>
        <v>50</v>
      </c>
      <c r="AQ13" s="3"/>
      <c r="AR13" s="38"/>
      <c r="AS13" s="39"/>
      <c r="AT13" s="40">
        <v>0.7</v>
      </c>
      <c r="AU13" s="41">
        <v>3.0</v>
      </c>
      <c r="AV13" s="41">
        <v>1.0</v>
      </c>
      <c r="AW13" s="41">
        <f>Max!$B$3*AT13</f>
        <v>70</v>
      </c>
      <c r="AX13" s="3"/>
      <c r="AY13" s="3"/>
      <c r="AZ13" s="3"/>
      <c r="BA13" s="3"/>
      <c r="BB13" s="3"/>
      <c r="BC13" s="3"/>
      <c r="BD13" s="3"/>
      <c r="BE13" s="3"/>
      <c r="BF13" s="3"/>
      <c r="BG13" s="3"/>
    </row>
    <row r="14" ht="12.75" customHeight="1">
      <c r="A14" s="45"/>
      <c r="B14" s="46"/>
      <c r="C14" s="47">
        <v>0.8</v>
      </c>
      <c r="D14" s="49">
        <v>2.0</v>
      </c>
      <c r="E14" s="49">
        <v>4.0</v>
      </c>
      <c r="F14" s="49">
        <f>Max!$B$4*C14</f>
        <v>80</v>
      </c>
      <c r="G14" s="51"/>
      <c r="H14" s="52"/>
      <c r="I14" s="51">
        <f t="shared" ref="I14:I16" si="5">D14*E14</f>
        <v>8</v>
      </c>
      <c r="J14" s="52">
        <f t="shared" ref="J14:J16" si="6">F14*I14</f>
        <v>640</v>
      </c>
      <c r="K14" s="51"/>
      <c r="L14" s="53"/>
      <c r="M14" s="3"/>
      <c r="N14" s="3"/>
      <c r="O14" s="3"/>
      <c r="P14" s="3"/>
      <c r="Q14" s="3"/>
      <c r="R14" s="6">
        <f>I14</f>
        <v>8</v>
      </c>
      <c r="S14" s="6">
        <f>I15</f>
        <v>3</v>
      </c>
      <c r="T14" s="6">
        <f>I16</f>
        <v>3</v>
      </c>
      <c r="U14" s="3">
        <v>0.0</v>
      </c>
      <c r="V14" s="3">
        <v>0.0</v>
      </c>
      <c r="W14" s="3"/>
      <c r="X14" s="3"/>
      <c r="Y14" s="3"/>
      <c r="Z14" s="3"/>
      <c r="AA14" s="3"/>
      <c r="AB14" s="3"/>
      <c r="AC14" s="3"/>
      <c r="AD14" s="45"/>
      <c r="AE14" s="46"/>
      <c r="AF14" s="47">
        <v>0.8</v>
      </c>
      <c r="AG14" s="48">
        <v>3.0</v>
      </c>
      <c r="AH14" s="49">
        <v>5.0</v>
      </c>
      <c r="AI14" s="49">
        <f>Max!$B$4*AF14</f>
        <v>80</v>
      </c>
      <c r="AJ14" s="3"/>
      <c r="AK14" s="45"/>
      <c r="AL14" s="46"/>
      <c r="AM14" s="47">
        <v>0.6</v>
      </c>
      <c r="AN14" s="48">
        <v>4.0</v>
      </c>
      <c r="AO14" s="49">
        <v>1.0</v>
      </c>
      <c r="AP14" s="49">
        <f>Max!$B$4*AM14</f>
        <v>60</v>
      </c>
      <c r="AQ14" s="3"/>
      <c r="AR14" s="38"/>
      <c r="AS14" s="39"/>
      <c r="AT14" s="40">
        <v>0.8</v>
      </c>
      <c r="AU14" s="41">
        <v>2.0</v>
      </c>
      <c r="AV14" s="41">
        <v>4.0</v>
      </c>
      <c r="AW14" s="41">
        <f>Max!$B$3*AT14</f>
        <v>80</v>
      </c>
      <c r="AX14" s="3"/>
      <c r="AY14" s="3"/>
      <c r="AZ14" s="3"/>
      <c r="BA14" s="3"/>
      <c r="BB14" s="3"/>
      <c r="BC14" s="3"/>
      <c r="BD14" s="3"/>
      <c r="BE14" s="3"/>
      <c r="BF14" s="3"/>
      <c r="BG14" s="3"/>
    </row>
    <row r="15" ht="12.75" customHeight="1">
      <c r="A15" s="38">
        <v>3.0</v>
      </c>
      <c r="B15" s="39" t="s">
        <v>42</v>
      </c>
      <c r="C15" s="40">
        <v>0.5</v>
      </c>
      <c r="D15" s="50">
        <v>3.0</v>
      </c>
      <c r="E15" s="41">
        <v>1.0</v>
      </c>
      <c r="F15" s="41">
        <f>Max!$B$3*C15</f>
        <v>50</v>
      </c>
      <c r="G15" s="51"/>
      <c r="H15" s="52"/>
      <c r="I15" s="51">
        <f t="shared" si="5"/>
        <v>3</v>
      </c>
      <c r="J15" s="52">
        <f t="shared" si="6"/>
        <v>150</v>
      </c>
      <c r="K15" s="51"/>
      <c r="L15" s="53"/>
      <c r="M15" s="3"/>
      <c r="N15" s="3"/>
      <c r="O15" s="3"/>
      <c r="P15" s="3"/>
      <c r="Q15" s="3"/>
      <c r="R15" s="3"/>
      <c r="S15" s="3"/>
      <c r="T15" s="3"/>
      <c r="U15" s="3"/>
      <c r="V15" s="3"/>
      <c r="W15" s="3"/>
      <c r="X15" s="3"/>
      <c r="Y15" s="3"/>
      <c r="Z15" s="3"/>
      <c r="AA15" s="3"/>
      <c r="AB15" s="3"/>
      <c r="AC15" s="3"/>
      <c r="AD15" s="56">
        <v>3.0</v>
      </c>
      <c r="AE15" s="80" t="s">
        <v>44</v>
      </c>
      <c r="AF15" s="58">
        <v>0.65</v>
      </c>
      <c r="AG15" s="55">
        <v>8.0</v>
      </c>
      <c r="AH15" s="55">
        <v>4.0</v>
      </c>
      <c r="AI15" s="55"/>
      <c r="AJ15" s="3"/>
      <c r="AK15" s="45"/>
      <c r="AL15" s="46"/>
      <c r="AM15" s="47">
        <v>0.7</v>
      </c>
      <c r="AN15" s="48">
        <v>3.0</v>
      </c>
      <c r="AO15" s="49">
        <v>1.0</v>
      </c>
      <c r="AP15" s="49">
        <f>Max!$B$4*AM15</f>
        <v>70</v>
      </c>
      <c r="AQ15" s="3"/>
      <c r="AR15" s="45">
        <v>3.0</v>
      </c>
      <c r="AS15" s="46" t="s">
        <v>43</v>
      </c>
      <c r="AT15" s="47">
        <v>0.5</v>
      </c>
      <c r="AU15" s="48">
        <v>4.0</v>
      </c>
      <c r="AV15" s="49">
        <v>1.0</v>
      </c>
      <c r="AW15" s="49">
        <f>Max!$B$4*AT15</f>
        <v>50</v>
      </c>
      <c r="AX15" s="3"/>
      <c r="AY15" s="3"/>
      <c r="AZ15" s="3"/>
      <c r="BA15" s="3"/>
      <c r="BB15" s="3"/>
      <c r="BC15" s="3"/>
      <c r="BD15" s="3"/>
      <c r="BE15" s="3"/>
      <c r="BF15" s="3"/>
      <c r="BG15" s="3"/>
    </row>
    <row r="16" ht="12.75" customHeight="1">
      <c r="A16" s="38"/>
      <c r="B16" s="39"/>
      <c r="C16" s="40">
        <v>0.6</v>
      </c>
      <c r="D16" s="50">
        <v>3.0</v>
      </c>
      <c r="E16" s="41">
        <v>1.0</v>
      </c>
      <c r="F16" s="41">
        <f>Max!$B$3*C16</f>
        <v>60</v>
      </c>
      <c r="G16" s="51"/>
      <c r="H16" s="52"/>
      <c r="I16" s="51">
        <f t="shared" si="5"/>
        <v>3</v>
      </c>
      <c r="J16" s="52">
        <f t="shared" si="6"/>
        <v>180</v>
      </c>
      <c r="K16" s="51"/>
      <c r="L16" s="53"/>
      <c r="M16" s="3"/>
      <c r="N16" s="3"/>
      <c r="O16" s="3"/>
      <c r="P16" s="3"/>
      <c r="Q16" s="3"/>
      <c r="R16" s="3"/>
      <c r="S16" s="3"/>
      <c r="T16" s="3"/>
      <c r="U16" s="3"/>
      <c r="V16" s="3"/>
      <c r="W16" s="3"/>
      <c r="X16" s="3"/>
      <c r="Y16" s="3"/>
      <c r="Z16" s="3"/>
      <c r="AA16" s="3"/>
      <c r="AB16" s="3"/>
      <c r="AC16" s="3"/>
      <c r="AD16" s="56">
        <v>4.0</v>
      </c>
      <c r="AE16" s="65" t="s">
        <v>69</v>
      </c>
      <c r="AF16" s="58">
        <v>0.65</v>
      </c>
      <c r="AG16" s="55">
        <v>8.0</v>
      </c>
      <c r="AH16" s="55">
        <v>5.0</v>
      </c>
      <c r="AI16" s="55"/>
      <c r="AJ16" s="3"/>
      <c r="AK16" s="45"/>
      <c r="AL16" s="46"/>
      <c r="AM16" s="47">
        <v>0.8</v>
      </c>
      <c r="AN16" s="48">
        <v>3.0</v>
      </c>
      <c r="AO16" s="49">
        <v>5.0</v>
      </c>
      <c r="AP16" s="49">
        <f>Max!$B$4*AM16</f>
        <v>80</v>
      </c>
      <c r="AQ16" s="3"/>
      <c r="AR16" s="45"/>
      <c r="AS16" s="46"/>
      <c r="AT16" s="47">
        <v>0.6</v>
      </c>
      <c r="AU16" s="48">
        <v>4.0</v>
      </c>
      <c r="AV16" s="49">
        <v>1.0</v>
      </c>
      <c r="AW16" s="49">
        <f>Max!$B$4*AT16</f>
        <v>60</v>
      </c>
      <c r="AX16" s="3"/>
      <c r="AY16" s="3"/>
      <c r="AZ16" s="3"/>
      <c r="BA16" s="3"/>
      <c r="BB16" s="3"/>
      <c r="BC16" s="3"/>
      <c r="BD16" s="3"/>
      <c r="BE16" s="3"/>
      <c r="BF16" s="3"/>
      <c r="BG16" s="3"/>
    </row>
    <row r="17" ht="12.75" customHeight="1">
      <c r="A17" s="38"/>
      <c r="B17" s="39"/>
      <c r="C17" s="40">
        <v>0.7</v>
      </c>
      <c r="D17" s="50">
        <v>3.0</v>
      </c>
      <c r="E17" s="41">
        <v>1.0</v>
      </c>
      <c r="F17" s="41">
        <f>Max!$B$3*C17</f>
        <v>70</v>
      </c>
      <c r="G17" s="51"/>
      <c r="H17" s="52"/>
      <c r="I17" s="51"/>
      <c r="J17" s="52"/>
      <c r="K17" s="51"/>
      <c r="L17" s="53"/>
      <c r="M17" s="3"/>
      <c r="N17" s="3"/>
      <c r="O17" s="3"/>
      <c r="P17" s="3"/>
      <c r="Q17" s="3"/>
      <c r="R17" s="3"/>
      <c r="S17" s="3"/>
      <c r="T17" s="3"/>
      <c r="U17" s="3"/>
      <c r="V17" s="3"/>
      <c r="W17" s="3"/>
      <c r="X17" s="3"/>
      <c r="Y17" s="3"/>
      <c r="Z17" s="3"/>
      <c r="AA17" s="3"/>
      <c r="AB17" s="3"/>
      <c r="AC17" s="3"/>
      <c r="AD17" s="56">
        <v>5.0</v>
      </c>
      <c r="AE17" s="65" t="s">
        <v>47</v>
      </c>
      <c r="AF17" s="58">
        <v>0.75</v>
      </c>
      <c r="AG17" s="55">
        <v>5.0</v>
      </c>
      <c r="AH17" s="55">
        <v>5.0</v>
      </c>
      <c r="AI17" s="55"/>
      <c r="AJ17" s="3"/>
      <c r="AK17" s="56">
        <v>3.0</v>
      </c>
      <c r="AL17" s="80" t="s">
        <v>44</v>
      </c>
      <c r="AM17" s="58">
        <v>0.65</v>
      </c>
      <c r="AN17" s="55">
        <v>8.0</v>
      </c>
      <c r="AO17" s="55">
        <v>4.0</v>
      </c>
      <c r="AP17" s="55"/>
      <c r="AQ17" s="3"/>
      <c r="AR17" s="45"/>
      <c r="AS17" s="46"/>
      <c r="AT17" s="47">
        <v>0.7</v>
      </c>
      <c r="AU17" s="48">
        <v>4.0</v>
      </c>
      <c r="AV17" s="49">
        <v>4.0</v>
      </c>
      <c r="AW17" s="49">
        <f>Max!$B$4*AT17</f>
        <v>70</v>
      </c>
      <c r="AX17" s="3"/>
      <c r="AY17" s="3"/>
      <c r="AZ17" s="3"/>
      <c r="BA17" s="3"/>
      <c r="BB17" s="3"/>
      <c r="BC17" s="3"/>
      <c r="BD17" s="3"/>
      <c r="BE17" s="3"/>
      <c r="BF17" s="3"/>
      <c r="BG17" s="3"/>
    </row>
    <row r="18" ht="12.75" customHeight="1">
      <c r="A18" s="38"/>
      <c r="B18" s="39"/>
      <c r="C18" s="40">
        <v>0.8</v>
      </c>
      <c r="D18" s="50">
        <v>2.0</v>
      </c>
      <c r="E18" s="41">
        <v>4.0</v>
      </c>
      <c r="F18" s="41">
        <f>Max!$B$3*C18</f>
        <v>80</v>
      </c>
      <c r="G18" s="51"/>
      <c r="H18" s="52"/>
      <c r="I18" s="51"/>
      <c r="J18" s="52"/>
      <c r="K18" s="51"/>
      <c r="L18" s="53"/>
      <c r="M18" s="3"/>
      <c r="N18" s="3"/>
      <c r="O18" s="3"/>
      <c r="P18" s="3"/>
      <c r="Q18" s="3"/>
      <c r="R18" s="3"/>
      <c r="S18" s="3"/>
      <c r="T18" s="3"/>
      <c r="U18" s="3"/>
      <c r="V18" s="3"/>
      <c r="W18" s="3"/>
      <c r="X18" s="3"/>
      <c r="Y18" s="3"/>
      <c r="Z18" s="3"/>
      <c r="AA18" s="3"/>
      <c r="AB18" s="3"/>
      <c r="AC18" s="3"/>
      <c r="AD18" s="3"/>
      <c r="AE18" s="3"/>
      <c r="AF18" s="3"/>
      <c r="AG18" s="3"/>
      <c r="AH18" s="3"/>
      <c r="AI18" s="3"/>
      <c r="AJ18" s="3"/>
      <c r="AK18" s="60">
        <v>4.0</v>
      </c>
      <c r="AL18" s="80" t="s">
        <v>54</v>
      </c>
      <c r="AM18" s="61">
        <v>0.7</v>
      </c>
      <c r="AN18" s="62">
        <v>6.0</v>
      </c>
      <c r="AO18" s="63">
        <v>5.0</v>
      </c>
      <c r="AP18" s="63"/>
      <c r="AQ18" s="3"/>
      <c r="AR18" s="56">
        <v>4.0</v>
      </c>
      <c r="AS18" s="80" t="s">
        <v>44</v>
      </c>
      <c r="AT18" s="58">
        <v>0.7</v>
      </c>
      <c r="AU18" s="55">
        <v>6.0</v>
      </c>
      <c r="AV18" s="55">
        <v>4.0</v>
      </c>
      <c r="AW18" s="55"/>
      <c r="AX18" s="3"/>
      <c r="AY18" s="3"/>
      <c r="AZ18" s="3"/>
      <c r="BA18" s="3"/>
      <c r="BB18" s="3"/>
      <c r="BC18" s="3"/>
      <c r="BD18" s="3"/>
      <c r="BE18" s="3"/>
      <c r="BF18" s="3"/>
      <c r="BG18" s="3"/>
    </row>
    <row r="19" ht="12.75" customHeight="1">
      <c r="A19" s="60">
        <v>4.0</v>
      </c>
      <c r="B19" s="80" t="s">
        <v>44</v>
      </c>
      <c r="C19" s="61">
        <v>0.7</v>
      </c>
      <c r="D19" s="62">
        <v>6.0</v>
      </c>
      <c r="E19" s="63">
        <v>4.0</v>
      </c>
      <c r="F19" s="63"/>
      <c r="G19" s="51"/>
      <c r="H19" s="52"/>
      <c r="I19" s="51"/>
      <c r="J19" s="52"/>
      <c r="K19" s="51"/>
      <c r="L19" s="53"/>
      <c r="M19" s="3"/>
      <c r="N19" s="3"/>
      <c r="O19" s="3"/>
      <c r="P19" s="3"/>
      <c r="Q19" s="3"/>
      <c r="R19" s="3"/>
      <c r="S19" s="3"/>
      <c r="T19" s="3"/>
      <c r="U19" s="3"/>
      <c r="V19" s="3"/>
      <c r="W19" s="3"/>
      <c r="X19" s="3"/>
      <c r="Y19" s="3"/>
      <c r="Z19" s="3"/>
      <c r="AA19" s="3"/>
      <c r="AB19" s="3"/>
      <c r="AC19" s="3"/>
      <c r="AD19" s="28" t="s">
        <v>49</v>
      </c>
      <c r="AF19" s="37" t="s">
        <v>33</v>
      </c>
      <c r="AG19" s="26" t="s">
        <v>34</v>
      </c>
      <c r="AH19" s="26" t="s">
        <v>35</v>
      </c>
      <c r="AI19" s="26" t="s">
        <v>36</v>
      </c>
      <c r="AJ19" s="3"/>
      <c r="AK19" s="56">
        <v>5.0</v>
      </c>
      <c r="AL19" s="65" t="s">
        <v>59</v>
      </c>
      <c r="AM19" s="58">
        <v>0.6</v>
      </c>
      <c r="AN19" s="55">
        <v>10.0</v>
      </c>
      <c r="AO19" s="55">
        <v>3.0</v>
      </c>
      <c r="AP19" s="55"/>
      <c r="AQ19" s="3"/>
      <c r="AR19" s="64">
        <v>5.0</v>
      </c>
      <c r="AS19" s="65" t="s">
        <v>48</v>
      </c>
      <c r="AT19" s="66">
        <v>0.75</v>
      </c>
      <c r="AU19" s="67">
        <v>5.0</v>
      </c>
      <c r="AV19" s="68">
        <v>5.0</v>
      </c>
      <c r="AW19" s="68"/>
      <c r="AX19" s="3"/>
      <c r="AY19" s="3"/>
      <c r="AZ19" s="3"/>
      <c r="BA19" s="3"/>
      <c r="BB19" s="3"/>
      <c r="BC19" s="3"/>
      <c r="BD19" s="3"/>
      <c r="BE19" s="3"/>
      <c r="BF19" s="3"/>
      <c r="BG19" s="3"/>
    </row>
    <row r="20" ht="12.75" customHeight="1">
      <c r="A20" s="56">
        <v>5.0</v>
      </c>
      <c r="B20" s="65" t="s">
        <v>47</v>
      </c>
      <c r="C20" s="58">
        <v>0.75</v>
      </c>
      <c r="D20" s="55">
        <v>5.0</v>
      </c>
      <c r="E20" s="55">
        <v>5.0</v>
      </c>
      <c r="F20" s="55"/>
      <c r="G20" s="51"/>
      <c r="H20" s="52"/>
      <c r="I20" s="51"/>
      <c r="J20" s="52"/>
      <c r="K20" s="51"/>
      <c r="L20" s="53"/>
      <c r="M20" s="3"/>
      <c r="N20" s="3"/>
      <c r="O20" s="3"/>
      <c r="P20" s="3"/>
      <c r="Q20" s="3"/>
      <c r="R20" s="3"/>
      <c r="S20" s="3"/>
      <c r="T20" s="3"/>
      <c r="U20" s="3"/>
      <c r="V20" s="3"/>
      <c r="W20" s="3"/>
      <c r="X20" s="3"/>
      <c r="Y20" s="3"/>
      <c r="Z20" s="3"/>
      <c r="AA20" s="3"/>
      <c r="AB20" s="3"/>
      <c r="AC20" s="3"/>
      <c r="AD20" s="45">
        <v>1.0</v>
      </c>
      <c r="AE20" s="46" t="s">
        <v>43</v>
      </c>
      <c r="AF20" s="47">
        <v>0.5</v>
      </c>
      <c r="AG20" s="48">
        <v>5.0</v>
      </c>
      <c r="AH20" s="49">
        <v>1.0</v>
      </c>
      <c r="AI20" s="49">
        <f>Max!$B$4*AF20</f>
        <v>50</v>
      </c>
      <c r="AJ20" s="3"/>
      <c r="AK20" s="3"/>
      <c r="AL20" s="3"/>
      <c r="AM20" s="3"/>
      <c r="AN20" s="3"/>
      <c r="AO20" s="3"/>
      <c r="AP20" s="3"/>
      <c r="AQ20" s="3"/>
      <c r="AR20" s="28"/>
      <c r="AS20" s="57"/>
      <c r="AT20" s="36"/>
      <c r="AU20" s="13"/>
      <c r="AV20" s="13"/>
      <c r="AW20" s="13"/>
      <c r="AX20" s="3"/>
      <c r="AY20" s="3"/>
      <c r="AZ20" s="3"/>
      <c r="BA20" s="3"/>
      <c r="BB20" s="3"/>
      <c r="BC20" s="3"/>
      <c r="BD20" s="3"/>
      <c r="BE20" s="3"/>
      <c r="BF20" s="3"/>
      <c r="BG20" s="3"/>
    </row>
    <row r="21" ht="12.75" customHeight="1">
      <c r="A21" s="3"/>
      <c r="B21" s="3"/>
      <c r="C21" s="3"/>
      <c r="D21" s="3"/>
      <c r="E21" s="3"/>
      <c r="F21" s="3"/>
      <c r="G21" s="51"/>
      <c r="H21" s="52"/>
      <c r="I21" s="51"/>
      <c r="J21" s="52"/>
      <c r="K21" s="51"/>
      <c r="L21" s="53"/>
      <c r="M21" s="3"/>
      <c r="N21" s="3"/>
      <c r="O21" s="3"/>
      <c r="P21" s="3"/>
      <c r="Q21" s="3"/>
      <c r="R21" s="3"/>
      <c r="S21" s="3"/>
      <c r="T21" s="3"/>
      <c r="U21" s="3"/>
      <c r="V21" s="3"/>
      <c r="W21" s="3"/>
      <c r="X21" s="3"/>
      <c r="Y21" s="3"/>
      <c r="Z21" s="3"/>
      <c r="AA21" s="3"/>
      <c r="AB21" s="3"/>
      <c r="AC21" s="3"/>
      <c r="AD21" s="45"/>
      <c r="AE21" s="46"/>
      <c r="AF21" s="47">
        <v>0.6</v>
      </c>
      <c r="AG21" s="48">
        <v>4.0</v>
      </c>
      <c r="AH21" s="49">
        <v>1.0</v>
      </c>
      <c r="AI21" s="49">
        <f>Max!$B$4*AF21</f>
        <v>60</v>
      </c>
      <c r="AJ21" s="3"/>
      <c r="AK21" s="28" t="s">
        <v>49</v>
      </c>
      <c r="AL21" s="28"/>
      <c r="AM21" s="37" t="s">
        <v>33</v>
      </c>
      <c r="AN21" s="26" t="s">
        <v>34</v>
      </c>
      <c r="AO21" s="26" t="s">
        <v>35</v>
      </c>
      <c r="AP21" s="26" t="s">
        <v>36</v>
      </c>
      <c r="AQ21" s="3"/>
      <c r="AR21" s="28" t="s">
        <v>49</v>
      </c>
      <c r="AS21" s="3"/>
      <c r="AT21" s="37" t="s">
        <v>33</v>
      </c>
      <c r="AU21" s="26" t="s">
        <v>34</v>
      </c>
      <c r="AV21" s="26" t="s">
        <v>35</v>
      </c>
      <c r="AW21" s="26" t="s">
        <v>36</v>
      </c>
      <c r="AX21" s="3"/>
      <c r="AY21" s="3"/>
      <c r="AZ21" s="3"/>
      <c r="BA21" s="3"/>
      <c r="BB21" s="3"/>
      <c r="BC21" s="3"/>
      <c r="BD21" s="3"/>
      <c r="BE21" s="3"/>
      <c r="BF21" s="3"/>
      <c r="BG21" s="3"/>
    </row>
    <row r="22" ht="12.75" customHeight="1">
      <c r="A22" s="28" t="s">
        <v>49</v>
      </c>
      <c r="B22" s="3"/>
      <c r="C22" s="37" t="s">
        <v>33</v>
      </c>
      <c r="D22" s="26" t="s">
        <v>34</v>
      </c>
      <c r="E22" s="26" t="s">
        <v>35</v>
      </c>
      <c r="F22" s="26" t="s">
        <v>36</v>
      </c>
      <c r="G22" s="51"/>
      <c r="H22" s="52"/>
      <c r="I22" s="51"/>
      <c r="J22" s="52"/>
      <c r="K22" s="51">
        <f t="shared" ref="K22:K25" si="7">D23*E23</f>
        <v>6</v>
      </c>
      <c r="L22" s="53">
        <f t="shared" ref="L22:L25" si="8">F23*K22</f>
        <v>300</v>
      </c>
      <c r="M22" s="3"/>
      <c r="N22" s="3"/>
      <c r="O22" s="3"/>
      <c r="P22" s="3"/>
      <c r="Q22" s="3"/>
      <c r="R22" s="3"/>
      <c r="S22" s="3"/>
      <c r="T22" s="3"/>
      <c r="U22" s="3"/>
      <c r="V22" s="3"/>
      <c r="W22" s="6">
        <f>K22</f>
        <v>6</v>
      </c>
      <c r="X22" s="6">
        <f>K23</f>
        <v>5</v>
      </c>
      <c r="Y22" s="6">
        <f>K24</f>
        <v>4</v>
      </c>
      <c r="Z22" s="6">
        <f>K25</f>
        <v>3</v>
      </c>
      <c r="AA22" s="3"/>
      <c r="AB22" s="3"/>
      <c r="AC22" s="3"/>
      <c r="AD22" s="45"/>
      <c r="AE22" s="46"/>
      <c r="AF22" s="47">
        <v>0.7</v>
      </c>
      <c r="AG22" s="48">
        <v>3.0</v>
      </c>
      <c r="AH22" s="49">
        <v>1.0</v>
      </c>
      <c r="AI22" s="49">
        <f>Max!$B$4*AF22</f>
        <v>70</v>
      </c>
      <c r="AJ22" s="3"/>
      <c r="AK22" s="69">
        <v>1.0</v>
      </c>
      <c r="AL22" s="70" t="s">
        <v>71</v>
      </c>
      <c r="AM22" s="71">
        <v>0.55</v>
      </c>
      <c r="AN22" s="73">
        <v>3.0</v>
      </c>
      <c r="AO22" s="72">
        <v>1.0</v>
      </c>
      <c r="AP22" s="72">
        <f>Max!$B$5*AM22</f>
        <v>55</v>
      </c>
      <c r="AQ22" s="3"/>
      <c r="AR22" s="69">
        <v>1.0</v>
      </c>
      <c r="AS22" s="70" t="s">
        <v>52</v>
      </c>
      <c r="AT22" s="71">
        <v>0.5</v>
      </c>
      <c r="AU22" s="73">
        <v>3.0</v>
      </c>
      <c r="AV22" s="72">
        <v>1.0</v>
      </c>
      <c r="AW22" s="72">
        <f>Max!$B$5*AT22</f>
        <v>50</v>
      </c>
      <c r="AX22" s="3"/>
      <c r="AY22" s="3"/>
      <c r="AZ22" s="3"/>
      <c r="BA22" s="3"/>
      <c r="BB22" s="3"/>
      <c r="BC22" s="3"/>
      <c r="BD22" s="3"/>
      <c r="BE22" s="3"/>
      <c r="BF22" s="3"/>
      <c r="BG22" s="3"/>
    </row>
    <row r="23" ht="12.75" customHeight="1">
      <c r="A23" s="45">
        <v>1.0</v>
      </c>
      <c r="B23" s="46" t="s">
        <v>43</v>
      </c>
      <c r="C23" s="47">
        <v>0.5</v>
      </c>
      <c r="D23" s="48">
        <v>6.0</v>
      </c>
      <c r="E23" s="49">
        <v>1.0</v>
      </c>
      <c r="F23" s="49">
        <f>Max!$B$4*C23</f>
        <v>50</v>
      </c>
      <c r="G23" s="51"/>
      <c r="H23" s="52"/>
      <c r="I23" s="51"/>
      <c r="J23" s="52"/>
      <c r="K23" s="51">
        <f t="shared" si="7"/>
        <v>5</v>
      </c>
      <c r="L23" s="53">
        <f t="shared" si="8"/>
        <v>300</v>
      </c>
      <c r="M23" s="3"/>
      <c r="N23" s="3"/>
      <c r="O23" s="3"/>
      <c r="P23" s="3"/>
      <c r="Q23" s="3"/>
      <c r="R23" s="3"/>
      <c r="S23" s="3"/>
      <c r="T23" s="3"/>
      <c r="U23" s="3"/>
      <c r="V23" s="3"/>
      <c r="W23" s="3"/>
      <c r="X23" s="3"/>
      <c r="Y23" s="3"/>
      <c r="Z23" s="3"/>
      <c r="AA23" s="3"/>
      <c r="AB23" s="3"/>
      <c r="AC23" s="3"/>
      <c r="AD23" s="45"/>
      <c r="AE23" s="46"/>
      <c r="AF23" s="47">
        <v>0.8</v>
      </c>
      <c r="AG23" s="48">
        <v>3.0</v>
      </c>
      <c r="AH23" s="49">
        <v>2.0</v>
      </c>
      <c r="AI23" s="49">
        <f>Max!$B$4*AF23</f>
        <v>80</v>
      </c>
      <c r="AJ23" s="3"/>
      <c r="AK23" s="69"/>
      <c r="AL23" s="70"/>
      <c r="AM23" s="71">
        <v>0.65</v>
      </c>
      <c r="AN23" s="73">
        <v>3.0</v>
      </c>
      <c r="AO23" s="72">
        <v>1.0</v>
      </c>
      <c r="AP23" s="72">
        <f>Max!$B$5*AM23</f>
        <v>65</v>
      </c>
      <c r="AQ23" s="3"/>
      <c r="AR23" s="69"/>
      <c r="AS23" s="70"/>
      <c r="AT23" s="71">
        <v>0.6</v>
      </c>
      <c r="AU23" s="73">
        <v>3.0</v>
      </c>
      <c r="AV23" s="72">
        <v>1.0</v>
      </c>
      <c r="AW23" s="72">
        <f>Max!$B$5*AT23</f>
        <v>60</v>
      </c>
      <c r="AX23" s="3"/>
      <c r="AY23" s="3"/>
      <c r="AZ23" s="3"/>
      <c r="BA23" s="3"/>
      <c r="BB23" s="3"/>
      <c r="BC23" s="3"/>
      <c r="BD23" s="3"/>
      <c r="BE23" s="3"/>
      <c r="BF23" s="3"/>
      <c r="BG23" s="3"/>
    </row>
    <row r="24" ht="12.75" customHeight="1">
      <c r="A24" s="45"/>
      <c r="B24" s="46"/>
      <c r="C24" s="47">
        <v>0.6</v>
      </c>
      <c r="D24" s="48">
        <v>5.0</v>
      </c>
      <c r="E24" s="49">
        <v>1.0</v>
      </c>
      <c r="F24" s="49">
        <f>Max!$B$4*C24</f>
        <v>60</v>
      </c>
      <c r="G24" s="51"/>
      <c r="H24" s="52"/>
      <c r="I24" s="51"/>
      <c r="J24" s="52"/>
      <c r="K24" s="51">
        <f t="shared" si="7"/>
        <v>4</v>
      </c>
      <c r="L24" s="53">
        <f t="shared" si="8"/>
        <v>280</v>
      </c>
      <c r="M24" s="3"/>
      <c r="N24" s="3"/>
      <c r="O24" s="3"/>
      <c r="P24" s="3"/>
      <c r="Q24" s="3"/>
      <c r="R24" s="3"/>
      <c r="S24" s="3"/>
      <c r="T24" s="3"/>
      <c r="U24" s="3"/>
      <c r="V24" s="3"/>
      <c r="W24" s="3"/>
      <c r="X24" s="3"/>
      <c r="Y24" s="3"/>
      <c r="Z24" s="3"/>
      <c r="AA24" s="3"/>
      <c r="AB24" s="3"/>
      <c r="AC24" s="3"/>
      <c r="AD24" s="45"/>
      <c r="AE24" s="46"/>
      <c r="AF24" s="47">
        <v>0.85</v>
      </c>
      <c r="AG24" s="48">
        <v>2.0</v>
      </c>
      <c r="AH24" s="49">
        <v>2.0</v>
      </c>
      <c r="AI24" s="49">
        <f>Max!$B$4*AF24</f>
        <v>85</v>
      </c>
      <c r="AJ24" s="3"/>
      <c r="AK24" s="69"/>
      <c r="AL24" s="70"/>
      <c r="AM24" s="71">
        <v>0.75</v>
      </c>
      <c r="AN24" s="73">
        <v>3.0</v>
      </c>
      <c r="AO24" s="72">
        <v>1.0</v>
      </c>
      <c r="AP24" s="72">
        <f>Max!$B$5*AM24</f>
        <v>75</v>
      </c>
      <c r="AQ24" s="3"/>
      <c r="AR24" s="69"/>
      <c r="AS24" s="70"/>
      <c r="AT24" s="71">
        <v>0.65</v>
      </c>
      <c r="AU24" s="73">
        <v>3.0</v>
      </c>
      <c r="AV24" s="72">
        <v>2.0</v>
      </c>
      <c r="AW24" s="72">
        <f>Max!$B$5*AT24</f>
        <v>65</v>
      </c>
      <c r="AX24" s="3"/>
      <c r="AY24" s="3"/>
      <c r="AZ24" s="3"/>
      <c r="BA24" s="3"/>
      <c r="BB24" s="3"/>
      <c r="BC24" s="3"/>
      <c r="BD24" s="3"/>
      <c r="BE24" s="3"/>
      <c r="BF24" s="3"/>
      <c r="BG24" s="3"/>
    </row>
    <row r="25" ht="12.75" customHeight="1">
      <c r="A25" s="45"/>
      <c r="B25" s="46"/>
      <c r="C25" s="47">
        <v>0.7</v>
      </c>
      <c r="D25" s="48">
        <v>4.0</v>
      </c>
      <c r="E25" s="49">
        <v>1.0</v>
      </c>
      <c r="F25" s="49">
        <f>Max!$B$4*C25</f>
        <v>70</v>
      </c>
      <c r="G25" s="51"/>
      <c r="H25" s="52"/>
      <c r="I25" s="51"/>
      <c r="J25" s="52"/>
      <c r="K25" s="51">
        <f t="shared" si="7"/>
        <v>3</v>
      </c>
      <c r="L25" s="53">
        <f t="shared" si="8"/>
        <v>225</v>
      </c>
      <c r="M25" s="3"/>
      <c r="N25" s="3"/>
      <c r="O25" s="3"/>
      <c r="P25" s="3"/>
      <c r="Q25" s="3"/>
      <c r="R25" s="3"/>
      <c r="S25" s="3"/>
      <c r="T25" s="3"/>
      <c r="U25" s="3"/>
      <c r="V25" s="3"/>
      <c r="W25" s="3"/>
      <c r="X25" s="3"/>
      <c r="Y25" s="3"/>
      <c r="Z25" s="3"/>
      <c r="AA25" s="3"/>
      <c r="AB25" s="3"/>
      <c r="AC25" s="3"/>
      <c r="AD25" s="45"/>
      <c r="AE25" s="46"/>
      <c r="AF25" s="47">
        <v>0.8</v>
      </c>
      <c r="AG25" s="48">
        <v>3.0</v>
      </c>
      <c r="AH25" s="49">
        <v>1.0</v>
      </c>
      <c r="AI25" s="49">
        <f>Max!$B$4*AF25</f>
        <v>80</v>
      </c>
      <c r="AJ25" s="3"/>
      <c r="AK25" s="69"/>
      <c r="AL25" s="70"/>
      <c r="AM25" s="71">
        <v>0.85</v>
      </c>
      <c r="AN25" s="73">
        <v>2.0</v>
      </c>
      <c r="AO25" s="72">
        <v>4.0</v>
      </c>
      <c r="AP25" s="72">
        <f>Max!$B$5*AM25</f>
        <v>85</v>
      </c>
      <c r="AQ25" s="3"/>
      <c r="AR25" s="69"/>
      <c r="AS25" s="70"/>
      <c r="AT25" s="71">
        <v>0.7</v>
      </c>
      <c r="AU25" s="73">
        <v>2.0</v>
      </c>
      <c r="AV25" s="72">
        <v>3.0</v>
      </c>
      <c r="AW25" s="72">
        <f>Max!$B$5*AT25</f>
        <v>70</v>
      </c>
      <c r="AX25" s="3"/>
      <c r="AY25" s="3"/>
      <c r="AZ25" s="3"/>
      <c r="BA25" s="3"/>
      <c r="BB25" s="3"/>
      <c r="BC25" s="3"/>
      <c r="BD25" s="3"/>
      <c r="BE25" s="3"/>
      <c r="BF25" s="3"/>
      <c r="BG25" s="3"/>
    </row>
    <row r="26" ht="12.75" customHeight="1">
      <c r="A26" s="45"/>
      <c r="B26" s="46"/>
      <c r="C26" s="47">
        <v>0.75</v>
      </c>
      <c r="D26" s="48">
        <v>3.0</v>
      </c>
      <c r="E26" s="49">
        <v>1.0</v>
      </c>
      <c r="F26" s="49">
        <f>Max!$B$4*C26</f>
        <v>75</v>
      </c>
      <c r="G26" s="51"/>
      <c r="H26" s="52"/>
      <c r="I26" s="51">
        <f t="shared" ref="I26:I30" si="9">D27*E27</f>
        <v>4</v>
      </c>
      <c r="J26" s="52">
        <f t="shared" ref="J26:J30" si="10">F27*I26</f>
        <v>320</v>
      </c>
      <c r="K26" s="51"/>
      <c r="L26" s="53"/>
      <c r="M26" s="3"/>
      <c r="N26" s="3"/>
      <c r="O26" s="3"/>
      <c r="P26" s="3"/>
      <c r="Q26" s="3"/>
      <c r="R26" s="6">
        <f>I26</f>
        <v>4</v>
      </c>
      <c r="S26" s="6">
        <f>I27</f>
        <v>2</v>
      </c>
      <c r="T26" s="6">
        <f>I28</f>
        <v>3</v>
      </c>
      <c r="U26" s="6" t="str">
        <f>I30+I31+I29</f>
        <v>#REF!</v>
      </c>
      <c r="V26" s="6"/>
      <c r="W26" s="3"/>
      <c r="X26" s="3"/>
      <c r="Y26" s="3"/>
      <c r="Z26" s="3"/>
      <c r="AA26" s="3"/>
      <c r="AB26" s="3"/>
      <c r="AC26" s="3"/>
      <c r="AD26" s="45"/>
      <c r="AE26" s="46"/>
      <c r="AF26" s="47">
        <v>0.7</v>
      </c>
      <c r="AG26" s="48">
        <v>5.0</v>
      </c>
      <c r="AH26" s="49">
        <v>1.0</v>
      </c>
      <c r="AI26" s="49">
        <f>Max!$B$4*AF26</f>
        <v>70</v>
      </c>
      <c r="AJ26" s="3"/>
      <c r="AK26" s="45">
        <v>2.0</v>
      </c>
      <c r="AL26" s="46" t="s">
        <v>43</v>
      </c>
      <c r="AM26" s="47">
        <v>0.5</v>
      </c>
      <c r="AN26" s="48">
        <v>5.0</v>
      </c>
      <c r="AO26" s="49">
        <v>1.0</v>
      </c>
      <c r="AP26" s="49">
        <f>Max!$B$4*AM26</f>
        <v>50</v>
      </c>
      <c r="AQ26" s="3"/>
      <c r="AR26" s="45">
        <v>2.0</v>
      </c>
      <c r="AS26" s="46" t="s">
        <v>43</v>
      </c>
      <c r="AT26" s="47">
        <v>0.5</v>
      </c>
      <c r="AU26" s="48">
        <v>5.0</v>
      </c>
      <c r="AV26" s="49">
        <v>1.0</v>
      </c>
      <c r="AW26" s="49">
        <f>Max!$B$4*AT26</f>
        <v>50</v>
      </c>
      <c r="AX26" s="3"/>
      <c r="AY26" s="3"/>
      <c r="AZ26" s="3"/>
      <c r="BA26" s="3"/>
      <c r="BB26" s="3"/>
      <c r="BC26" s="3"/>
      <c r="BD26" s="3"/>
      <c r="BE26" s="3"/>
      <c r="BF26" s="3"/>
      <c r="BG26" s="3"/>
    </row>
    <row r="27" ht="12.75" customHeight="1">
      <c r="A27" s="45"/>
      <c r="B27" s="46"/>
      <c r="C27" s="47">
        <v>0.8</v>
      </c>
      <c r="D27" s="48">
        <v>2.0</v>
      </c>
      <c r="E27" s="49">
        <v>2.0</v>
      </c>
      <c r="F27" s="49">
        <f>Max!$B$4*C27</f>
        <v>80</v>
      </c>
      <c r="G27" s="51"/>
      <c r="H27" s="52"/>
      <c r="I27" s="51">
        <f t="shared" si="9"/>
        <v>2</v>
      </c>
      <c r="J27" s="52">
        <f t="shared" si="10"/>
        <v>170</v>
      </c>
      <c r="K27" s="51"/>
      <c r="L27" s="53"/>
      <c r="M27" s="3"/>
      <c r="N27" s="3"/>
      <c r="O27" s="3"/>
      <c r="P27" s="3"/>
      <c r="Q27" s="3"/>
      <c r="R27" s="3"/>
      <c r="S27" s="3"/>
      <c r="T27" s="3"/>
      <c r="U27" s="3"/>
      <c r="V27" s="3"/>
      <c r="W27" s="3"/>
      <c r="X27" s="3"/>
      <c r="Y27" s="3"/>
      <c r="Z27" s="3"/>
      <c r="AA27" s="3"/>
      <c r="AB27" s="3"/>
      <c r="AC27" s="3"/>
      <c r="AD27" s="45"/>
      <c r="AE27" s="46"/>
      <c r="AF27" s="47">
        <v>0.6</v>
      </c>
      <c r="AG27" s="48">
        <v>7.0</v>
      </c>
      <c r="AH27" s="49">
        <v>1.0</v>
      </c>
      <c r="AI27" s="49">
        <f>Max!$B$4*AF27</f>
        <v>60</v>
      </c>
      <c r="AJ27" s="3"/>
      <c r="AK27" s="45"/>
      <c r="AL27" s="46"/>
      <c r="AM27" s="47">
        <v>0.6</v>
      </c>
      <c r="AN27" s="48">
        <v>4.0</v>
      </c>
      <c r="AO27" s="49">
        <v>1.0</v>
      </c>
      <c r="AP27" s="49">
        <f>Max!$B$4*AM27</f>
        <v>60</v>
      </c>
      <c r="AQ27" s="3"/>
      <c r="AR27" s="45"/>
      <c r="AS27" s="46"/>
      <c r="AT27" s="47">
        <v>0.6</v>
      </c>
      <c r="AU27" s="48">
        <v>4.0</v>
      </c>
      <c r="AV27" s="49">
        <v>1.0</v>
      </c>
      <c r="AW27" s="49">
        <f>Max!$B$4*AT27</f>
        <v>60</v>
      </c>
      <c r="AX27" s="3"/>
      <c r="AY27" s="3"/>
      <c r="AZ27" s="3"/>
      <c r="BA27" s="3"/>
      <c r="BB27" s="3"/>
      <c r="BC27" s="3"/>
      <c r="BD27" s="3"/>
      <c r="BE27" s="3"/>
      <c r="BF27" s="3"/>
      <c r="BG27" s="3"/>
    </row>
    <row r="28" ht="12.75" customHeight="1">
      <c r="A28" s="45"/>
      <c r="B28" s="46"/>
      <c r="C28" s="47">
        <v>0.85</v>
      </c>
      <c r="D28" s="48">
        <v>1.0</v>
      </c>
      <c r="E28" s="49">
        <v>2.0</v>
      </c>
      <c r="F28" s="49">
        <f>Max!$B$4*C28</f>
        <v>85</v>
      </c>
      <c r="G28" s="51"/>
      <c r="H28" s="52"/>
      <c r="I28" s="51">
        <f t="shared" si="9"/>
        <v>3</v>
      </c>
      <c r="J28" s="52">
        <f t="shared" si="10"/>
        <v>225</v>
      </c>
      <c r="K28" s="51"/>
      <c r="L28" s="53"/>
      <c r="M28" s="3"/>
      <c r="N28" s="3"/>
      <c r="O28" s="3"/>
      <c r="P28" s="3"/>
      <c r="Q28" s="3"/>
      <c r="R28" s="3"/>
      <c r="S28" s="3"/>
      <c r="T28" s="3"/>
      <c r="U28" s="3"/>
      <c r="V28" s="3"/>
      <c r="W28" s="3"/>
      <c r="X28" s="3"/>
      <c r="Y28" s="3"/>
      <c r="Z28" s="3"/>
      <c r="AA28" s="3"/>
      <c r="AB28" s="3"/>
      <c r="AC28" s="3"/>
      <c r="AD28" s="45"/>
      <c r="AE28" s="46"/>
      <c r="AF28" s="47">
        <v>0.5</v>
      </c>
      <c r="AG28" s="48">
        <v>9.0</v>
      </c>
      <c r="AH28" s="49">
        <v>1.0</v>
      </c>
      <c r="AI28" s="49">
        <f>Max!$B$4*AF28</f>
        <v>50</v>
      </c>
      <c r="AJ28" s="3"/>
      <c r="AK28" s="45"/>
      <c r="AL28" s="46"/>
      <c r="AM28" s="47">
        <v>0.7</v>
      </c>
      <c r="AN28" s="48">
        <v>3.0</v>
      </c>
      <c r="AO28" s="49">
        <v>1.0</v>
      </c>
      <c r="AP28" s="49">
        <f>Max!$B$4*AM28</f>
        <v>70</v>
      </c>
      <c r="AQ28" s="3"/>
      <c r="AR28" s="45"/>
      <c r="AS28" s="46"/>
      <c r="AT28" s="47">
        <v>0.7</v>
      </c>
      <c r="AU28" s="48">
        <v>3.0</v>
      </c>
      <c r="AV28" s="49">
        <v>1.0</v>
      </c>
      <c r="AW28" s="49">
        <f>Max!$B$4*AT28</f>
        <v>70</v>
      </c>
      <c r="AX28" s="3"/>
      <c r="AY28" s="3"/>
      <c r="AZ28" s="3"/>
      <c r="BA28" s="3"/>
      <c r="BB28" s="3"/>
      <c r="BC28" s="3"/>
      <c r="BD28" s="3"/>
      <c r="BE28" s="3"/>
      <c r="BF28" s="3"/>
      <c r="BG28" s="3"/>
    </row>
    <row r="29" ht="12.75" customHeight="1">
      <c r="A29" s="45"/>
      <c r="B29" s="46"/>
      <c r="C29" s="47">
        <v>0.75</v>
      </c>
      <c r="D29" s="48">
        <v>3.0</v>
      </c>
      <c r="E29" s="49">
        <v>1.0</v>
      </c>
      <c r="F29" s="49">
        <f>Max!$B$4*C29</f>
        <v>75</v>
      </c>
      <c r="G29" s="51"/>
      <c r="H29" s="52"/>
      <c r="I29" s="51">
        <f t="shared" si="9"/>
        <v>5</v>
      </c>
      <c r="J29" s="52">
        <f t="shared" si="10"/>
        <v>325</v>
      </c>
      <c r="K29" s="51"/>
      <c r="L29" s="53"/>
      <c r="M29" s="3"/>
      <c r="N29" s="3"/>
      <c r="O29" s="3"/>
      <c r="P29" s="3"/>
      <c r="Q29" s="3"/>
      <c r="R29" s="3"/>
      <c r="S29" s="3"/>
      <c r="T29" s="3"/>
      <c r="U29" s="3"/>
      <c r="V29" s="3"/>
      <c r="W29" s="3"/>
      <c r="X29" s="3"/>
      <c r="Y29" s="3"/>
      <c r="Z29" s="3"/>
      <c r="AA29" s="3"/>
      <c r="AB29" s="3"/>
      <c r="AC29" s="3"/>
      <c r="AD29" s="69">
        <v>2.0</v>
      </c>
      <c r="AE29" s="70" t="s">
        <v>71</v>
      </c>
      <c r="AF29" s="71">
        <v>0.5</v>
      </c>
      <c r="AG29" s="73">
        <v>4.0</v>
      </c>
      <c r="AH29" s="73">
        <v>1.0</v>
      </c>
      <c r="AI29" s="72">
        <f>Max!$B$5*AF29</f>
        <v>50</v>
      </c>
      <c r="AJ29" s="3"/>
      <c r="AK29" s="45"/>
      <c r="AL29" s="46"/>
      <c r="AM29" s="47">
        <v>0.8</v>
      </c>
      <c r="AN29" s="48">
        <v>3.0</v>
      </c>
      <c r="AO29" s="49">
        <v>2.0</v>
      </c>
      <c r="AP29" s="49">
        <f>Max!$B$4*AM29</f>
        <v>80</v>
      </c>
      <c r="AQ29" s="3"/>
      <c r="AR29" s="45"/>
      <c r="AS29" s="46"/>
      <c r="AT29" s="47">
        <v>0.75</v>
      </c>
      <c r="AU29" s="48">
        <v>2.0</v>
      </c>
      <c r="AV29" s="49">
        <v>4.0</v>
      </c>
      <c r="AW29" s="49">
        <f>Max!$B$4*AT29</f>
        <v>75</v>
      </c>
      <c r="AX29" s="3"/>
      <c r="AY29" s="3"/>
      <c r="AZ29" s="3"/>
      <c r="BA29" s="3"/>
      <c r="BB29" s="3"/>
      <c r="BC29" s="3"/>
      <c r="BD29" s="3"/>
      <c r="BE29" s="3"/>
      <c r="BF29" s="3"/>
      <c r="BG29" s="3"/>
    </row>
    <row r="30" ht="12.75" customHeight="1">
      <c r="A30" s="45"/>
      <c r="B30" s="46"/>
      <c r="C30" s="47">
        <v>0.65</v>
      </c>
      <c r="D30" s="48">
        <v>5.0</v>
      </c>
      <c r="E30" s="49">
        <v>1.0</v>
      </c>
      <c r="F30" s="49">
        <f>Max!$B$4*C30</f>
        <v>65</v>
      </c>
      <c r="G30" s="51"/>
      <c r="H30" s="52"/>
      <c r="I30" s="51">
        <f t="shared" si="9"/>
        <v>7</v>
      </c>
      <c r="J30" s="52">
        <f t="shared" si="10"/>
        <v>385</v>
      </c>
      <c r="K30" s="51"/>
      <c r="L30" s="53"/>
      <c r="M30" s="3"/>
      <c r="N30" s="3"/>
      <c r="O30" s="3"/>
      <c r="P30" s="3"/>
      <c r="Q30" s="3"/>
      <c r="R30" s="3"/>
      <c r="S30" s="3"/>
      <c r="T30" s="3"/>
      <c r="U30" s="3"/>
      <c r="V30" s="3"/>
      <c r="W30" s="3"/>
      <c r="X30" s="3"/>
      <c r="Y30" s="3"/>
      <c r="Z30" s="3"/>
      <c r="AA30" s="3"/>
      <c r="AB30" s="3"/>
      <c r="AC30" s="3"/>
      <c r="AD30" s="69"/>
      <c r="AE30" s="70"/>
      <c r="AF30" s="71">
        <v>0.6</v>
      </c>
      <c r="AG30" s="73">
        <v>4.0</v>
      </c>
      <c r="AH30" s="73">
        <v>1.0</v>
      </c>
      <c r="AI30" s="72">
        <f>Max!$B$5*AF30</f>
        <v>60</v>
      </c>
      <c r="AJ30" s="3"/>
      <c r="AK30" s="45"/>
      <c r="AL30" s="46"/>
      <c r="AM30" s="47">
        <v>0.85</v>
      </c>
      <c r="AN30" s="48">
        <v>2.0</v>
      </c>
      <c r="AO30" s="49">
        <v>3.0</v>
      </c>
      <c r="AP30" s="49">
        <f>Max!$B$4*AM30</f>
        <v>85</v>
      </c>
      <c r="AQ30" s="3"/>
      <c r="AR30" s="69">
        <v>3.0</v>
      </c>
      <c r="AS30" s="70" t="s">
        <v>55</v>
      </c>
      <c r="AT30" s="71">
        <v>0.7</v>
      </c>
      <c r="AU30" s="73">
        <v>3.0</v>
      </c>
      <c r="AV30" s="72">
        <v>1.0</v>
      </c>
      <c r="AW30" s="72">
        <f>Max!$B$5*AT30</f>
        <v>70</v>
      </c>
      <c r="AX30" s="3"/>
      <c r="AY30" s="3"/>
      <c r="AZ30" s="3"/>
      <c r="BA30" s="3"/>
      <c r="BB30" s="3"/>
      <c r="BC30" s="3"/>
      <c r="BD30" s="3"/>
      <c r="BE30" s="3"/>
      <c r="BF30" s="3"/>
      <c r="BG30" s="3"/>
    </row>
    <row r="31" ht="12.75" customHeight="1">
      <c r="A31" s="45"/>
      <c r="B31" s="46"/>
      <c r="C31" s="47">
        <v>0.55</v>
      </c>
      <c r="D31" s="48">
        <v>7.0</v>
      </c>
      <c r="E31" s="49">
        <v>1.0</v>
      </c>
      <c r="F31" s="49">
        <f>Max!$B$4*C31</f>
        <v>55</v>
      </c>
      <c r="G31" s="51"/>
      <c r="H31" s="52"/>
      <c r="I31" s="51" t="str">
        <f>#REF!*#REF!</f>
        <v>#REF!</v>
      </c>
      <c r="J31" s="52" t="str">
        <f>#REF!*I31</f>
        <v>#REF!</v>
      </c>
      <c r="K31" s="51"/>
      <c r="L31" s="53"/>
      <c r="M31" s="3"/>
      <c r="N31" s="3"/>
      <c r="O31" s="3"/>
      <c r="P31" s="3"/>
      <c r="Q31" s="3"/>
      <c r="R31" s="3"/>
      <c r="S31" s="3"/>
      <c r="T31" s="3"/>
      <c r="U31" s="3"/>
      <c r="V31" s="3"/>
      <c r="W31" s="3"/>
      <c r="X31" s="3"/>
      <c r="Y31" s="3"/>
      <c r="Z31" s="3"/>
      <c r="AA31" s="3"/>
      <c r="AB31" s="3"/>
      <c r="AC31" s="3"/>
      <c r="AD31" s="69"/>
      <c r="AE31" s="70"/>
      <c r="AF31" s="71">
        <v>0.7</v>
      </c>
      <c r="AG31" s="73">
        <v>4.0</v>
      </c>
      <c r="AH31" s="73">
        <v>1.0</v>
      </c>
      <c r="AI31" s="72">
        <f>Max!$B$5*AF31</f>
        <v>70</v>
      </c>
      <c r="AJ31" s="3"/>
      <c r="AK31" s="45"/>
      <c r="AL31" s="46"/>
      <c r="AM31" s="47">
        <v>0.8</v>
      </c>
      <c r="AN31" s="48">
        <v>3.0</v>
      </c>
      <c r="AO31" s="49">
        <v>2.0</v>
      </c>
      <c r="AP31" s="49">
        <f>Max!$B$4*AM31</f>
        <v>80</v>
      </c>
      <c r="AQ31" s="3"/>
      <c r="AR31" s="69"/>
      <c r="AS31" s="70"/>
      <c r="AT31" s="71">
        <v>0.8</v>
      </c>
      <c r="AU31" s="73">
        <v>3.0</v>
      </c>
      <c r="AV31" s="72">
        <v>1.0</v>
      </c>
      <c r="AW31" s="72">
        <f>Max!$B$5*AT31</f>
        <v>80</v>
      </c>
      <c r="AX31" s="3"/>
      <c r="AY31" s="3"/>
      <c r="AZ31" s="3"/>
      <c r="BA31" s="3"/>
      <c r="BB31" s="3"/>
      <c r="BC31" s="3"/>
      <c r="BD31" s="3"/>
      <c r="BE31" s="3"/>
      <c r="BF31" s="3"/>
      <c r="BG31" s="3"/>
    </row>
    <row r="32" ht="12.75" customHeight="1">
      <c r="A32" s="69">
        <v>2.0</v>
      </c>
      <c r="B32" s="70" t="s">
        <v>55</v>
      </c>
      <c r="C32" s="71">
        <v>0.65</v>
      </c>
      <c r="D32" s="72">
        <v>3.0</v>
      </c>
      <c r="E32" s="72">
        <v>1.0</v>
      </c>
      <c r="F32" s="72">
        <f>Max!$B$5*C32</f>
        <v>65</v>
      </c>
      <c r="G32" s="51"/>
      <c r="H32" s="52"/>
      <c r="I32" s="51"/>
      <c r="J32" s="52"/>
      <c r="K32" s="51">
        <f t="shared" ref="K32:K35" si="11">D32*E32</f>
        <v>3</v>
      </c>
      <c r="L32" s="53">
        <f t="shared" ref="L32:L35" si="12">F32*K32</f>
        <v>195</v>
      </c>
      <c r="M32" s="3"/>
      <c r="N32" s="3"/>
      <c r="O32" s="3"/>
      <c r="P32" s="3"/>
      <c r="Q32" s="3"/>
      <c r="R32" s="3"/>
      <c r="S32" s="3"/>
      <c r="T32" s="3"/>
      <c r="U32" s="3"/>
      <c r="V32" s="3"/>
      <c r="W32" s="3"/>
      <c r="X32" s="6">
        <f>K32</f>
        <v>3</v>
      </c>
      <c r="Y32" s="6">
        <f>K33</f>
        <v>3</v>
      </c>
      <c r="Z32" s="6">
        <f>K34</f>
        <v>6</v>
      </c>
      <c r="AA32" s="6">
        <f>K35</f>
        <v>6</v>
      </c>
      <c r="AB32" s="3"/>
      <c r="AC32" s="3"/>
      <c r="AD32" s="69"/>
      <c r="AE32" s="70"/>
      <c r="AF32" s="71">
        <v>0.8</v>
      </c>
      <c r="AG32" s="73">
        <v>4.0</v>
      </c>
      <c r="AH32" s="73">
        <v>4.0</v>
      </c>
      <c r="AI32" s="72">
        <f>Max!$B$5*AF32</f>
        <v>80</v>
      </c>
      <c r="AJ32" s="3"/>
      <c r="AK32" s="69">
        <v>3.0</v>
      </c>
      <c r="AL32" s="70" t="s">
        <v>55</v>
      </c>
      <c r="AM32" s="71">
        <v>0.65</v>
      </c>
      <c r="AN32" s="73">
        <v>3.0</v>
      </c>
      <c r="AO32" s="72">
        <v>1.0</v>
      </c>
      <c r="AP32" s="72">
        <f>Max!$B$5*AM32</f>
        <v>65</v>
      </c>
      <c r="AQ32" s="3"/>
      <c r="AR32" s="69"/>
      <c r="AS32" s="70"/>
      <c r="AT32" s="71">
        <v>0.9</v>
      </c>
      <c r="AU32" s="73">
        <v>2.0</v>
      </c>
      <c r="AV32" s="72">
        <v>2.0</v>
      </c>
      <c r="AW32" s="72">
        <f>Max!$B$5*AT32</f>
        <v>90</v>
      </c>
      <c r="AX32" s="3"/>
      <c r="AY32" s="3"/>
      <c r="AZ32" s="3"/>
      <c r="BA32" s="3"/>
      <c r="BB32" s="3"/>
      <c r="BC32" s="3"/>
      <c r="BD32" s="3"/>
      <c r="BE32" s="3"/>
      <c r="BF32" s="3"/>
      <c r="BG32" s="3"/>
    </row>
    <row r="33" ht="12.75" customHeight="1">
      <c r="A33" s="69"/>
      <c r="B33" s="70"/>
      <c r="C33" s="71">
        <v>0.75</v>
      </c>
      <c r="D33" s="72">
        <v>3.0</v>
      </c>
      <c r="E33" s="72">
        <v>1.0</v>
      </c>
      <c r="F33" s="72">
        <f>Max!$B$5*C33</f>
        <v>75</v>
      </c>
      <c r="G33" s="51"/>
      <c r="H33" s="52"/>
      <c r="I33" s="51"/>
      <c r="J33" s="52"/>
      <c r="K33" s="51">
        <f t="shared" si="11"/>
        <v>3</v>
      </c>
      <c r="L33" s="53">
        <f t="shared" si="12"/>
        <v>225</v>
      </c>
      <c r="M33" s="3"/>
      <c r="N33" s="3"/>
      <c r="O33" s="3"/>
      <c r="P33" s="3"/>
      <c r="Q33" s="3"/>
      <c r="R33" s="3"/>
      <c r="S33" s="3"/>
      <c r="T33" s="3"/>
      <c r="U33" s="3"/>
      <c r="V33" s="3"/>
      <c r="W33" s="3"/>
      <c r="X33" s="3"/>
      <c r="Y33" s="3"/>
      <c r="Z33" s="3"/>
      <c r="AA33" s="3"/>
      <c r="AB33" s="3"/>
      <c r="AC33" s="3"/>
      <c r="AD33" s="60">
        <v>3.0</v>
      </c>
      <c r="AE33" s="80" t="s">
        <v>54</v>
      </c>
      <c r="AF33" s="61">
        <v>0.7</v>
      </c>
      <c r="AG33" s="62">
        <v>6.0</v>
      </c>
      <c r="AH33" s="63">
        <v>5.0</v>
      </c>
      <c r="AI33" s="63"/>
      <c r="AJ33" s="3"/>
      <c r="AK33" s="69"/>
      <c r="AL33" s="70"/>
      <c r="AM33" s="71">
        <v>0.75</v>
      </c>
      <c r="AN33" s="73">
        <v>3.0</v>
      </c>
      <c r="AO33" s="72">
        <v>1.0</v>
      </c>
      <c r="AP33" s="72">
        <f>Max!$B$5*AM33</f>
        <v>75</v>
      </c>
      <c r="AQ33" s="3"/>
      <c r="AR33" s="69"/>
      <c r="AS33" s="70"/>
      <c r="AT33" s="71">
        <v>0.95</v>
      </c>
      <c r="AU33" s="73">
        <v>1.0</v>
      </c>
      <c r="AV33" s="72">
        <v>3.0</v>
      </c>
      <c r="AW33" s="72">
        <f>Max!$B$5*AT33</f>
        <v>95</v>
      </c>
      <c r="AX33" s="3"/>
      <c r="AY33" s="3"/>
      <c r="AZ33" s="3"/>
      <c r="BA33" s="3"/>
      <c r="BB33" s="3"/>
      <c r="BC33" s="3"/>
      <c r="BD33" s="3"/>
      <c r="BE33" s="3"/>
      <c r="BF33" s="3"/>
      <c r="BG33" s="3"/>
    </row>
    <row r="34" ht="12.75" customHeight="1">
      <c r="A34" s="69"/>
      <c r="B34" s="70"/>
      <c r="C34" s="71">
        <v>0.85</v>
      </c>
      <c r="D34" s="72">
        <v>3.0</v>
      </c>
      <c r="E34" s="72">
        <v>2.0</v>
      </c>
      <c r="F34" s="72">
        <f>Max!$B$5*C34</f>
        <v>85</v>
      </c>
      <c r="G34" s="51"/>
      <c r="H34" s="52"/>
      <c r="I34" s="51"/>
      <c r="J34" s="52"/>
      <c r="K34" s="51">
        <f t="shared" si="11"/>
        <v>6</v>
      </c>
      <c r="L34" s="53">
        <f t="shared" si="12"/>
        <v>510</v>
      </c>
      <c r="M34" s="3"/>
      <c r="N34" s="3"/>
      <c r="O34" s="3"/>
      <c r="P34" s="3"/>
      <c r="Q34" s="3"/>
      <c r="R34" s="3"/>
      <c r="S34" s="3"/>
      <c r="T34" s="3"/>
      <c r="U34" s="3"/>
      <c r="V34" s="3"/>
      <c r="W34" s="3"/>
      <c r="X34" s="3"/>
      <c r="Y34" s="3"/>
      <c r="Z34" s="3"/>
      <c r="AA34" s="3"/>
      <c r="AB34" s="3"/>
      <c r="AC34" s="3"/>
      <c r="AD34" s="56">
        <v>4.0</v>
      </c>
      <c r="AE34" s="57" t="s">
        <v>60</v>
      </c>
      <c r="AF34" s="58">
        <v>0.7</v>
      </c>
      <c r="AG34" s="55">
        <v>6.0</v>
      </c>
      <c r="AH34" s="55">
        <v>5.0</v>
      </c>
      <c r="AI34" s="55"/>
      <c r="AJ34" s="3"/>
      <c r="AK34" s="69"/>
      <c r="AL34" s="70"/>
      <c r="AM34" s="71">
        <v>0.85</v>
      </c>
      <c r="AN34" s="73">
        <v>2.0</v>
      </c>
      <c r="AO34" s="72">
        <v>2.0</v>
      </c>
      <c r="AP34" s="72">
        <f>Max!$B$5*AM34</f>
        <v>85</v>
      </c>
      <c r="AQ34" s="3"/>
      <c r="AR34" s="60">
        <v>4.0</v>
      </c>
      <c r="AS34" s="80" t="s">
        <v>54</v>
      </c>
      <c r="AT34" s="61">
        <v>0.7</v>
      </c>
      <c r="AU34" s="62">
        <v>6.0</v>
      </c>
      <c r="AV34" s="63">
        <v>5.0</v>
      </c>
      <c r="AW34" s="63"/>
      <c r="AX34" s="3"/>
      <c r="AY34" s="3"/>
      <c r="AZ34" s="3"/>
      <c r="BA34" s="3"/>
      <c r="BB34" s="3"/>
      <c r="BC34" s="3"/>
      <c r="BD34" s="3"/>
      <c r="BE34" s="3"/>
      <c r="BF34" s="3"/>
      <c r="BG34" s="3"/>
    </row>
    <row r="35" ht="12.75" customHeight="1">
      <c r="A35" s="69"/>
      <c r="B35" s="70"/>
      <c r="C35" s="71">
        <v>0.9</v>
      </c>
      <c r="D35" s="72">
        <v>2.0</v>
      </c>
      <c r="E35" s="72">
        <v>3.0</v>
      </c>
      <c r="F35" s="72">
        <f>Max!$B$5*C35</f>
        <v>90</v>
      </c>
      <c r="G35" s="51"/>
      <c r="H35" s="52"/>
      <c r="I35" s="51"/>
      <c r="J35" s="52"/>
      <c r="K35" s="51">
        <f t="shared" si="11"/>
        <v>6</v>
      </c>
      <c r="L35" s="53">
        <f t="shared" si="12"/>
        <v>540</v>
      </c>
      <c r="M35" s="3"/>
      <c r="N35" s="3"/>
      <c r="O35" s="3"/>
      <c r="P35" s="3"/>
      <c r="Q35" s="3"/>
      <c r="R35" s="3"/>
      <c r="S35" s="3"/>
      <c r="T35" s="3"/>
      <c r="U35" s="3"/>
      <c r="V35" s="3"/>
      <c r="W35" s="3"/>
      <c r="X35" s="3"/>
      <c r="Y35" s="3"/>
      <c r="Z35" s="3"/>
      <c r="AA35" s="3"/>
      <c r="AB35" s="3"/>
      <c r="AC35" s="3"/>
      <c r="AD35" s="64">
        <v>5.0</v>
      </c>
      <c r="AE35" s="65" t="s">
        <v>59</v>
      </c>
      <c r="AF35" s="66">
        <v>0.6</v>
      </c>
      <c r="AG35" s="67">
        <v>10.0</v>
      </c>
      <c r="AH35" s="68">
        <v>4.0</v>
      </c>
      <c r="AI35" s="68"/>
      <c r="AJ35" s="3"/>
      <c r="AK35" s="69"/>
      <c r="AL35" s="70"/>
      <c r="AM35" s="71">
        <v>0.95</v>
      </c>
      <c r="AN35" s="73">
        <v>1.0</v>
      </c>
      <c r="AO35" s="72">
        <v>3.0</v>
      </c>
      <c r="AP35" s="72">
        <f>Max!$B$5*AM35</f>
        <v>95</v>
      </c>
      <c r="AQ35" s="3"/>
      <c r="AR35" s="64">
        <v>5.0</v>
      </c>
      <c r="AS35" s="65" t="s">
        <v>48</v>
      </c>
      <c r="AT35" s="66">
        <v>0.75</v>
      </c>
      <c r="AU35" s="67">
        <v>5.0</v>
      </c>
      <c r="AV35" s="68">
        <v>4.0</v>
      </c>
      <c r="AW35" s="68"/>
      <c r="AX35" s="3"/>
      <c r="AY35" s="3"/>
      <c r="AZ35" s="3"/>
      <c r="BA35" s="3"/>
      <c r="BB35" s="3"/>
      <c r="BC35" s="3"/>
      <c r="BD35" s="3"/>
      <c r="BE35" s="3"/>
      <c r="BF35" s="3"/>
      <c r="BG35" s="3"/>
    </row>
    <row r="36" ht="12.75" customHeight="1">
      <c r="A36" s="60">
        <v>3.0</v>
      </c>
      <c r="B36" s="80" t="s">
        <v>54</v>
      </c>
      <c r="C36" s="61">
        <v>0.7</v>
      </c>
      <c r="D36" s="62">
        <v>6.0</v>
      </c>
      <c r="E36" s="63">
        <v>5.0</v>
      </c>
      <c r="F36" s="63"/>
      <c r="G36" s="51"/>
      <c r="H36" s="52"/>
      <c r="I36" s="51"/>
      <c r="J36" s="52"/>
      <c r="K36" s="51"/>
      <c r="L36" s="53"/>
      <c r="M36" s="3"/>
      <c r="N36" s="3"/>
      <c r="O36" s="3"/>
      <c r="P36" s="3"/>
      <c r="Q36" s="3"/>
      <c r="R36" s="3"/>
      <c r="S36" s="3"/>
      <c r="T36" s="3"/>
      <c r="U36" s="3"/>
      <c r="V36" s="3"/>
      <c r="W36" s="3"/>
      <c r="X36" s="3"/>
      <c r="Y36" s="3"/>
      <c r="Z36" s="3"/>
      <c r="AA36" s="3"/>
      <c r="AB36" s="3"/>
      <c r="AC36" s="3"/>
      <c r="AD36" s="3"/>
      <c r="AE36" s="3"/>
      <c r="AF36" s="3"/>
      <c r="AG36" s="3"/>
      <c r="AH36" s="3"/>
      <c r="AI36" s="3"/>
      <c r="AJ36" s="3"/>
      <c r="AK36" s="64">
        <v>4.0</v>
      </c>
      <c r="AL36" s="65" t="s">
        <v>60</v>
      </c>
      <c r="AM36" s="66">
        <v>0.7</v>
      </c>
      <c r="AN36" s="91">
        <v>6.0</v>
      </c>
      <c r="AO36" s="55">
        <v>5.0</v>
      </c>
      <c r="AP36" s="55"/>
      <c r="AQ36" s="3"/>
      <c r="AR36" s="28"/>
      <c r="AS36" s="57"/>
      <c r="AT36" s="36"/>
      <c r="AU36" s="13"/>
      <c r="AV36" s="13"/>
      <c r="AW36" s="13"/>
      <c r="AX36" s="3"/>
      <c r="AY36" s="3"/>
      <c r="AZ36" s="3"/>
      <c r="BA36" s="3"/>
      <c r="BB36" s="3"/>
      <c r="BC36" s="3"/>
      <c r="BD36" s="3"/>
      <c r="BE36" s="3"/>
      <c r="BF36" s="3"/>
      <c r="BG36" s="3"/>
    </row>
    <row r="37" ht="12.75" customHeight="1">
      <c r="A37" s="56">
        <v>4.0</v>
      </c>
      <c r="B37" s="57" t="s">
        <v>60</v>
      </c>
      <c r="C37" s="58">
        <v>0.7</v>
      </c>
      <c r="D37" s="55">
        <v>6.0</v>
      </c>
      <c r="E37" s="55">
        <v>5.0</v>
      </c>
      <c r="F37" s="55"/>
      <c r="G37" s="51"/>
      <c r="H37" s="52"/>
      <c r="I37" s="51"/>
      <c r="J37" s="52"/>
      <c r="K37" s="51"/>
      <c r="L37" s="53"/>
      <c r="M37" s="3"/>
      <c r="N37" s="3"/>
      <c r="O37" s="3"/>
      <c r="P37" s="3"/>
      <c r="Q37" s="3"/>
      <c r="R37" s="3"/>
      <c r="S37" s="3"/>
      <c r="T37" s="3"/>
      <c r="U37" s="3"/>
      <c r="V37" s="3"/>
      <c r="W37" s="3"/>
      <c r="X37" s="3"/>
      <c r="Y37" s="3"/>
      <c r="Z37" s="3"/>
      <c r="AA37" s="3"/>
      <c r="AB37" s="3"/>
      <c r="AC37" s="3"/>
      <c r="AD37" s="28" t="s">
        <v>58</v>
      </c>
      <c r="AE37" s="28"/>
      <c r="AF37" s="37" t="s">
        <v>33</v>
      </c>
      <c r="AG37" s="26" t="s">
        <v>34</v>
      </c>
      <c r="AH37" s="26" t="s">
        <v>35</v>
      </c>
      <c r="AI37" s="26" t="s">
        <v>36</v>
      </c>
      <c r="AJ37" s="3"/>
      <c r="AK37" s="56">
        <v>5.0</v>
      </c>
      <c r="AL37" s="65" t="s">
        <v>47</v>
      </c>
      <c r="AM37" s="58">
        <v>0.75</v>
      </c>
      <c r="AN37" s="55">
        <v>5.0</v>
      </c>
      <c r="AO37" s="55">
        <v>5.0</v>
      </c>
      <c r="AP37" s="55"/>
      <c r="AQ37" s="3"/>
      <c r="AR37" s="28" t="s">
        <v>58</v>
      </c>
      <c r="AS37" s="3"/>
      <c r="AT37" s="37" t="s">
        <v>33</v>
      </c>
      <c r="AU37" s="26" t="s">
        <v>34</v>
      </c>
      <c r="AV37" s="26" t="s">
        <v>35</v>
      </c>
      <c r="AW37" s="26" t="s">
        <v>36</v>
      </c>
      <c r="AX37" s="3"/>
      <c r="AY37" s="3"/>
      <c r="AZ37" s="3"/>
      <c r="BA37" s="3"/>
      <c r="BB37" s="3"/>
      <c r="BC37" s="3"/>
      <c r="BD37" s="3"/>
      <c r="BE37" s="3"/>
      <c r="BF37" s="3"/>
      <c r="BG37" s="3"/>
    </row>
    <row r="38" ht="12.75" customHeight="1">
      <c r="A38" s="64">
        <v>5.0</v>
      </c>
      <c r="B38" s="65" t="s">
        <v>59</v>
      </c>
      <c r="C38" s="66">
        <v>0.65</v>
      </c>
      <c r="D38" s="67">
        <v>8.0</v>
      </c>
      <c r="E38" s="68">
        <v>4.0</v>
      </c>
      <c r="F38" s="68"/>
      <c r="G38" s="51"/>
      <c r="H38" s="52"/>
      <c r="I38" s="51"/>
      <c r="J38" s="52"/>
      <c r="K38" s="51"/>
      <c r="L38" s="53"/>
      <c r="M38" s="3"/>
      <c r="N38" s="3"/>
      <c r="O38" s="3"/>
      <c r="P38" s="3"/>
      <c r="Q38" s="3"/>
      <c r="R38" s="3"/>
      <c r="S38" s="3"/>
      <c r="T38" s="3"/>
      <c r="U38" s="3"/>
      <c r="V38" s="3"/>
      <c r="W38" s="3"/>
      <c r="X38" s="3"/>
      <c r="Y38" s="3"/>
      <c r="Z38" s="3"/>
      <c r="AA38" s="3"/>
      <c r="AB38" s="3"/>
      <c r="AC38" s="3"/>
      <c r="AD38" s="38">
        <v>1.0</v>
      </c>
      <c r="AE38" s="39" t="s">
        <v>42</v>
      </c>
      <c r="AF38" s="40">
        <v>0.5</v>
      </c>
      <c r="AG38" s="50">
        <v>5.0</v>
      </c>
      <c r="AH38" s="41">
        <v>1.0</v>
      </c>
      <c r="AI38" s="41">
        <f>Max!$B$3*AF38</f>
        <v>50</v>
      </c>
      <c r="AJ38" s="3"/>
      <c r="AK38" s="3"/>
      <c r="AL38" s="3"/>
      <c r="AM38" s="3"/>
      <c r="AN38" s="3"/>
      <c r="AO38" s="3"/>
      <c r="AP38" s="3"/>
      <c r="AQ38" s="3"/>
      <c r="AR38" s="38">
        <v>1.0</v>
      </c>
      <c r="AS38" s="39" t="s">
        <v>42</v>
      </c>
      <c r="AT38" s="40">
        <v>0.5</v>
      </c>
      <c r="AU38" s="50">
        <v>5.0</v>
      </c>
      <c r="AV38" s="41">
        <v>1.0</v>
      </c>
      <c r="AW38" s="41">
        <f>Max!$B$3*AT38</f>
        <v>50</v>
      </c>
      <c r="AX38" s="3"/>
      <c r="AY38" s="3"/>
      <c r="AZ38" s="3"/>
      <c r="BA38" s="3"/>
      <c r="BB38" s="3"/>
      <c r="BC38" s="3"/>
      <c r="BD38" s="3"/>
      <c r="BE38" s="3"/>
      <c r="BF38" s="3"/>
      <c r="BG38" s="3"/>
    </row>
    <row r="39" ht="12.75" customHeight="1">
      <c r="A39" s="3"/>
      <c r="B39" s="3"/>
      <c r="C39" s="3"/>
      <c r="D39" s="3"/>
      <c r="E39" s="3"/>
      <c r="F39" s="3"/>
      <c r="G39" s="51"/>
      <c r="H39" s="52"/>
      <c r="I39" s="51"/>
      <c r="J39" s="52"/>
      <c r="K39" s="51"/>
      <c r="L39" s="53"/>
      <c r="M39" s="3"/>
      <c r="N39" s="3"/>
      <c r="O39" s="3"/>
      <c r="P39" s="3"/>
      <c r="Q39" s="3"/>
      <c r="R39" s="3"/>
      <c r="S39" s="3"/>
      <c r="T39" s="3"/>
      <c r="U39" s="3"/>
      <c r="V39" s="3"/>
      <c r="W39" s="3"/>
      <c r="X39" s="3"/>
      <c r="Y39" s="3"/>
      <c r="Z39" s="3"/>
      <c r="AA39" s="3"/>
      <c r="AB39" s="3"/>
      <c r="AC39" s="3"/>
      <c r="AD39" s="38"/>
      <c r="AE39" s="39"/>
      <c r="AF39" s="40">
        <v>0.6</v>
      </c>
      <c r="AG39" s="50">
        <v>5.0</v>
      </c>
      <c r="AH39" s="41">
        <v>1.0</v>
      </c>
      <c r="AI39" s="41">
        <f>Max!$B$3*AF39</f>
        <v>60</v>
      </c>
      <c r="AJ39" s="3"/>
      <c r="AK39" s="28" t="s">
        <v>58</v>
      </c>
      <c r="AL39" s="28"/>
      <c r="AM39" s="37" t="s">
        <v>33</v>
      </c>
      <c r="AN39" s="26" t="s">
        <v>34</v>
      </c>
      <c r="AO39" s="26" t="s">
        <v>35</v>
      </c>
      <c r="AP39" s="26" t="s">
        <v>36</v>
      </c>
      <c r="AQ39" s="3"/>
      <c r="AR39" s="38"/>
      <c r="AS39" s="39"/>
      <c r="AT39" s="40">
        <v>0.6</v>
      </c>
      <c r="AU39" s="50">
        <v>4.0</v>
      </c>
      <c r="AV39" s="41">
        <v>1.0</v>
      </c>
      <c r="AW39" s="41">
        <f>Max!$B$3*AT39</f>
        <v>60</v>
      </c>
      <c r="AX39" s="3"/>
      <c r="AY39" s="3"/>
      <c r="AZ39" s="3"/>
      <c r="BA39" s="3"/>
      <c r="BB39" s="3"/>
      <c r="BC39" s="3"/>
      <c r="BD39" s="3"/>
      <c r="BE39" s="3"/>
      <c r="BF39" s="3"/>
      <c r="BG39" s="3"/>
    </row>
    <row r="40" ht="12.75" customHeight="1">
      <c r="A40" s="28" t="s">
        <v>58</v>
      </c>
      <c r="B40" s="3"/>
      <c r="C40" s="37" t="s">
        <v>33</v>
      </c>
      <c r="D40" s="26" t="s">
        <v>34</v>
      </c>
      <c r="E40" s="26" t="s">
        <v>35</v>
      </c>
      <c r="F40" s="26" t="s">
        <v>36</v>
      </c>
      <c r="G40" s="51" t="str">
        <f t="shared" ref="G40:G43" si="13">D40*E40</f>
        <v>#VALUE!</v>
      </c>
      <c r="H40" s="52" t="str">
        <f t="shared" ref="H40:H43" si="14">F40*G40</f>
        <v>#VALUE!</v>
      </c>
      <c r="I40" s="51"/>
      <c r="J40" s="52"/>
      <c r="K40" s="51"/>
      <c r="L40" s="53"/>
      <c r="M40" s="6" t="str">
        <f>G40</f>
        <v>#VALUE!</v>
      </c>
      <c r="N40" s="6">
        <f>G41</f>
        <v>5</v>
      </c>
      <c r="O40" s="6">
        <f>G42</f>
        <v>4</v>
      </c>
      <c r="P40" s="6">
        <f>G43</f>
        <v>3</v>
      </c>
      <c r="Q40" s="3"/>
      <c r="R40" s="3"/>
      <c r="S40" s="3"/>
      <c r="T40" s="3"/>
      <c r="U40" s="3"/>
      <c r="V40" s="3"/>
      <c r="W40" s="3"/>
      <c r="X40" s="3"/>
      <c r="Y40" s="3"/>
      <c r="Z40" s="3"/>
      <c r="AA40" s="3"/>
      <c r="AB40" s="3"/>
      <c r="AC40" s="3"/>
      <c r="AD40" s="38"/>
      <c r="AE40" s="39"/>
      <c r="AF40" s="40">
        <v>0.65</v>
      </c>
      <c r="AG40" s="50">
        <v>3.0</v>
      </c>
      <c r="AH40" s="41">
        <v>1.0</v>
      </c>
      <c r="AI40" s="41">
        <f>Max!$B$3*AF40</f>
        <v>65</v>
      </c>
      <c r="AJ40" s="3"/>
      <c r="AK40" s="38">
        <v>1.0</v>
      </c>
      <c r="AL40" s="39" t="s">
        <v>42</v>
      </c>
      <c r="AM40" s="40">
        <v>0.5</v>
      </c>
      <c r="AN40" s="50">
        <v>5.0</v>
      </c>
      <c r="AO40" s="41">
        <v>1.0</v>
      </c>
      <c r="AP40" s="41">
        <f>Max!$B$3*AM40</f>
        <v>50</v>
      </c>
      <c r="AQ40" s="3"/>
      <c r="AR40" s="38"/>
      <c r="AS40" s="39"/>
      <c r="AT40" s="40">
        <v>0.7</v>
      </c>
      <c r="AU40" s="50">
        <v>3.0</v>
      </c>
      <c r="AV40" s="41">
        <v>1.0</v>
      </c>
      <c r="AW40" s="41">
        <f>Max!$B$3*AT40</f>
        <v>70</v>
      </c>
      <c r="AX40" s="3"/>
      <c r="AY40" s="3"/>
      <c r="AZ40" s="3"/>
      <c r="BA40" s="3"/>
      <c r="BB40" s="3"/>
      <c r="BC40" s="3"/>
      <c r="BD40" s="3"/>
      <c r="BE40" s="3"/>
      <c r="BF40" s="3"/>
      <c r="BG40" s="3"/>
    </row>
    <row r="41" ht="12.75" customHeight="1">
      <c r="A41" s="38">
        <v>2.0</v>
      </c>
      <c r="B41" s="39" t="s">
        <v>42</v>
      </c>
      <c r="C41" s="40">
        <v>0.5</v>
      </c>
      <c r="D41" s="50">
        <v>5.0</v>
      </c>
      <c r="E41" s="41">
        <v>1.0</v>
      </c>
      <c r="F41" s="41">
        <f>Max!$B$3*C41</f>
        <v>50</v>
      </c>
      <c r="G41" s="51">
        <f t="shared" si="13"/>
        <v>5</v>
      </c>
      <c r="H41" s="52">
        <f t="shared" si="14"/>
        <v>250</v>
      </c>
      <c r="I41" s="51"/>
      <c r="J41" s="52"/>
      <c r="K41" s="51"/>
      <c r="L41" s="53"/>
      <c r="M41" s="3"/>
      <c r="N41" s="3"/>
      <c r="O41" s="3"/>
      <c r="P41" s="3"/>
      <c r="Q41" s="3"/>
      <c r="R41" s="3"/>
      <c r="S41" s="3"/>
      <c r="T41" s="3"/>
      <c r="U41" s="3"/>
      <c r="V41" s="3"/>
      <c r="W41" s="3"/>
      <c r="X41" s="3"/>
      <c r="Y41" s="3"/>
      <c r="Z41" s="3"/>
      <c r="AA41" s="3"/>
      <c r="AB41" s="3"/>
      <c r="AC41" s="3"/>
      <c r="AD41" s="38"/>
      <c r="AE41" s="39"/>
      <c r="AF41" s="40">
        <v>0.65</v>
      </c>
      <c r="AG41" s="50">
        <v>7.0</v>
      </c>
      <c r="AH41" s="41">
        <v>1.0</v>
      </c>
      <c r="AI41" s="41">
        <f>Max!$B$3*AF41</f>
        <v>65</v>
      </c>
      <c r="AJ41" s="3"/>
      <c r="AK41" s="38"/>
      <c r="AL41" s="39"/>
      <c r="AM41" s="40">
        <v>0.6</v>
      </c>
      <c r="AN41" s="50">
        <v>5.0</v>
      </c>
      <c r="AO41" s="41">
        <v>1.0</v>
      </c>
      <c r="AP41" s="41">
        <f>Max!$B$3*AM41</f>
        <v>60</v>
      </c>
      <c r="AQ41" s="3"/>
      <c r="AR41" s="38"/>
      <c r="AS41" s="39"/>
      <c r="AT41" s="40">
        <v>0.8</v>
      </c>
      <c r="AU41" s="50">
        <v>2.0</v>
      </c>
      <c r="AV41" s="41">
        <v>5.0</v>
      </c>
      <c r="AW41" s="41">
        <f>Max!$B$3*AT41</f>
        <v>80</v>
      </c>
      <c r="AX41" s="3"/>
      <c r="AY41" s="3"/>
      <c r="AZ41" s="3"/>
      <c r="BA41" s="3"/>
      <c r="BB41" s="3"/>
      <c r="BC41" s="3"/>
      <c r="BD41" s="3"/>
      <c r="BE41" s="3"/>
      <c r="BF41" s="3"/>
      <c r="BG41" s="3"/>
    </row>
    <row r="42" ht="12.75" customHeight="1">
      <c r="A42" s="38"/>
      <c r="B42" s="39"/>
      <c r="C42" s="40">
        <v>0.6</v>
      </c>
      <c r="D42" s="50">
        <v>4.0</v>
      </c>
      <c r="E42" s="41">
        <v>1.0</v>
      </c>
      <c r="F42" s="41">
        <f>Max!$B$3*C42</f>
        <v>60</v>
      </c>
      <c r="G42" s="51">
        <f t="shared" si="13"/>
        <v>4</v>
      </c>
      <c r="H42" s="52">
        <f t="shared" si="14"/>
        <v>240</v>
      </c>
      <c r="I42" s="51"/>
      <c r="J42" s="52"/>
      <c r="K42" s="51"/>
      <c r="L42" s="53"/>
      <c r="M42" s="3"/>
      <c r="N42" s="3"/>
      <c r="O42" s="3"/>
      <c r="P42" s="3"/>
      <c r="Q42" s="3"/>
      <c r="R42" s="3"/>
      <c r="S42" s="3"/>
      <c r="T42" s="3"/>
      <c r="U42" s="3"/>
      <c r="V42" s="3"/>
      <c r="W42" s="3"/>
      <c r="X42" s="3"/>
      <c r="Y42" s="3"/>
      <c r="Z42" s="3"/>
      <c r="AA42" s="3"/>
      <c r="AB42" s="3"/>
      <c r="AC42" s="3"/>
      <c r="AD42" s="38"/>
      <c r="AE42" s="39"/>
      <c r="AF42" s="40">
        <v>0.65</v>
      </c>
      <c r="AG42" s="50">
        <v>4.0</v>
      </c>
      <c r="AH42" s="41">
        <v>1.0</v>
      </c>
      <c r="AI42" s="41">
        <f>Max!$B$3*AF42</f>
        <v>65</v>
      </c>
      <c r="AJ42" s="3"/>
      <c r="AK42" s="38"/>
      <c r="AL42" s="39"/>
      <c r="AM42" s="40">
        <v>0.7</v>
      </c>
      <c r="AN42" s="50">
        <v>3.0</v>
      </c>
      <c r="AO42" s="41">
        <v>1.0</v>
      </c>
      <c r="AP42" s="41">
        <f>Max!$B$3*AM42</f>
        <v>70</v>
      </c>
      <c r="AQ42" s="3"/>
      <c r="AR42" s="45">
        <v>2.0</v>
      </c>
      <c r="AS42" s="46" t="s">
        <v>43</v>
      </c>
      <c r="AT42" s="47">
        <v>0.5</v>
      </c>
      <c r="AU42" s="48">
        <v>6.0</v>
      </c>
      <c r="AV42" s="49">
        <v>1.0</v>
      </c>
      <c r="AW42" s="49">
        <f>Max!$B$4*AT42</f>
        <v>50</v>
      </c>
      <c r="AX42" s="3"/>
      <c r="AY42" s="3"/>
      <c r="AZ42" s="3"/>
      <c r="BA42" s="3"/>
      <c r="BB42" s="3"/>
      <c r="BC42" s="3"/>
      <c r="BD42" s="3"/>
      <c r="BE42" s="3"/>
      <c r="BF42" s="3"/>
      <c r="BG42" s="3"/>
    </row>
    <row r="43" ht="12.75" customHeight="1">
      <c r="A43" s="38"/>
      <c r="B43" s="39"/>
      <c r="C43" s="40">
        <v>0.7</v>
      </c>
      <c r="D43" s="50">
        <v>3.0</v>
      </c>
      <c r="E43" s="41">
        <v>1.0</v>
      </c>
      <c r="F43" s="41">
        <f>Max!$B$3*C43</f>
        <v>70</v>
      </c>
      <c r="G43" s="51">
        <f t="shared" si="13"/>
        <v>3</v>
      </c>
      <c r="H43" s="52">
        <f t="shared" si="14"/>
        <v>210</v>
      </c>
      <c r="I43" s="51"/>
      <c r="J43" s="52"/>
      <c r="K43" s="51"/>
      <c r="L43" s="53"/>
      <c r="M43" s="3"/>
      <c r="N43" s="3"/>
      <c r="O43" s="3"/>
      <c r="P43" s="3"/>
      <c r="Q43" s="3"/>
      <c r="R43" s="3"/>
      <c r="S43" s="3"/>
      <c r="T43" s="3"/>
      <c r="U43" s="3"/>
      <c r="V43" s="3"/>
      <c r="W43" s="3"/>
      <c r="X43" s="3"/>
      <c r="Y43" s="3"/>
      <c r="Z43" s="3"/>
      <c r="AA43" s="3"/>
      <c r="AB43" s="3"/>
      <c r="AC43" s="3"/>
      <c r="AD43" s="38"/>
      <c r="AE43" s="39"/>
      <c r="AF43" s="40">
        <v>0.65</v>
      </c>
      <c r="AG43" s="50">
        <v>8.0</v>
      </c>
      <c r="AH43" s="41">
        <v>1.0</v>
      </c>
      <c r="AI43" s="41">
        <f>Max!$B$3*AF43</f>
        <v>65</v>
      </c>
      <c r="AJ43" s="3"/>
      <c r="AK43" s="38"/>
      <c r="AL43" s="39"/>
      <c r="AM43" s="40">
        <v>0.7</v>
      </c>
      <c r="AN43" s="50">
        <v>5.0</v>
      </c>
      <c r="AO43" s="41">
        <v>1.0</v>
      </c>
      <c r="AP43" s="41">
        <f>Max!$B$3*AM43</f>
        <v>70</v>
      </c>
      <c r="AQ43" s="3"/>
      <c r="AR43" s="45"/>
      <c r="AS43" s="46"/>
      <c r="AT43" s="47">
        <v>0.6</v>
      </c>
      <c r="AU43" s="48">
        <v>6.0</v>
      </c>
      <c r="AV43" s="49">
        <v>1.0</v>
      </c>
      <c r="AW43" s="49">
        <f>Max!$B$4*AT43</f>
        <v>60</v>
      </c>
      <c r="AX43" s="3"/>
      <c r="AY43" s="3"/>
      <c r="AZ43" s="3"/>
      <c r="BA43" s="3"/>
      <c r="BB43" s="3"/>
      <c r="BC43" s="3"/>
      <c r="BD43" s="3"/>
      <c r="BE43" s="3"/>
      <c r="BF43" s="3"/>
      <c r="BG43" s="3"/>
    </row>
    <row r="44" ht="12.75" customHeight="1">
      <c r="A44" s="38"/>
      <c r="B44" s="39"/>
      <c r="C44" s="40">
        <v>0.8</v>
      </c>
      <c r="D44" s="50">
        <v>3.0</v>
      </c>
      <c r="E44" s="41">
        <v>4.0</v>
      </c>
      <c r="F44" s="41">
        <f>Max!$B$3*C44</f>
        <v>80</v>
      </c>
      <c r="G44" s="51"/>
      <c r="H44" s="52"/>
      <c r="I44" s="51">
        <f t="shared" ref="I44:I47" si="15">D44*E44</f>
        <v>12</v>
      </c>
      <c r="J44" s="52">
        <f t="shared" ref="J44:J47" si="16">F44*I44</f>
        <v>960</v>
      </c>
      <c r="K44" s="51"/>
      <c r="L44" s="53"/>
      <c r="M44" s="3"/>
      <c r="N44" s="3"/>
      <c r="O44" s="3"/>
      <c r="P44" s="3"/>
      <c r="Q44" s="3"/>
      <c r="R44" s="6">
        <f>I44</f>
        <v>12</v>
      </c>
      <c r="S44" s="6">
        <f>I45</f>
        <v>5</v>
      </c>
      <c r="T44" s="6">
        <f>I46</f>
        <v>4</v>
      </c>
      <c r="U44" s="6">
        <f>I47</f>
        <v>3</v>
      </c>
      <c r="V44" s="3"/>
      <c r="W44" s="3"/>
      <c r="X44" s="3"/>
      <c r="Y44" s="3"/>
      <c r="Z44" s="3"/>
      <c r="AA44" s="3"/>
      <c r="AB44" s="3"/>
      <c r="AC44" s="3"/>
      <c r="AD44" s="38"/>
      <c r="AE44" s="39"/>
      <c r="AF44" s="40">
        <v>0.65</v>
      </c>
      <c r="AG44" s="50">
        <v>2.0</v>
      </c>
      <c r="AH44" s="41">
        <v>1.0</v>
      </c>
      <c r="AI44" s="41">
        <f>Max!$B$3*AF44</f>
        <v>65</v>
      </c>
      <c r="AJ44" s="3"/>
      <c r="AK44" s="38"/>
      <c r="AL44" s="39"/>
      <c r="AM44" s="40">
        <v>0.7</v>
      </c>
      <c r="AN44" s="50">
        <v>7.0</v>
      </c>
      <c r="AO44" s="41">
        <v>1.0</v>
      </c>
      <c r="AP44" s="41">
        <f>Max!$B$3*AM44</f>
        <v>70</v>
      </c>
      <c r="AQ44" s="3"/>
      <c r="AR44" s="45"/>
      <c r="AS44" s="46"/>
      <c r="AT44" s="47">
        <v>0.7</v>
      </c>
      <c r="AU44" s="48">
        <v>6.0</v>
      </c>
      <c r="AV44" s="49">
        <v>5.0</v>
      </c>
      <c r="AW44" s="49">
        <f>Max!$B$4*AT44</f>
        <v>70</v>
      </c>
      <c r="AX44" s="3"/>
      <c r="AY44" s="3"/>
      <c r="AZ44" s="3"/>
      <c r="BA44" s="3"/>
      <c r="BB44" s="3"/>
      <c r="BC44" s="3"/>
      <c r="BD44" s="3"/>
      <c r="BE44" s="3"/>
      <c r="BF44" s="3"/>
      <c r="BG44" s="3"/>
    </row>
    <row r="45" ht="12.75" customHeight="1">
      <c r="A45" s="45">
        <v>2.0</v>
      </c>
      <c r="B45" s="46" t="s">
        <v>43</v>
      </c>
      <c r="C45" s="47">
        <v>0.5</v>
      </c>
      <c r="D45" s="49">
        <v>5.0</v>
      </c>
      <c r="E45" s="49">
        <v>1.0</v>
      </c>
      <c r="F45" s="49">
        <f>Max!$B$4*C45</f>
        <v>50</v>
      </c>
      <c r="G45" s="51"/>
      <c r="H45" s="52"/>
      <c r="I45" s="51">
        <f t="shared" si="15"/>
        <v>5</v>
      </c>
      <c r="J45" s="52">
        <f t="shared" si="16"/>
        <v>250</v>
      </c>
      <c r="K45" s="51"/>
      <c r="L45" s="53"/>
      <c r="M45" s="3"/>
      <c r="N45" s="3"/>
      <c r="O45" s="3"/>
      <c r="P45" s="3"/>
      <c r="Q45" s="3"/>
      <c r="R45" s="3"/>
      <c r="S45" s="3"/>
      <c r="T45" s="3"/>
      <c r="U45" s="3"/>
      <c r="V45" s="3"/>
      <c r="W45" s="3"/>
      <c r="X45" s="3"/>
      <c r="Y45" s="3"/>
      <c r="Z45" s="3"/>
      <c r="AA45" s="3"/>
      <c r="AB45" s="3"/>
      <c r="AC45" s="3"/>
      <c r="AD45" s="38"/>
      <c r="AE45" s="39"/>
      <c r="AF45" s="40">
        <v>0.65</v>
      </c>
      <c r="AG45" s="50">
        <v>6.0</v>
      </c>
      <c r="AH45" s="41">
        <v>1.0</v>
      </c>
      <c r="AI45" s="41">
        <f>Max!$B$3*AF45</f>
        <v>65</v>
      </c>
      <c r="AJ45" s="3"/>
      <c r="AK45" s="38"/>
      <c r="AL45" s="39"/>
      <c r="AM45" s="40">
        <v>0.7</v>
      </c>
      <c r="AN45" s="50">
        <v>6.0</v>
      </c>
      <c r="AO45" s="41">
        <v>1.0</v>
      </c>
      <c r="AP45" s="41">
        <f>Max!$B$3*AM45</f>
        <v>70</v>
      </c>
      <c r="AQ45" s="3"/>
      <c r="AR45" s="56">
        <v>3.0</v>
      </c>
      <c r="AS45" s="80" t="s">
        <v>44</v>
      </c>
      <c r="AT45" s="58">
        <v>0.7</v>
      </c>
      <c r="AU45" s="55">
        <v>6.0</v>
      </c>
      <c r="AV45" s="55">
        <v>5.0</v>
      </c>
      <c r="AW45" s="55"/>
      <c r="AX45" s="3"/>
      <c r="AY45" s="3"/>
      <c r="AZ45" s="3"/>
      <c r="BA45" s="3"/>
      <c r="BB45" s="3"/>
      <c r="BC45" s="3"/>
      <c r="BD45" s="3"/>
      <c r="BE45" s="3"/>
      <c r="BF45" s="3"/>
      <c r="BG45" s="3"/>
    </row>
    <row r="46" ht="12.75" customHeight="1">
      <c r="A46" s="45"/>
      <c r="B46" s="46"/>
      <c r="C46" s="47">
        <v>0.6</v>
      </c>
      <c r="D46" s="49">
        <v>4.0</v>
      </c>
      <c r="E46" s="49">
        <v>1.0</v>
      </c>
      <c r="F46" s="49">
        <f>Max!$B$4*C46</f>
        <v>60</v>
      </c>
      <c r="G46" s="51"/>
      <c r="H46" s="52"/>
      <c r="I46" s="51">
        <f t="shared" si="15"/>
        <v>4</v>
      </c>
      <c r="J46" s="52">
        <f t="shared" si="16"/>
        <v>240</v>
      </c>
      <c r="K46" s="51"/>
      <c r="L46" s="53"/>
      <c r="M46" s="3"/>
      <c r="N46" s="3"/>
      <c r="O46" s="3"/>
      <c r="P46" s="3"/>
      <c r="Q46" s="3"/>
      <c r="R46" s="3"/>
      <c r="S46" s="3"/>
      <c r="T46" s="3"/>
      <c r="U46" s="3"/>
      <c r="V46" s="3"/>
      <c r="W46" s="3"/>
      <c r="X46" s="3"/>
      <c r="Y46" s="3"/>
      <c r="Z46" s="3"/>
      <c r="AA46" s="3"/>
      <c r="AB46" s="3"/>
      <c r="AC46" s="3"/>
      <c r="AD46" s="45">
        <v>2.0</v>
      </c>
      <c r="AE46" s="46" t="s">
        <v>43</v>
      </c>
      <c r="AF46" s="47">
        <v>0.5</v>
      </c>
      <c r="AG46" s="49">
        <v>5.0</v>
      </c>
      <c r="AH46" s="49">
        <v>1.0</v>
      </c>
      <c r="AI46" s="49">
        <f>Max!$B$4*AF46</f>
        <v>50</v>
      </c>
      <c r="AJ46" s="3"/>
      <c r="AK46" s="38"/>
      <c r="AL46" s="39"/>
      <c r="AM46" s="40">
        <v>0.7</v>
      </c>
      <c r="AN46" s="50">
        <v>4.0</v>
      </c>
      <c r="AO46" s="41">
        <v>1.0</v>
      </c>
      <c r="AP46" s="41">
        <f>Max!$B$3*AM46</f>
        <v>70</v>
      </c>
      <c r="AQ46" s="3"/>
      <c r="AR46" s="64">
        <v>4.0</v>
      </c>
      <c r="AS46" s="65" t="s">
        <v>60</v>
      </c>
      <c r="AT46" s="66">
        <v>0.7</v>
      </c>
      <c r="AU46" s="91">
        <v>6.0</v>
      </c>
      <c r="AV46" s="55">
        <v>5.0</v>
      </c>
      <c r="AW46" s="55"/>
      <c r="AX46" s="3"/>
      <c r="AY46" s="3"/>
      <c r="AZ46" s="3"/>
      <c r="BA46" s="3"/>
      <c r="BB46" s="3"/>
      <c r="BC46" s="3"/>
      <c r="BD46" s="3"/>
      <c r="BE46" s="3"/>
      <c r="BF46" s="3"/>
      <c r="BG46" s="3"/>
    </row>
    <row r="47" ht="12.75" customHeight="1">
      <c r="A47" s="45"/>
      <c r="B47" s="46"/>
      <c r="C47" s="47">
        <v>0.7</v>
      </c>
      <c r="D47" s="49">
        <v>3.0</v>
      </c>
      <c r="E47" s="49">
        <v>1.0</v>
      </c>
      <c r="F47" s="49">
        <f>Max!$B$4*C47</f>
        <v>70</v>
      </c>
      <c r="G47" s="51"/>
      <c r="H47" s="52"/>
      <c r="I47" s="51">
        <f t="shared" si="15"/>
        <v>3</v>
      </c>
      <c r="J47" s="52">
        <f t="shared" si="16"/>
        <v>210</v>
      </c>
      <c r="K47" s="51"/>
      <c r="L47" s="53"/>
      <c r="M47" s="3"/>
      <c r="N47" s="3"/>
      <c r="O47" s="3"/>
      <c r="P47" s="3"/>
      <c r="Q47" s="3"/>
      <c r="R47" s="3"/>
      <c r="S47" s="3"/>
      <c r="T47" s="3"/>
      <c r="U47" s="3"/>
      <c r="V47" s="3"/>
      <c r="W47" s="3"/>
      <c r="X47" s="3"/>
      <c r="Y47" s="3"/>
      <c r="Z47" s="3"/>
      <c r="AA47" s="3"/>
      <c r="AB47" s="3"/>
      <c r="AC47" s="3"/>
      <c r="AD47" s="45"/>
      <c r="AE47" s="46"/>
      <c r="AF47" s="47">
        <v>0.6</v>
      </c>
      <c r="AG47" s="49">
        <v>4.0</v>
      </c>
      <c r="AH47" s="49">
        <v>1.0</v>
      </c>
      <c r="AI47" s="49">
        <f>Max!$B$4*AF47</f>
        <v>60</v>
      </c>
      <c r="AJ47" s="3"/>
      <c r="AK47" s="45">
        <v>2.0</v>
      </c>
      <c r="AL47" s="46" t="s">
        <v>43</v>
      </c>
      <c r="AM47" s="47">
        <v>0.5</v>
      </c>
      <c r="AN47" s="48">
        <v>5.0</v>
      </c>
      <c r="AO47" s="49">
        <v>1.0</v>
      </c>
      <c r="AP47" s="49">
        <f>Max!$B$4*AM47</f>
        <v>50</v>
      </c>
      <c r="AQ47" s="3"/>
      <c r="AR47" s="64">
        <v>5.0</v>
      </c>
      <c r="AS47" s="65" t="s">
        <v>59</v>
      </c>
      <c r="AT47" s="66">
        <v>0.6</v>
      </c>
      <c r="AU47" s="67">
        <v>10.0</v>
      </c>
      <c r="AV47" s="68">
        <v>4.0</v>
      </c>
      <c r="AW47" s="68"/>
      <c r="AX47" s="3"/>
      <c r="AY47" s="3"/>
      <c r="AZ47" s="3"/>
      <c r="BA47" s="3"/>
      <c r="BB47" s="3"/>
      <c r="BC47" s="3"/>
      <c r="BD47" s="3"/>
      <c r="BE47" s="3"/>
      <c r="BF47" s="3"/>
      <c r="BG47" s="3"/>
    </row>
    <row r="48" ht="12.75" customHeight="1">
      <c r="A48" s="45"/>
      <c r="B48" s="46"/>
      <c r="C48" s="47">
        <v>0.75</v>
      </c>
      <c r="D48" s="49">
        <v>2.0</v>
      </c>
      <c r="E48" s="49">
        <v>5.0</v>
      </c>
      <c r="F48" s="49">
        <f>Max!$B$4*C48</f>
        <v>75</v>
      </c>
      <c r="G48" s="51" t="str">
        <f t="shared" ref="G48:G50" si="17">#REF!*#REF!</f>
        <v>#REF!</v>
      </c>
      <c r="H48" s="52" t="str">
        <f t="shared" ref="H48:H50" si="18">#REF!*G48</f>
        <v>#REF!</v>
      </c>
      <c r="I48" s="51"/>
      <c r="J48" s="52"/>
      <c r="K48" s="51"/>
      <c r="L48" s="53"/>
      <c r="M48" s="6" t="str">
        <f>G48</f>
        <v>#REF!</v>
      </c>
      <c r="N48" s="6" t="str">
        <f>G49</f>
        <v>#REF!</v>
      </c>
      <c r="O48" s="6" t="str">
        <f>G50</f>
        <v>#REF!</v>
      </c>
      <c r="P48" s="6">
        <f>G51</f>
        <v>25</v>
      </c>
      <c r="Q48" s="3"/>
      <c r="R48" s="3"/>
      <c r="S48" s="3"/>
      <c r="T48" s="3"/>
      <c r="U48" s="3"/>
      <c r="V48" s="3"/>
      <c r="W48" s="3"/>
      <c r="X48" s="3"/>
      <c r="Y48" s="3"/>
      <c r="Z48" s="3"/>
      <c r="AA48" s="3"/>
      <c r="AB48" s="3"/>
      <c r="AC48" s="3"/>
      <c r="AD48" s="45"/>
      <c r="AE48" s="46"/>
      <c r="AF48" s="47">
        <v>0.7</v>
      </c>
      <c r="AG48" s="49">
        <v>3.0</v>
      </c>
      <c r="AH48" s="49">
        <v>1.0</v>
      </c>
      <c r="AI48" s="49">
        <f>Max!$B$4*AF48</f>
        <v>70</v>
      </c>
      <c r="AJ48" s="3"/>
      <c r="AK48" s="45"/>
      <c r="AL48" s="46"/>
      <c r="AM48" s="47">
        <v>0.6</v>
      </c>
      <c r="AN48" s="48">
        <v>4.0</v>
      </c>
      <c r="AO48" s="49">
        <v>1.0</v>
      </c>
      <c r="AP48" s="49">
        <f>Max!$B$4*AM48</f>
        <v>60</v>
      </c>
      <c r="AQ48" s="3"/>
      <c r="AX48" s="3"/>
      <c r="AY48" s="3"/>
      <c r="AZ48" s="3"/>
      <c r="BA48" s="3"/>
      <c r="BB48" s="3"/>
      <c r="BC48" s="3"/>
      <c r="BD48" s="3"/>
      <c r="BE48" s="3"/>
      <c r="BF48" s="3"/>
      <c r="BG48" s="3"/>
    </row>
    <row r="49" ht="12.75" customHeight="1">
      <c r="A49" s="60">
        <v>3.0</v>
      </c>
      <c r="B49" s="59" t="s">
        <v>44</v>
      </c>
      <c r="C49" s="61">
        <v>0.7</v>
      </c>
      <c r="D49" s="62">
        <v>6.0</v>
      </c>
      <c r="E49" s="63">
        <v>5.0</v>
      </c>
      <c r="F49" s="63"/>
      <c r="G49" s="51" t="str">
        <f t="shared" si="17"/>
        <v>#REF!</v>
      </c>
      <c r="H49" s="52" t="str">
        <f t="shared" si="18"/>
        <v>#REF!</v>
      </c>
      <c r="I49" s="51"/>
      <c r="J49" s="52"/>
      <c r="K49" s="51"/>
      <c r="L49" s="53"/>
      <c r="M49" s="3"/>
      <c r="N49" s="3"/>
      <c r="O49" s="3"/>
      <c r="P49" s="3"/>
      <c r="Q49" s="3"/>
      <c r="R49" s="3"/>
      <c r="S49" s="3"/>
      <c r="T49" s="3"/>
      <c r="U49" s="3"/>
      <c r="V49" s="3"/>
      <c r="W49" s="3"/>
      <c r="X49" s="3"/>
      <c r="Y49" s="3"/>
      <c r="Z49" s="3"/>
      <c r="AA49" s="3"/>
      <c r="AB49" s="3"/>
      <c r="AC49" s="3"/>
      <c r="AD49" s="45"/>
      <c r="AE49" s="46"/>
      <c r="AF49" s="47">
        <v>0.8</v>
      </c>
      <c r="AG49" s="49">
        <v>2.0</v>
      </c>
      <c r="AH49" s="49">
        <v>5.0</v>
      </c>
      <c r="AI49" s="49">
        <f>Max!$B$4*AF49</f>
        <v>80</v>
      </c>
      <c r="AJ49" s="3"/>
      <c r="AK49" s="45"/>
      <c r="AL49" s="46"/>
      <c r="AM49" s="47">
        <v>0.7</v>
      </c>
      <c r="AN49" s="48">
        <v>3.0</v>
      </c>
      <c r="AO49" s="49">
        <v>1.0</v>
      </c>
      <c r="AP49" s="49">
        <f>Max!$B$4*AM49</f>
        <v>70</v>
      </c>
      <c r="AQ49" s="3"/>
      <c r="AR49" s="28" t="s">
        <v>61</v>
      </c>
      <c r="AS49" s="28"/>
      <c r="AT49" s="37" t="s">
        <v>33</v>
      </c>
      <c r="AU49" s="26" t="s">
        <v>34</v>
      </c>
      <c r="AV49" s="26" t="s">
        <v>35</v>
      </c>
      <c r="AW49" s="26" t="s">
        <v>36</v>
      </c>
      <c r="AX49" s="3"/>
      <c r="AY49" s="3"/>
      <c r="AZ49" s="3"/>
      <c r="BA49" s="3"/>
      <c r="BB49" s="3"/>
      <c r="BC49" s="3"/>
      <c r="BD49" s="3"/>
      <c r="BE49" s="3"/>
      <c r="BF49" s="3"/>
      <c r="BG49" s="3"/>
    </row>
    <row r="50" ht="12.75" customHeight="1">
      <c r="A50" s="64">
        <v>4.0</v>
      </c>
      <c r="B50" s="65" t="s">
        <v>46</v>
      </c>
      <c r="C50" s="66">
        <v>0.75</v>
      </c>
      <c r="D50" s="91">
        <v>5.0</v>
      </c>
      <c r="E50" s="55">
        <v>5.0</v>
      </c>
      <c r="F50" s="55"/>
      <c r="G50" s="51" t="str">
        <f t="shared" si="17"/>
        <v>#REF!</v>
      </c>
      <c r="H50" s="52" t="str">
        <f t="shared" si="18"/>
        <v>#REF!</v>
      </c>
      <c r="I50" s="51"/>
      <c r="J50" s="52"/>
      <c r="K50" s="51"/>
      <c r="L50" s="53"/>
      <c r="M50" s="3"/>
      <c r="N50" s="3"/>
      <c r="O50" s="3"/>
      <c r="P50" s="3"/>
      <c r="Q50" s="3"/>
      <c r="R50" s="3"/>
      <c r="S50" s="3"/>
      <c r="T50" s="3"/>
      <c r="U50" s="3"/>
      <c r="V50" s="3"/>
      <c r="W50" s="3"/>
      <c r="X50" s="3"/>
      <c r="Y50" s="3"/>
      <c r="Z50" s="3"/>
      <c r="AA50" s="3"/>
      <c r="AB50" s="3"/>
      <c r="AC50" s="3"/>
      <c r="AD50" s="64">
        <v>3.0</v>
      </c>
      <c r="AE50" s="65" t="s">
        <v>46</v>
      </c>
      <c r="AF50" s="66">
        <v>0.8</v>
      </c>
      <c r="AG50" s="91">
        <v>4.0</v>
      </c>
      <c r="AH50" s="55">
        <v>5.0</v>
      </c>
      <c r="AI50" s="55"/>
      <c r="AJ50" s="3"/>
      <c r="AK50" s="45"/>
      <c r="AL50" s="46"/>
      <c r="AM50" s="47">
        <v>0.75</v>
      </c>
      <c r="AN50" s="48">
        <v>3.0</v>
      </c>
      <c r="AO50" s="49">
        <v>5.0</v>
      </c>
      <c r="AP50" s="49">
        <f>Max!$B$4*AM50</f>
        <v>75</v>
      </c>
      <c r="AQ50" s="3"/>
      <c r="AR50" s="69">
        <v>1.0</v>
      </c>
      <c r="AS50" s="70" t="s">
        <v>51</v>
      </c>
      <c r="AT50" s="71">
        <v>0.5</v>
      </c>
      <c r="AU50" s="72">
        <v>3.0</v>
      </c>
      <c r="AV50" s="72">
        <v>1.0</v>
      </c>
      <c r="AW50" s="72">
        <f>Max!$B$5*AT50</f>
        <v>50</v>
      </c>
      <c r="AX50" s="3"/>
      <c r="AY50" s="3"/>
      <c r="AZ50" s="3"/>
      <c r="BA50" s="3"/>
      <c r="BB50" s="3"/>
      <c r="BC50" s="3"/>
      <c r="BD50" s="3"/>
      <c r="BE50" s="3"/>
      <c r="BF50" s="3"/>
      <c r="BG50" s="3"/>
    </row>
    <row r="51" ht="12.75" customHeight="1">
      <c r="A51" s="64">
        <v>5.0</v>
      </c>
      <c r="B51" s="65" t="s">
        <v>48</v>
      </c>
      <c r="C51" s="66">
        <v>0.75</v>
      </c>
      <c r="D51" s="67">
        <v>5.0</v>
      </c>
      <c r="E51" s="68">
        <v>5.0</v>
      </c>
      <c r="F51" s="68"/>
      <c r="G51" s="13">
        <f>D51*E51</f>
        <v>25</v>
      </c>
      <c r="H51" s="52">
        <f>F51*G51</f>
        <v>0</v>
      </c>
      <c r="I51" s="51"/>
      <c r="J51" s="52"/>
      <c r="K51" s="51"/>
      <c r="L51" s="53"/>
      <c r="M51" s="3"/>
      <c r="N51" s="3"/>
      <c r="O51" s="3"/>
      <c r="P51" s="3"/>
      <c r="Q51" s="3"/>
      <c r="R51" s="3"/>
      <c r="S51" s="3"/>
      <c r="T51" s="3"/>
      <c r="U51" s="3"/>
      <c r="V51" s="3"/>
      <c r="W51" s="3"/>
      <c r="X51" s="3"/>
      <c r="Y51" s="3"/>
      <c r="Z51" s="3"/>
      <c r="AA51" s="3"/>
      <c r="AB51" s="3"/>
      <c r="AC51" s="3"/>
      <c r="AD51" s="56">
        <v>4.0</v>
      </c>
      <c r="AE51" s="80" t="s">
        <v>44</v>
      </c>
      <c r="AF51" s="58">
        <v>0.7</v>
      </c>
      <c r="AG51" s="55">
        <v>6.0</v>
      </c>
      <c r="AH51" s="55">
        <v>4.0</v>
      </c>
      <c r="AI51" s="55"/>
      <c r="AJ51" s="3"/>
      <c r="AK51" s="56">
        <v>3.0</v>
      </c>
      <c r="AL51" s="80" t="s">
        <v>44</v>
      </c>
      <c r="AM51" s="58">
        <v>0.7</v>
      </c>
      <c r="AN51" s="55">
        <v>6.0</v>
      </c>
      <c r="AO51" s="55">
        <v>5.0</v>
      </c>
      <c r="AP51" s="55"/>
      <c r="AQ51" s="3"/>
      <c r="AR51" s="69"/>
      <c r="AS51" s="70"/>
      <c r="AT51" s="71">
        <v>0.6</v>
      </c>
      <c r="AU51" s="72">
        <v>3.0</v>
      </c>
      <c r="AV51" s="72">
        <v>1.0</v>
      </c>
      <c r="AW51" s="72">
        <f>Max!$B$5*AT51</f>
        <v>60</v>
      </c>
      <c r="AX51" s="3"/>
      <c r="AY51" s="3"/>
      <c r="AZ51" s="3"/>
      <c r="BA51" s="3"/>
      <c r="BB51" s="3"/>
      <c r="BC51" s="3"/>
      <c r="BD51" s="3"/>
      <c r="BE51" s="3"/>
      <c r="BF51" s="3"/>
      <c r="BG51" s="3"/>
    </row>
    <row r="52" ht="12.75" customHeight="1">
      <c r="A52" s="3"/>
      <c r="B52" s="3"/>
      <c r="C52" s="3"/>
      <c r="D52" s="3"/>
      <c r="E52" s="3"/>
      <c r="F52" s="3"/>
      <c r="G52" s="51"/>
      <c r="H52" s="52"/>
      <c r="I52" s="51"/>
      <c r="J52" s="52"/>
      <c r="K52" s="51"/>
      <c r="L52" s="53"/>
      <c r="M52" s="3"/>
      <c r="N52" s="3"/>
      <c r="O52" s="3"/>
      <c r="P52" s="3"/>
      <c r="Q52" s="3"/>
      <c r="R52" s="3"/>
      <c r="S52" s="3"/>
      <c r="T52" s="3"/>
      <c r="U52" s="3"/>
      <c r="V52" s="3"/>
      <c r="W52" s="3"/>
      <c r="X52" s="3"/>
      <c r="Y52" s="3"/>
      <c r="Z52" s="3"/>
      <c r="AA52" s="3"/>
      <c r="AB52" s="3"/>
      <c r="AC52" s="3"/>
      <c r="AD52" s="64">
        <v>5.0</v>
      </c>
      <c r="AE52" s="65" t="s">
        <v>50</v>
      </c>
      <c r="AF52" s="66">
        <v>0.75</v>
      </c>
      <c r="AG52" s="67">
        <v>5.0</v>
      </c>
      <c r="AH52" s="68">
        <v>5.0</v>
      </c>
      <c r="AI52" s="68"/>
      <c r="AJ52" s="3"/>
      <c r="AK52" s="60">
        <v>4.0</v>
      </c>
      <c r="AL52" s="59" t="s">
        <v>46</v>
      </c>
      <c r="AM52" s="61">
        <v>0.75</v>
      </c>
      <c r="AN52" s="62">
        <v>5.0</v>
      </c>
      <c r="AO52" s="63">
        <v>5.0</v>
      </c>
      <c r="AP52" s="63"/>
      <c r="AQ52" s="3"/>
      <c r="AR52" s="69"/>
      <c r="AS52" s="70"/>
      <c r="AT52" s="71">
        <v>0.7</v>
      </c>
      <c r="AU52" s="72">
        <v>3.0</v>
      </c>
      <c r="AV52" s="72">
        <v>1.0</v>
      </c>
      <c r="AW52" s="72">
        <f>Max!$B$5*AT52</f>
        <v>70</v>
      </c>
      <c r="AX52" s="3"/>
      <c r="AY52" s="3"/>
      <c r="AZ52" s="3"/>
      <c r="BA52" s="3"/>
      <c r="BB52" s="3"/>
      <c r="BC52" s="3"/>
      <c r="BD52" s="3"/>
      <c r="BE52" s="3"/>
      <c r="BF52" s="3"/>
      <c r="BG52" s="3"/>
    </row>
    <row r="53" ht="12.75" customHeight="1">
      <c r="A53" s="28" t="s">
        <v>61</v>
      </c>
      <c r="B53" s="28"/>
      <c r="C53" s="37" t="s">
        <v>33</v>
      </c>
      <c r="D53" s="26" t="s">
        <v>34</v>
      </c>
      <c r="E53" s="26" t="s">
        <v>35</v>
      </c>
      <c r="F53" s="26" t="s">
        <v>36</v>
      </c>
      <c r="G53" s="51"/>
      <c r="H53" s="52"/>
      <c r="I53" s="51"/>
      <c r="J53" s="52"/>
      <c r="K53" s="51"/>
      <c r="L53" s="5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69"/>
      <c r="AS53" s="70"/>
      <c r="AT53" s="71">
        <v>0.75</v>
      </c>
      <c r="AU53" s="72">
        <v>2.0</v>
      </c>
      <c r="AV53" s="72">
        <v>4.0</v>
      </c>
      <c r="AW53" s="72">
        <f>Max!$B$5*AT53</f>
        <v>75</v>
      </c>
      <c r="AX53" s="3"/>
      <c r="AY53" s="3"/>
      <c r="AZ53" s="3"/>
      <c r="BA53" s="3"/>
      <c r="BB53" s="3"/>
      <c r="BC53" s="3"/>
      <c r="BD53" s="3"/>
      <c r="BE53" s="3"/>
      <c r="BF53" s="3"/>
      <c r="BG53" s="3"/>
    </row>
    <row r="54" ht="12.75" customHeight="1">
      <c r="A54" s="69">
        <v>1.0</v>
      </c>
      <c r="B54" s="70" t="s">
        <v>52</v>
      </c>
      <c r="C54" s="71">
        <v>0.5</v>
      </c>
      <c r="D54" s="72">
        <v>3.0</v>
      </c>
      <c r="E54" s="72">
        <v>1.0</v>
      </c>
      <c r="F54" s="72">
        <f>Max!$B$5*C54</f>
        <v>50</v>
      </c>
      <c r="G54" s="51"/>
      <c r="H54" s="52"/>
      <c r="I54" s="51"/>
      <c r="J54" s="52"/>
      <c r="K54" s="51"/>
      <c r="L54" s="53"/>
      <c r="M54" s="3"/>
      <c r="N54" s="3"/>
      <c r="O54" s="3"/>
      <c r="P54" s="3"/>
      <c r="Q54" s="3"/>
      <c r="R54" s="3"/>
      <c r="S54" s="3"/>
      <c r="T54" s="3"/>
      <c r="U54" s="3"/>
      <c r="V54" s="3"/>
      <c r="W54" s="3"/>
      <c r="X54" s="3"/>
      <c r="Y54" s="3"/>
      <c r="Z54" s="3"/>
      <c r="AA54" s="3"/>
      <c r="AB54" s="3"/>
      <c r="AC54" s="3"/>
      <c r="AD54" s="28" t="s">
        <v>61</v>
      </c>
      <c r="AE54" s="28"/>
      <c r="AF54" s="37" t="s">
        <v>33</v>
      </c>
      <c r="AG54" s="26" t="s">
        <v>34</v>
      </c>
      <c r="AH54" s="26" t="s">
        <v>35</v>
      </c>
      <c r="AI54" s="26" t="s">
        <v>36</v>
      </c>
      <c r="AJ54" s="3"/>
      <c r="AK54" s="28" t="s">
        <v>61</v>
      </c>
      <c r="AL54" s="28"/>
      <c r="AM54" s="37" t="s">
        <v>33</v>
      </c>
      <c r="AN54" s="26" t="s">
        <v>34</v>
      </c>
      <c r="AO54" s="26" t="s">
        <v>35</v>
      </c>
      <c r="AP54" s="26" t="s">
        <v>36</v>
      </c>
      <c r="AQ54" s="3"/>
      <c r="AR54" s="56">
        <v>2.0</v>
      </c>
      <c r="AS54" s="80" t="s">
        <v>64</v>
      </c>
      <c r="AT54" s="58">
        <v>0.85</v>
      </c>
      <c r="AU54" s="55">
        <v>3.0</v>
      </c>
      <c r="AV54" s="55">
        <v>5.0</v>
      </c>
      <c r="AW54" s="55"/>
      <c r="AX54" s="3"/>
      <c r="AY54" s="3"/>
      <c r="AZ54" s="3"/>
      <c r="BA54" s="3"/>
      <c r="BB54" s="3"/>
      <c r="BC54" s="3"/>
      <c r="BD54" s="3"/>
      <c r="BE54" s="3"/>
      <c r="BF54" s="3"/>
      <c r="BG54" s="3"/>
    </row>
    <row r="55" ht="12.75" customHeight="1">
      <c r="A55" s="69"/>
      <c r="B55" s="70"/>
      <c r="C55" s="71">
        <v>0.6</v>
      </c>
      <c r="D55" s="72">
        <v>3.0</v>
      </c>
      <c r="E55" s="72">
        <v>1.0</v>
      </c>
      <c r="F55" s="72">
        <f>Max!$B$5*C55</f>
        <v>60</v>
      </c>
      <c r="G55" s="51"/>
      <c r="H55" s="52"/>
      <c r="I55" s="51"/>
      <c r="J55" s="52"/>
      <c r="K55" s="51"/>
      <c r="L55" s="53"/>
      <c r="M55" s="3"/>
      <c r="N55" s="3"/>
      <c r="O55" s="3"/>
      <c r="P55" s="3"/>
      <c r="Q55" s="3"/>
      <c r="R55" s="3"/>
      <c r="S55" s="3"/>
      <c r="T55" s="3"/>
      <c r="U55" s="3"/>
      <c r="V55" s="3"/>
      <c r="W55" s="3"/>
      <c r="X55" s="3"/>
      <c r="Y55" s="3"/>
      <c r="Z55" s="3"/>
      <c r="AA55" s="3"/>
      <c r="AB55" s="3"/>
      <c r="AC55" s="3"/>
      <c r="AD55" s="69">
        <v>1.0</v>
      </c>
      <c r="AE55" s="70" t="s">
        <v>65</v>
      </c>
      <c r="AF55" s="71">
        <v>0.5</v>
      </c>
      <c r="AG55" s="72">
        <v>3.0</v>
      </c>
      <c r="AH55" s="72">
        <v>1.0</v>
      </c>
      <c r="AI55" s="72">
        <f>Max!$B$5*AF55</f>
        <v>50</v>
      </c>
      <c r="AJ55" s="3"/>
      <c r="AK55" s="69">
        <v>1.0</v>
      </c>
      <c r="AL55" s="70" t="s">
        <v>71</v>
      </c>
      <c r="AM55" s="71">
        <v>0.5</v>
      </c>
      <c r="AN55" s="72">
        <v>3.0</v>
      </c>
      <c r="AO55" s="72">
        <v>1.0</v>
      </c>
      <c r="AP55" s="72">
        <f>Max!$B$5*AM55</f>
        <v>50</v>
      </c>
      <c r="AQ55" s="3"/>
      <c r="AR55" s="69">
        <v>3.0</v>
      </c>
      <c r="AS55" s="70" t="s">
        <v>55</v>
      </c>
      <c r="AT55" s="71">
        <v>0.65</v>
      </c>
      <c r="AU55" s="72">
        <v>3.0</v>
      </c>
      <c r="AV55" s="72">
        <v>1.0</v>
      </c>
      <c r="AW55" s="72">
        <f>Max!$B$5*AT55</f>
        <v>65</v>
      </c>
      <c r="AX55" s="3"/>
      <c r="AY55" s="3"/>
      <c r="AZ55" s="3"/>
      <c r="BA55" s="3"/>
      <c r="BB55" s="3"/>
      <c r="BC55" s="3"/>
      <c r="BD55" s="3"/>
      <c r="BE55" s="3"/>
      <c r="BF55" s="3"/>
      <c r="BG55" s="3"/>
    </row>
    <row r="56" ht="12.75" customHeight="1">
      <c r="A56" s="69"/>
      <c r="B56" s="70"/>
      <c r="C56" s="71">
        <v>0.7</v>
      </c>
      <c r="D56" s="72">
        <v>2.0</v>
      </c>
      <c r="E56" s="72">
        <v>4.0</v>
      </c>
      <c r="F56" s="72">
        <f>Max!$B$5*C56</f>
        <v>70</v>
      </c>
      <c r="G56" s="82" t="str">
        <f t="shared" ref="G56:L56" si="19">SUM(G7:G55)</f>
        <v>#VALUE!</v>
      </c>
      <c r="H56" s="83" t="str">
        <f t="shared" si="19"/>
        <v>#VALUE!</v>
      </c>
      <c r="I56" s="82" t="str">
        <f t="shared" si="19"/>
        <v>#REF!</v>
      </c>
      <c r="J56" s="83" t="str">
        <f t="shared" si="19"/>
        <v>#REF!</v>
      </c>
      <c r="K56" s="82">
        <f t="shared" si="19"/>
        <v>36</v>
      </c>
      <c r="L56" s="83">
        <f t="shared" si="19"/>
        <v>2575</v>
      </c>
      <c r="M56" s="6" t="str">
        <f t="shared" ref="M56:P56" si="20">SUM(M11:M55)</f>
        <v>#VALUE!</v>
      </c>
      <c r="N56" s="6" t="str">
        <f t="shared" si="20"/>
        <v>#REF!</v>
      </c>
      <c r="O56" s="6" t="str">
        <f t="shared" si="20"/>
        <v>#REF!</v>
      </c>
      <c r="P56" s="3">
        <f t="shared" si="20"/>
        <v>28</v>
      </c>
      <c r="Q56" s="3"/>
      <c r="R56" s="6">
        <f t="shared" ref="R56:U56" si="21">SUM(R7:R55)</f>
        <v>29</v>
      </c>
      <c r="S56" s="6">
        <f t="shared" si="21"/>
        <v>14</v>
      </c>
      <c r="T56" s="6">
        <f t="shared" si="21"/>
        <v>13</v>
      </c>
      <c r="U56" s="6" t="str">
        <f t="shared" si="21"/>
        <v>#REF!</v>
      </c>
      <c r="V56" s="3"/>
      <c r="W56" s="6">
        <f t="shared" ref="W56:AA56" si="22">SUM(W22:W55)</f>
        <v>6</v>
      </c>
      <c r="X56" s="6">
        <f t="shared" si="22"/>
        <v>8</v>
      </c>
      <c r="Y56" s="6">
        <f t="shared" si="22"/>
        <v>7</v>
      </c>
      <c r="Z56" s="6">
        <f t="shared" si="22"/>
        <v>9</v>
      </c>
      <c r="AA56" s="6">
        <f t="shared" si="22"/>
        <v>6</v>
      </c>
      <c r="AB56" s="3"/>
      <c r="AC56" s="3"/>
      <c r="AD56" s="69"/>
      <c r="AE56" s="70"/>
      <c r="AF56" s="71">
        <v>0.6</v>
      </c>
      <c r="AG56" s="72">
        <v>3.0</v>
      </c>
      <c r="AH56" s="72">
        <v>1.0</v>
      </c>
      <c r="AI56" s="72">
        <f>Max!$B$5*AF56</f>
        <v>60</v>
      </c>
      <c r="AJ56" s="3"/>
      <c r="AK56" s="69"/>
      <c r="AL56" s="70"/>
      <c r="AM56" s="71">
        <v>0.6</v>
      </c>
      <c r="AN56" s="72">
        <v>3.0</v>
      </c>
      <c r="AO56" s="72">
        <v>1.0</v>
      </c>
      <c r="AP56" s="72">
        <f>Max!$B$5*AM56</f>
        <v>60</v>
      </c>
      <c r="AQ56" s="3"/>
      <c r="AR56" s="69"/>
      <c r="AS56" s="70"/>
      <c r="AT56" s="71">
        <v>0.75</v>
      </c>
      <c r="AU56" s="72">
        <v>3.0</v>
      </c>
      <c r="AV56" s="72">
        <v>1.0</v>
      </c>
      <c r="AW56" s="72">
        <f>Max!$B$5*AT56</f>
        <v>75</v>
      </c>
      <c r="AX56" s="3"/>
      <c r="AY56" s="3"/>
      <c r="AZ56" s="3"/>
      <c r="BA56" s="3"/>
      <c r="BB56" s="3"/>
      <c r="BC56" s="3"/>
      <c r="BD56" s="3"/>
      <c r="BE56" s="3"/>
      <c r="BF56" s="3"/>
      <c r="BG56" s="3"/>
    </row>
    <row r="57" ht="12.75" customHeight="1">
      <c r="A57" s="56">
        <v>2.0</v>
      </c>
      <c r="B57" s="80" t="s">
        <v>64</v>
      </c>
      <c r="C57" s="58">
        <v>0.85</v>
      </c>
      <c r="D57" s="55">
        <v>3.0</v>
      </c>
      <c r="E57" s="55">
        <v>5.0</v>
      </c>
      <c r="F57" s="55"/>
      <c r="G57" s="51"/>
      <c r="H57" s="52"/>
      <c r="I57" s="51"/>
      <c r="J57" s="52"/>
      <c r="K57" s="51"/>
      <c r="L57" s="53"/>
      <c r="M57" s="3" t="s">
        <v>37</v>
      </c>
      <c r="N57" s="3" t="s">
        <v>38</v>
      </c>
      <c r="O57" s="3" t="s">
        <v>39</v>
      </c>
      <c r="P57" s="3" t="s">
        <v>40</v>
      </c>
      <c r="Q57" s="3" t="s">
        <v>41</v>
      </c>
      <c r="R57" s="3" t="s">
        <v>37</v>
      </c>
      <c r="S57" s="3" t="s">
        <v>38</v>
      </c>
      <c r="T57" s="3" t="s">
        <v>39</v>
      </c>
      <c r="U57" s="3" t="s">
        <v>40</v>
      </c>
      <c r="V57" s="3" t="s">
        <v>41</v>
      </c>
      <c r="W57" s="3" t="s">
        <v>37</v>
      </c>
      <c r="X57" s="3" t="s">
        <v>38</v>
      </c>
      <c r="Y57" s="3" t="s">
        <v>39</v>
      </c>
      <c r="Z57" s="3" t="s">
        <v>40</v>
      </c>
      <c r="AA57" s="3" t="s">
        <v>41</v>
      </c>
      <c r="AB57" s="3"/>
      <c r="AC57" s="3"/>
      <c r="AD57" s="69"/>
      <c r="AE57" s="70"/>
      <c r="AF57" s="71">
        <v>0.7</v>
      </c>
      <c r="AG57" s="72">
        <v>3.0</v>
      </c>
      <c r="AH57" s="72">
        <v>1.0</v>
      </c>
      <c r="AI57" s="72">
        <f>Max!$B$5*AF57</f>
        <v>70</v>
      </c>
      <c r="AJ57" s="3"/>
      <c r="AK57" s="69"/>
      <c r="AL57" s="70"/>
      <c r="AM57" s="71">
        <v>0.7</v>
      </c>
      <c r="AN57" s="72">
        <v>3.0</v>
      </c>
      <c r="AO57" s="72">
        <v>1.0</v>
      </c>
      <c r="AP57" s="72">
        <f>Max!$B$5*AM57</f>
        <v>70</v>
      </c>
      <c r="AQ57" s="3"/>
      <c r="AR57" s="69"/>
      <c r="AS57" s="70"/>
      <c r="AT57" s="71">
        <v>0.85</v>
      </c>
      <c r="AU57" s="72">
        <v>3.0</v>
      </c>
      <c r="AV57" s="72">
        <v>4.0</v>
      </c>
      <c r="AW57" s="72">
        <f>Max!$B$5*AT57</f>
        <v>85</v>
      </c>
      <c r="AX57" s="3"/>
      <c r="AY57" s="3"/>
      <c r="AZ57" s="3"/>
      <c r="BA57" s="3"/>
      <c r="BB57" s="3"/>
      <c r="BC57" s="3"/>
      <c r="BD57" s="3"/>
      <c r="BE57" s="3"/>
      <c r="BF57" s="3"/>
      <c r="BG57" s="3"/>
    </row>
    <row r="58" ht="12.75" customHeight="1">
      <c r="A58" s="69">
        <v>3.0</v>
      </c>
      <c r="B58" s="70" t="s">
        <v>65</v>
      </c>
      <c r="C58" s="71">
        <v>0.5</v>
      </c>
      <c r="D58" s="72">
        <v>3.0</v>
      </c>
      <c r="E58" s="72">
        <v>1.0</v>
      </c>
      <c r="F58" s="72">
        <f>Max!$B$5*C58</f>
        <v>50</v>
      </c>
      <c r="G58" s="51"/>
      <c r="H58" s="52"/>
      <c r="I58" s="51"/>
      <c r="J58" s="52"/>
      <c r="K58" s="51"/>
      <c r="L58" s="53"/>
      <c r="M58" s="3"/>
      <c r="N58" s="3"/>
      <c r="O58" s="3"/>
      <c r="P58" s="3"/>
      <c r="Q58" s="3"/>
      <c r="R58" s="3"/>
      <c r="S58" s="3"/>
      <c r="T58" s="3"/>
      <c r="U58" s="3"/>
      <c r="V58" s="3"/>
      <c r="W58" s="3"/>
      <c r="X58" s="3"/>
      <c r="Y58" s="3"/>
      <c r="Z58" s="3"/>
      <c r="AA58" s="3"/>
      <c r="AB58" s="3"/>
      <c r="AC58" s="3"/>
      <c r="AD58" s="69"/>
      <c r="AE58" s="70"/>
      <c r="AF58" s="71">
        <v>0.75</v>
      </c>
      <c r="AG58" s="72">
        <v>2.0</v>
      </c>
      <c r="AH58" s="72">
        <v>4.0</v>
      </c>
      <c r="AI58" s="72">
        <f>Max!$B$5*AF58</f>
        <v>75</v>
      </c>
      <c r="AJ58" s="3"/>
      <c r="AK58" s="69"/>
      <c r="AL58" s="70"/>
      <c r="AM58" s="71">
        <v>0.8</v>
      </c>
      <c r="AN58" s="72">
        <v>2.0</v>
      </c>
      <c r="AO58" s="72">
        <v>4.0</v>
      </c>
      <c r="AP58" s="72">
        <f>Max!$B$5*AM58</f>
        <v>80</v>
      </c>
      <c r="AQ58" s="3"/>
      <c r="AR58" s="60">
        <v>4.0</v>
      </c>
      <c r="AS58" s="59" t="s">
        <v>46</v>
      </c>
      <c r="AT58" s="61">
        <v>0.75</v>
      </c>
      <c r="AU58" s="62">
        <v>5.0</v>
      </c>
      <c r="AV58" s="63">
        <v>5.0</v>
      </c>
      <c r="AW58" s="63"/>
      <c r="AX58" s="3"/>
      <c r="AY58" s="3"/>
      <c r="AZ58" s="3"/>
      <c r="BA58" s="3"/>
      <c r="BB58" s="3"/>
      <c r="BC58" s="3"/>
      <c r="BD58" s="3"/>
      <c r="BE58" s="3"/>
      <c r="BF58" s="3"/>
      <c r="BG58" s="3"/>
    </row>
    <row r="59" ht="12.75" customHeight="1">
      <c r="A59" s="69"/>
      <c r="B59" s="70"/>
      <c r="C59" s="71">
        <v>0.6</v>
      </c>
      <c r="D59" s="72">
        <v>3.0</v>
      </c>
      <c r="E59" s="72">
        <v>1.0</v>
      </c>
      <c r="F59" s="72">
        <f>Max!$B$5*C59</f>
        <v>60</v>
      </c>
      <c r="G59" s="51"/>
      <c r="H59" s="52"/>
      <c r="I59" s="51">
        <f t="shared" ref="I59:I62" si="23">AG7*AH7</f>
        <v>5</v>
      </c>
      <c r="J59" s="52">
        <f t="shared" ref="J59:J62" si="24">AI7*I59</f>
        <v>250</v>
      </c>
      <c r="K59" s="51"/>
      <c r="L59" s="53"/>
      <c r="M59" s="3"/>
      <c r="N59" s="3"/>
      <c r="O59" s="3"/>
      <c r="P59" s="3"/>
      <c r="Q59" s="3"/>
      <c r="R59" s="6">
        <f>I59</f>
        <v>5</v>
      </c>
      <c r="S59" s="6">
        <f>I60</f>
        <v>4</v>
      </c>
      <c r="T59" s="6">
        <f>I61</f>
        <v>3</v>
      </c>
      <c r="U59" s="6">
        <f>I62</f>
        <v>12</v>
      </c>
      <c r="V59" s="6">
        <v>0.0</v>
      </c>
      <c r="W59" s="3"/>
      <c r="X59" s="3"/>
      <c r="Y59" s="3"/>
      <c r="Z59" s="3"/>
      <c r="AA59" s="3"/>
      <c r="AB59" s="3"/>
      <c r="AC59" s="3"/>
      <c r="AD59" s="45">
        <v>2.0</v>
      </c>
      <c r="AE59" s="46" t="s">
        <v>66</v>
      </c>
      <c r="AF59" s="47">
        <v>0.5</v>
      </c>
      <c r="AG59" s="48">
        <v>3.0</v>
      </c>
      <c r="AH59" s="49">
        <v>1.0</v>
      </c>
      <c r="AI59" s="49">
        <f>Max!$B$4*AF59</f>
        <v>50</v>
      </c>
      <c r="AJ59" s="3"/>
      <c r="AK59" s="60">
        <v>2.0</v>
      </c>
      <c r="AL59" s="59" t="s">
        <v>74</v>
      </c>
      <c r="AM59" s="61">
        <v>0.75</v>
      </c>
      <c r="AN59" s="55">
        <v>5.0</v>
      </c>
      <c r="AO59" s="55">
        <v>5.0</v>
      </c>
      <c r="AP59" s="55"/>
      <c r="AQ59" s="3"/>
      <c r="AR59" s="64">
        <v>5.0</v>
      </c>
      <c r="AS59" s="65" t="s">
        <v>54</v>
      </c>
      <c r="AT59" s="66">
        <v>0.7</v>
      </c>
      <c r="AU59" s="67">
        <v>6.0</v>
      </c>
      <c r="AV59" s="68">
        <v>5.0</v>
      </c>
      <c r="AW59" s="68"/>
      <c r="AX59" s="3"/>
      <c r="AY59" s="3"/>
      <c r="AZ59" s="3"/>
      <c r="BA59" s="3"/>
      <c r="BB59" s="3"/>
      <c r="BC59" s="3"/>
      <c r="BD59" s="3"/>
      <c r="BE59" s="3"/>
      <c r="BF59" s="3"/>
      <c r="BG59" s="3"/>
    </row>
    <row r="60" ht="12.75" customHeight="1">
      <c r="A60" s="69"/>
      <c r="B60" s="70"/>
      <c r="C60" s="71">
        <v>0.7</v>
      </c>
      <c r="D60" s="72">
        <v>3.0</v>
      </c>
      <c r="E60" s="72">
        <v>1.0</v>
      </c>
      <c r="F60" s="72">
        <f>Max!$B$5*C60</f>
        <v>70</v>
      </c>
      <c r="G60" s="51"/>
      <c r="H60" s="52"/>
      <c r="I60" s="51">
        <f t="shared" si="23"/>
        <v>4</v>
      </c>
      <c r="J60" s="52">
        <f t="shared" si="24"/>
        <v>240</v>
      </c>
      <c r="K60" s="51"/>
      <c r="L60" s="53"/>
      <c r="M60" s="3"/>
      <c r="N60" s="3"/>
      <c r="O60" s="3"/>
      <c r="P60" s="3"/>
      <c r="Q60" s="3"/>
      <c r="R60" s="3"/>
      <c r="S60" s="3"/>
      <c r="T60" s="3"/>
      <c r="U60" s="3"/>
      <c r="V60" s="3"/>
      <c r="W60" s="3"/>
      <c r="X60" s="3"/>
      <c r="Y60" s="3"/>
      <c r="Z60" s="3"/>
      <c r="AA60" s="3"/>
      <c r="AB60" s="3"/>
      <c r="AC60" s="3"/>
      <c r="AD60" s="45"/>
      <c r="AE60" s="46"/>
      <c r="AF60" s="47">
        <v>0.6</v>
      </c>
      <c r="AG60" s="48">
        <v>3.0</v>
      </c>
      <c r="AH60" s="49">
        <v>1.0</v>
      </c>
      <c r="AI60" s="49">
        <f>Max!$B$4*AF60</f>
        <v>60</v>
      </c>
      <c r="AJ60" s="3"/>
      <c r="AK60" s="64">
        <v>3.0</v>
      </c>
      <c r="AL60" s="65" t="s">
        <v>60</v>
      </c>
      <c r="AM60" s="66">
        <v>0.7</v>
      </c>
      <c r="AN60" s="91">
        <v>6.0</v>
      </c>
      <c r="AO60" s="55">
        <v>5.0</v>
      </c>
      <c r="AP60" s="55"/>
      <c r="AQ60" s="3"/>
      <c r="AX60" s="3"/>
      <c r="AY60" s="3"/>
      <c r="AZ60" s="3"/>
      <c r="BA60" s="3"/>
      <c r="BB60" s="3"/>
      <c r="BC60" s="3"/>
      <c r="BD60" s="3"/>
      <c r="BE60" s="3"/>
      <c r="BF60" s="3"/>
      <c r="BG60" s="3"/>
    </row>
    <row r="61" ht="12.75" customHeight="1">
      <c r="A61" s="69"/>
      <c r="B61" s="70"/>
      <c r="C61" s="71">
        <v>0.75</v>
      </c>
      <c r="D61" s="72">
        <v>2.0</v>
      </c>
      <c r="E61" s="72">
        <v>4.0</v>
      </c>
      <c r="F61" s="72">
        <f>Max!$B$5*C61</f>
        <v>75</v>
      </c>
      <c r="G61" s="51"/>
      <c r="H61" s="52"/>
      <c r="I61" s="51">
        <f t="shared" si="23"/>
        <v>3</v>
      </c>
      <c r="J61" s="52">
        <f t="shared" si="24"/>
        <v>210</v>
      </c>
      <c r="K61" s="51"/>
      <c r="L61" s="53"/>
      <c r="M61" s="3"/>
      <c r="N61" s="3"/>
      <c r="O61" s="3"/>
      <c r="P61" s="3"/>
      <c r="Q61" s="3"/>
      <c r="R61" s="3"/>
      <c r="S61" s="3"/>
      <c r="T61" s="3"/>
      <c r="U61" s="3"/>
      <c r="V61" s="3"/>
      <c r="W61" s="3"/>
      <c r="X61" s="3"/>
      <c r="Y61" s="3"/>
      <c r="Z61" s="3"/>
      <c r="AA61" s="3"/>
      <c r="AB61" s="3"/>
      <c r="AC61" s="3"/>
      <c r="AD61" s="45"/>
      <c r="AE61" s="46"/>
      <c r="AF61" s="47">
        <v>0.7</v>
      </c>
      <c r="AG61" s="48">
        <v>3.0</v>
      </c>
      <c r="AH61" s="49">
        <v>4.0</v>
      </c>
      <c r="AI61" s="49">
        <f>Max!$B$4*AF61</f>
        <v>70</v>
      </c>
      <c r="AJ61" s="3"/>
      <c r="AK61" s="64">
        <v>4.0</v>
      </c>
      <c r="AL61" s="65" t="s">
        <v>70</v>
      </c>
      <c r="AM61" s="66">
        <v>0.65</v>
      </c>
      <c r="AN61" s="92">
        <v>8.0</v>
      </c>
      <c r="AO61" s="68">
        <v>4.0</v>
      </c>
      <c r="AP61" s="68"/>
      <c r="AQ61" s="3"/>
      <c r="AR61" s="3"/>
      <c r="AS61" s="3"/>
      <c r="AT61" s="3"/>
      <c r="AU61" s="3"/>
      <c r="AV61" s="3"/>
      <c r="AW61" s="3"/>
      <c r="AX61" s="3"/>
      <c r="AY61" s="3"/>
      <c r="AZ61" s="3"/>
      <c r="BA61" s="3"/>
      <c r="BB61" s="3"/>
      <c r="BC61" s="3"/>
      <c r="BD61" s="3"/>
      <c r="BE61" s="3"/>
      <c r="BF61" s="3"/>
      <c r="BG61" s="3"/>
    </row>
    <row r="62" ht="12.75" customHeight="1">
      <c r="A62" s="56">
        <v>4.0</v>
      </c>
      <c r="B62" s="57" t="s">
        <v>60</v>
      </c>
      <c r="C62" s="58">
        <v>0.7</v>
      </c>
      <c r="D62" s="55">
        <v>6.0</v>
      </c>
      <c r="E62" s="55">
        <v>5.0</v>
      </c>
      <c r="F62" s="55"/>
      <c r="G62" s="51"/>
      <c r="H62" s="52"/>
      <c r="I62" s="51">
        <f t="shared" si="23"/>
        <v>12</v>
      </c>
      <c r="J62" s="52">
        <f t="shared" si="24"/>
        <v>960</v>
      </c>
      <c r="K62" s="51"/>
      <c r="L62" s="53"/>
      <c r="M62" s="3"/>
      <c r="N62" s="3"/>
      <c r="O62" s="3"/>
      <c r="P62" s="3"/>
      <c r="Q62" s="3"/>
      <c r="R62" s="3"/>
      <c r="S62" s="3"/>
      <c r="T62" s="3"/>
      <c r="U62" s="3"/>
      <c r="V62" s="3"/>
      <c r="W62" s="3"/>
      <c r="X62" s="3"/>
      <c r="Y62" s="3"/>
      <c r="Z62" s="3"/>
      <c r="AA62" s="3"/>
      <c r="AB62" s="3"/>
      <c r="AC62" s="3"/>
      <c r="AD62" s="64">
        <v>3.0</v>
      </c>
      <c r="AE62" s="65" t="s">
        <v>48</v>
      </c>
      <c r="AF62" s="66">
        <v>0.75</v>
      </c>
      <c r="AG62" s="67">
        <v>5.0</v>
      </c>
      <c r="AH62" s="68">
        <v>5.0</v>
      </c>
      <c r="AI62" s="68"/>
      <c r="AJ62" s="3"/>
      <c r="AK62" s="3"/>
      <c r="AL62" s="3"/>
      <c r="AM62" s="3"/>
      <c r="AN62" s="3"/>
      <c r="AO62" s="3"/>
      <c r="AP62" s="3"/>
      <c r="AQ62" s="3"/>
      <c r="AR62" s="3"/>
      <c r="AS62" s="3"/>
      <c r="AT62" s="3"/>
      <c r="AU62" s="3"/>
      <c r="AV62" s="3"/>
      <c r="AW62" s="3"/>
      <c r="AX62" s="3"/>
      <c r="AY62" s="3"/>
      <c r="AZ62" s="3"/>
      <c r="BA62" s="3"/>
      <c r="BB62" s="3"/>
      <c r="BC62" s="3"/>
      <c r="BD62" s="3"/>
      <c r="BE62" s="3"/>
      <c r="BF62" s="3"/>
      <c r="BG62" s="3"/>
    </row>
    <row r="63" ht="12.75" customHeight="1">
      <c r="A63" s="64">
        <v>4.0</v>
      </c>
      <c r="B63" s="65" t="s">
        <v>50</v>
      </c>
      <c r="C63" s="66">
        <v>0.65</v>
      </c>
      <c r="D63" s="68">
        <v>8.0</v>
      </c>
      <c r="E63" s="68">
        <v>4.0</v>
      </c>
      <c r="F63" s="68"/>
      <c r="G63" s="51">
        <f t="shared" ref="G63:G66" si="25">AG11*AH11</f>
        <v>5</v>
      </c>
      <c r="H63" s="52">
        <f t="shared" ref="H63:H66" si="26">AI11*G63</f>
        <v>250</v>
      </c>
      <c r="I63" s="51"/>
      <c r="J63" s="52"/>
      <c r="K63" s="51"/>
      <c r="L63" s="53"/>
      <c r="M63" s="6">
        <f>G63</f>
        <v>5</v>
      </c>
      <c r="N63" s="6">
        <f>G64</f>
        <v>4</v>
      </c>
      <c r="O63" s="6">
        <f>G65</f>
        <v>3</v>
      </c>
      <c r="P63" s="6">
        <f>G66</f>
        <v>15</v>
      </c>
      <c r="Q63" s="3"/>
      <c r="R63" s="3"/>
      <c r="S63" s="3"/>
      <c r="T63" s="3"/>
      <c r="U63" s="3"/>
      <c r="V63" s="3"/>
      <c r="W63" s="3"/>
      <c r="X63" s="3"/>
      <c r="Y63" s="3"/>
      <c r="Z63" s="3"/>
      <c r="AA63" s="3"/>
      <c r="AB63" s="3"/>
      <c r="AC63" s="3"/>
      <c r="AD63" s="64">
        <v>4.0</v>
      </c>
      <c r="AE63" s="65" t="s">
        <v>75</v>
      </c>
      <c r="AF63" s="66">
        <v>0.7</v>
      </c>
      <c r="AG63" s="67">
        <v>6.0</v>
      </c>
      <c r="AH63" s="68">
        <v>5.0</v>
      </c>
      <c r="AI63" s="68"/>
      <c r="AJ63" s="3"/>
      <c r="AK63" s="3"/>
      <c r="AL63" s="3"/>
      <c r="AM63" s="3"/>
      <c r="AN63" s="3"/>
      <c r="AO63" s="3"/>
      <c r="AP63" s="3"/>
      <c r="AQ63" s="3"/>
      <c r="AR63" s="3"/>
      <c r="AS63" s="3"/>
      <c r="AT63" s="3"/>
      <c r="AU63" s="3"/>
      <c r="AV63" s="3"/>
      <c r="AW63" s="3"/>
      <c r="AX63" s="3"/>
      <c r="AY63" s="3"/>
      <c r="AZ63" s="3"/>
      <c r="BA63" s="3"/>
      <c r="BB63" s="3"/>
      <c r="BC63" s="3"/>
      <c r="BD63" s="3"/>
      <c r="BE63" s="3"/>
      <c r="BF63" s="3"/>
      <c r="BG63" s="3"/>
    </row>
    <row r="64" ht="12.75" customHeight="1">
      <c r="A64" s="3"/>
      <c r="B64" s="3"/>
      <c r="C64" s="3"/>
      <c r="D64" s="3"/>
      <c r="E64" s="3"/>
      <c r="F64" s="3"/>
      <c r="G64" s="51">
        <f t="shared" si="25"/>
        <v>4</v>
      </c>
      <c r="H64" s="52">
        <f t="shared" si="26"/>
        <v>240</v>
      </c>
      <c r="I64" s="51"/>
      <c r="J64" s="52"/>
      <c r="K64" s="51"/>
      <c r="L64" s="5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row>
    <row r="65" ht="12.75" customHeight="1">
      <c r="A65" s="3"/>
      <c r="B65" s="3"/>
      <c r="C65" s="3"/>
      <c r="D65" s="3"/>
      <c r="E65" s="3"/>
      <c r="F65" s="3"/>
      <c r="G65" s="51">
        <f t="shared" si="25"/>
        <v>3</v>
      </c>
      <c r="H65" s="52">
        <f t="shared" si="26"/>
        <v>210</v>
      </c>
      <c r="I65" s="51"/>
      <c r="J65" s="52"/>
      <c r="K65" s="51"/>
      <c r="L65" s="5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row>
    <row r="66" ht="12.75" customHeight="1">
      <c r="A66" s="3"/>
      <c r="B66" s="3"/>
      <c r="C66" s="3"/>
      <c r="D66" s="3"/>
      <c r="E66" s="3"/>
      <c r="F66" s="3"/>
      <c r="G66" s="51">
        <f t="shared" si="25"/>
        <v>15</v>
      </c>
      <c r="H66" s="52">
        <f t="shared" si="26"/>
        <v>1200</v>
      </c>
      <c r="I66" s="51"/>
      <c r="J66" s="52"/>
      <c r="K66" s="51"/>
      <c r="L66" s="5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row>
    <row r="67" ht="12.75" customHeight="1">
      <c r="A67" s="3"/>
      <c r="B67" s="3"/>
      <c r="C67" s="3"/>
      <c r="D67" s="3"/>
      <c r="E67" s="3"/>
      <c r="F67" s="3"/>
      <c r="G67" s="51"/>
      <c r="H67" s="52"/>
      <c r="I67" s="51">
        <f t="shared" ref="I67:I70" si="27">AG15*AH15</f>
        <v>32</v>
      </c>
      <c r="J67" s="52">
        <f t="shared" ref="J67:J70" si="28">AI15*I67</f>
        <v>0</v>
      </c>
      <c r="K67" s="51"/>
      <c r="L67" s="53"/>
      <c r="M67" s="3"/>
      <c r="N67" s="3"/>
      <c r="O67" s="3"/>
      <c r="P67" s="3"/>
      <c r="Q67" s="3"/>
      <c r="R67" s="6">
        <f>I67</f>
        <v>32</v>
      </c>
      <c r="S67" s="6">
        <f>I68</f>
        <v>40</v>
      </c>
      <c r="T67" s="6">
        <f>I69</f>
        <v>25</v>
      </c>
      <c r="U67" s="6">
        <f>I70</f>
        <v>0</v>
      </c>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row>
    <row r="68" ht="12.75" customHeight="1">
      <c r="A68" s="3"/>
      <c r="B68" s="3"/>
      <c r="C68" s="3"/>
      <c r="D68" s="3"/>
      <c r="E68" s="3"/>
      <c r="F68" s="3"/>
      <c r="G68" s="51"/>
      <c r="H68" s="52"/>
      <c r="I68" s="51">
        <f t="shared" si="27"/>
        <v>40</v>
      </c>
      <c r="J68" s="52">
        <f t="shared" si="28"/>
        <v>0</v>
      </c>
      <c r="K68" s="51"/>
      <c r="L68" s="5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row>
    <row r="69" ht="12.75" customHeight="1">
      <c r="A69" s="3"/>
      <c r="B69" s="3"/>
      <c r="C69" s="3"/>
      <c r="D69" s="3"/>
      <c r="E69" s="3"/>
      <c r="F69" s="3"/>
      <c r="G69" s="51"/>
      <c r="H69" s="52"/>
      <c r="I69" s="51">
        <f t="shared" si="27"/>
        <v>25</v>
      </c>
      <c r="J69" s="52">
        <f t="shared" si="28"/>
        <v>0</v>
      </c>
      <c r="K69" s="51"/>
      <c r="L69" s="5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row>
    <row r="70" ht="12.75" customHeight="1">
      <c r="A70" s="3"/>
      <c r="B70" s="3"/>
      <c r="C70" s="3"/>
      <c r="D70" s="3"/>
      <c r="E70" s="3"/>
      <c r="F70" s="3"/>
      <c r="G70" s="51"/>
      <c r="H70" s="52"/>
      <c r="I70" s="51">
        <f t="shared" si="27"/>
        <v>0</v>
      </c>
      <c r="J70" s="52">
        <f t="shared" si="28"/>
        <v>0</v>
      </c>
      <c r="K70" s="51"/>
      <c r="L70" s="5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row>
    <row r="71" ht="12.75" customHeight="1">
      <c r="A71" s="3"/>
      <c r="B71" s="3"/>
      <c r="C71" s="3"/>
      <c r="D71" s="3"/>
      <c r="E71" s="3"/>
      <c r="F71" s="3"/>
      <c r="G71" s="51"/>
      <c r="H71" s="52"/>
      <c r="I71" s="51"/>
      <c r="J71" s="52"/>
      <c r="K71" s="51"/>
      <c r="L71" s="5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row>
    <row r="72" ht="12.75" customHeight="1">
      <c r="A72" s="28"/>
      <c r="B72" s="57"/>
      <c r="C72" s="36"/>
      <c r="D72" s="13"/>
      <c r="E72" s="13"/>
      <c r="F72" s="13"/>
      <c r="G72" s="51"/>
      <c r="H72" s="52"/>
      <c r="I72" s="51"/>
      <c r="J72" s="52"/>
      <c r="K72" s="51"/>
      <c r="L72" s="5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row>
    <row r="73" ht="12.75" customHeight="1">
      <c r="A73" s="28"/>
      <c r="B73" s="57"/>
      <c r="C73" s="36"/>
      <c r="D73" s="13"/>
      <c r="E73" s="13"/>
      <c r="F73" s="13"/>
      <c r="G73" s="51"/>
      <c r="H73" s="52"/>
      <c r="I73" s="51"/>
      <c r="J73" s="52"/>
      <c r="K73" s="51"/>
      <c r="L73" s="5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row>
    <row r="74" ht="12.75" customHeight="1">
      <c r="A74" s="28"/>
      <c r="B74" s="57"/>
      <c r="C74" s="36"/>
      <c r="D74" s="13"/>
      <c r="E74" s="13"/>
      <c r="F74" s="13"/>
      <c r="G74" s="51"/>
      <c r="H74" s="52"/>
      <c r="I74" s="51"/>
      <c r="J74" s="52"/>
      <c r="K74" s="51"/>
      <c r="L74" s="5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row>
    <row r="75" ht="12.75" customHeight="1">
      <c r="A75" s="28"/>
      <c r="B75" s="57"/>
      <c r="C75" s="36"/>
      <c r="D75" s="13"/>
      <c r="E75" s="13"/>
      <c r="F75" s="13"/>
      <c r="G75" s="51"/>
      <c r="H75" s="52"/>
      <c r="I75" s="51"/>
      <c r="J75" s="52"/>
      <c r="K75" s="51">
        <f t="shared" ref="K75:K77" si="29">AG23*AH23</f>
        <v>6</v>
      </c>
      <c r="L75" s="53">
        <f t="shared" ref="L75:L77" si="30">AI23*K75</f>
        <v>480</v>
      </c>
      <c r="M75" s="3"/>
      <c r="N75" s="3"/>
      <c r="O75" s="3"/>
      <c r="P75" s="3"/>
      <c r="Q75" s="3"/>
      <c r="R75" s="3"/>
      <c r="S75" s="3"/>
      <c r="T75" s="3"/>
      <c r="U75" s="3"/>
      <c r="V75" s="3"/>
      <c r="W75" s="6">
        <f>K75</f>
        <v>6</v>
      </c>
      <c r="X75" s="6">
        <f>K76</f>
        <v>4</v>
      </c>
      <c r="Y75" s="6">
        <f>K77</f>
        <v>3</v>
      </c>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row>
    <row r="76" ht="12.75" customHeight="1">
      <c r="A76" s="28"/>
      <c r="B76" s="57"/>
      <c r="C76" s="36"/>
      <c r="D76" s="13"/>
      <c r="E76" s="13"/>
      <c r="F76" s="13"/>
      <c r="G76" s="51"/>
      <c r="H76" s="52"/>
      <c r="I76" s="51"/>
      <c r="J76" s="52"/>
      <c r="K76" s="51">
        <f t="shared" si="29"/>
        <v>4</v>
      </c>
      <c r="L76" s="53">
        <f t="shared" si="30"/>
        <v>340</v>
      </c>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row>
    <row r="77" ht="12.75" customHeight="1">
      <c r="A77" s="28"/>
      <c r="B77" s="57"/>
      <c r="C77" s="36"/>
      <c r="D77" s="13"/>
      <c r="E77" s="13"/>
      <c r="F77" s="13"/>
      <c r="G77" s="51"/>
      <c r="H77" s="52"/>
      <c r="I77" s="51"/>
      <c r="J77" s="52"/>
      <c r="K77" s="51">
        <f t="shared" si="29"/>
        <v>3</v>
      </c>
      <c r="L77" s="53">
        <f t="shared" si="30"/>
        <v>240</v>
      </c>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row>
    <row r="78" ht="12.75" customHeight="1">
      <c r="A78" s="28"/>
      <c r="B78" s="57"/>
      <c r="C78" s="36"/>
      <c r="D78" s="13"/>
      <c r="E78" s="13"/>
      <c r="F78" s="13"/>
      <c r="G78" s="51"/>
      <c r="H78" s="52"/>
      <c r="I78" s="51">
        <f t="shared" ref="I78:I81" si="31">AG26*AH26</f>
        <v>5</v>
      </c>
      <c r="J78" s="52">
        <f t="shared" ref="J78:J81" si="32">AI26*I78</f>
        <v>350</v>
      </c>
      <c r="K78" s="51"/>
      <c r="L78" s="53"/>
      <c r="M78" s="3"/>
      <c r="N78" s="3"/>
      <c r="O78" s="3"/>
      <c r="P78" s="3"/>
      <c r="Q78" s="3"/>
      <c r="R78" s="6">
        <f>I78</f>
        <v>5</v>
      </c>
      <c r="S78" s="6">
        <f>I79</f>
        <v>7</v>
      </c>
      <c r="T78" s="6">
        <f>I80+I81</f>
        <v>13</v>
      </c>
      <c r="U78" s="6">
        <v>0.0</v>
      </c>
      <c r="V78" s="3">
        <v>0.0</v>
      </c>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row>
    <row r="79" ht="12.75" customHeight="1">
      <c r="A79" s="28"/>
      <c r="B79" s="57"/>
      <c r="C79" s="36"/>
      <c r="D79" s="13"/>
      <c r="E79" s="13"/>
      <c r="F79" s="13"/>
      <c r="G79" s="51"/>
      <c r="H79" s="52"/>
      <c r="I79" s="51">
        <f t="shared" si="31"/>
        <v>7</v>
      </c>
      <c r="J79" s="52">
        <f t="shared" si="32"/>
        <v>420</v>
      </c>
      <c r="K79" s="51"/>
      <c r="L79" s="5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row>
    <row r="80" ht="12.75" customHeight="1">
      <c r="A80" s="28"/>
      <c r="B80" s="57"/>
      <c r="C80" s="36"/>
      <c r="D80" s="13"/>
      <c r="E80" s="13"/>
      <c r="F80" s="13"/>
      <c r="G80" s="51"/>
      <c r="H80" s="52"/>
      <c r="I80" s="51">
        <f t="shared" si="31"/>
        <v>9</v>
      </c>
      <c r="J80" s="52">
        <f t="shared" si="32"/>
        <v>450</v>
      </c>
      <c r="K80" s="51"/>
      <c r="L80" s="5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row>
    <row r="81" ht="12.75" customHeight="1">
      <c r="A81" s="28"/>
      <c r="B81" s="57"/>
      <c r="C81" s="36"/>
      <c r="D81" s="13"/>
      <c r="E81" s="13"/>
      <c r="F81" s="13"/>
      <c r="G81" s="51"/>
      <c r="H81" s="52"/>
      <c r="I81" s="51">
        <f t="shared" si="31"/>
        <v>4</v>
      </c>
      <c r="J81" s="52">
        <f t="shared" si="32"/>
        <v>200</v>
      </c>
      <c r="K81" s="51"/>
      <c r="L81" s="5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row>
    <row r="82" ht="12.75" customHeight="1">
      <c r="A82" s="28"/>
      <c r="B82" s="57"/>
      <c r="C82" s="36"/>
      <c r="D82" s="13"/>
      <c r="E82" s="13"/>
      <c r="F82" s="13"/>
      <c r="G82" s="51"/>
      <c r="H82" s="52"/>
      <c r="I82" s="51"/>
      <c r="J82" s="52"/>
      <c r="K82" s="51">
        <f t="shared" ref="K82:K85" si="33">AG30*AH30</f>
        <v>4</v>
      </c>
      <c r="L82" s="53">
        <f t="shared" ref="L82:L85" si="34">AI30*K82</f>
        <v>240</v>
      </c>
      <c r="M82" s="3"/>
      <c r="N82" s="3"/>
      <c r="O82" s="3"/>
      <c r="P82" s="3"/>
      <c r="Q82" s="3"/>
      <c r="R82" s="3"/>
      <c r="S82" s="3"/>
      <c r="T82" s="3"/>
      <c r="U82" s="3"/>
      <c r="V82" s="3"/>
      <c r="W82" s="6">
        <f>K82</f>
        <v>4</v>
      </c>
      <c r="X82" s="6">
        <f>K83</f>
        <v>4</v>
      </c>
      <c r="Y82" s="6">
        <f>K84</f>
        <v>16</v>
      </c>
      <c r="Z82" s="6">
        <f>K85</f>
        <v>30</v>
      </c>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row>
    <row r="83" ht="12.75" customHeight="1">
      <c r="A83" s="28"/>
      <c r="B83" s="57"/>
      <c r="C83" s="36"/>
      <c r="D83" s="13"/>
      <c r="E83" s="13"/>
      <c r="F83" s="13"/>
      <c r="G83" s="51"/>
      <c r="H83" s="52"/>
      <c r="I83" s="51"/>
      <c r="J83" s="52"/>
      <c r="K83" s="51">
        <f t="shared" si="33"/>
        <v>4</v>
      </c>
      <c r="L83" s="53">
        <f t="shared" si="34"/>
        <v>280</v>
      </c>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row>
    <row r="84" ht="12.75" customHeight="1">
      <c r="A84" s="28"/>
      <c r="B84" s="57"/>
      <c r="C84" s="36"/>
      <c r="D84" s="13"/>
      <c r="E84" s="13"/>
      <c r="F84" s="13"/>
      <c r="G84" s="51"/>
      <c r="H84" s="52"/>
      <c r="I84" s="51"/>
      <c r="J84" s="52"/>
      <c r="K84" s="51">
        <f t="shared" si="33"/>
        <v>16</v>
      </c>
      <c r="L84" s="53">
        <f t="shared" si="34"/>
        <v>1280</v>
      </c>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row>
    <row r="85" ht="12.75" customHeight="1">
      <c r="A85" s="28"/>
      <c r="B85" s="57"/>
      <c r="C85" s="36"/>
      <c r="D85" s="13"/>
      <c r="E85" s="13"/>
      <c r="F85" s="13"/>
      <c r="G85" s="51"/>
      <c r="H85" s="52"/>
      <c r="I85" s="51"/>
      <c r="J85" s="52"/>
      <c r="K85" s="51">
        <f t="shared" si="33"/>
        <v>30</v>
      </c>
      <c r="L85" s="53">
        <f t="shared" si="34"/>
        <v>0</v>
      </c>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row>
    <row r="86" ht="12.75" customHeight="1">
      <c r="A86" s="28"/>
      <c r="B86" s="57"/>
      <c r="C86" s="36"/>
      <c r="D86" s="13"/>
      <c r="E86" s="13"/>
      <c r="F86" s="13"/>
      <c r="G86" s="51"/>
      <c r="H86" s="52"/>
      <c r="I86" s="51"/>
      <c r="J86" s="52"/>
      <c r="K86" s="51"/>
      <c r="L86" s="5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row>
    <row r="87" ht="12.75" customHeight="1">
      <c r="A87" s="28"/>
      <c r="B87" s="57"/>
      <c r="C87" s="36"/>
      <c r="D87" s="13"/>
      <c r="E87" s="13"/>
      <c r="F87" s="13"/>
      <c r="G87" s="51"/>
      <c r="H87" s="52"/>
      <c r="I87" s="51"/>
      <c r="J87" s="52"/>
      <c r="K87" s="51"/>
      <c r="L87" s="5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row>
    <row r="88" ht="12.75" customHeight="1">
      <c r="A88" s="28"/>
      <c r="B88" s="57"/>
      <c r="C88" s="36"/>
      <c r="D88" s="13"/>
      <c r="E88" s="13"/>
      <c r="F88" s="13"/>
      <c r="G88" s="51"/>
      <c r="H88" s="52"/>
      <c r="I88" s="51"/>
      <c r="J88" s="52"/>
      <c r="K88" s="51"/>
      <c r="L88" s="5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row>
    <row r="89" ht="12.75" customHeight="1">
      <c r="A89" s="28"/>
      <c r="B89" s="57"/>
      <c r="C89" s="36"/>
      <c r="D89" s="13"/>
      <c r="E89" s="13"/>
      <c r="F89" s="13"/>
      <c r="G89" s="51"/>
      <c r="H89" s="52"/>
      <c r="I89" s="51"/>
      <c r="J89" s="52"/>
      <c r="K89" s="51"/>
      <c r="L89" s="5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row>
    <row r="90" ht="12.75" customHeight="1">
      <c r="A90" s="28"/>
      <c r="B90" s="57"/>
      <c r="C90" s="36"/>
      <c r="D90" s="13"/>
      <c r="E90" s="13"/>
      <c r="F90" s="13"/>
      <c r="G90" s="51"/>
      <c r="H90" s="52"/>
      <c r="I90" s="51"/>
      <c r="J90" s="52"/>
      <c r="K90" s="51"/>
      <c r="L90" s="5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row>
    <row r="91" ht="12.75" customHeight="1">
      <c r="A91" s="28"/>
      <c r="B91" s="57"/>
      <c r="C91" s="36"/>
      <c r="D91" s="13"/>
      <c r="E91" s="13"/>
      <c r="F91" s="13"/>
      <c r="G91" s="51">
        <f t="shared" ref="G91:G96" si="35">AG43*AH43</f>
        <v>8</v>
      </c>
      <c r="H91" s="52">
        <f t="shared" ref="H91:H96" si="36">AI43*G91</f>
        <v>520</v>
      </c>
      <c r="I91" s="51"/>
      <c r="J91" s="52"/>
      <c r="K91" s="51"/>
      <c r="L91" s="53"/>
      <c r="M91" s="6">
        <f>G91</f>
        <v>8</v>
      </c>
      <c r="N91" s="6">
        <f>G92</f>
        <v>2</v>
      </c>
      <c r="O91" s="6">
        <f>G93</f>
        <v>6</v>
      </c>
      <c r="P91" s="6">
        <f>G94+G96+G95</f>
        <v>12</v>
      </c>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row>
    <row r="92" ht="12.75" customHeight="1">
      <c r="A92" s="28"/>
      <c r="B92" s="57"/>
      <c r="C92" s="36"/>
      <c r="D92" s="13"/>
      <c r="E92" s="13"/>
      <c r="F92" s="13"/>
      <c r="G92" s="51">
        <f t="shared" si="35"/>
        <v>2</v>
      </c>
      <c r="H92" s="52">
        <f t="shared" si="36"/>
        <v>130</v>
      </c>
      <c r="I92" s="51"/>
      <c r="J92" s="52"/>
      <c r="K92" s="51"/>
      <c r="L92" s="5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row>
    <row r="93" ht="12.75" customHeight="1">
      <c r="A93" s="28"/>
      <c r="B93" s="57"/>
      <c r="C93" s="36"/>
      <c r="D93" s="13"/>
      <c r="E93" s="13"/>
      <c r="F93" s="13"/>
      <c r="G93" s="51">
        <f t="shared" si="35"/>
        <v>6</v>
      </c>
      <c r="H93" s="52">
        <f t="shared" si="36"/>
        <v>390</v>
      </c>
      <c r="I93" s="51"/>
      <c r="J93" s="52"/>
      <c r="K93" s="51"/>
      <c r="L93" s="5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row>
    <row r="94" ht="12.75" customHeight="1">
      <c r="A94" s="28"/>
      <c r="B94" s="57"/>
      <c r="C94" s="36"/>
      <c r="D94" s="13"/>
      <c r="E94" s="13"/>
      <c r="F94" s="13"/>
      <c r="G94" s="51">
        <f t="shared" si="35"/>
        <v>5</v>
      </c>
      <c r="H94" s="52">
        <f t="shared" si="36"/>
        <v>250</v>
      </c>
      <c r="I94" s="51"/>
      <c r="J94" s="52"/>
      <c r="K94" s="51"/>
      <c r="L94" s="5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row>
    <row r="95" ht="12.75" customHeight="1">
      <c r="A95" s="28"/>
      <c r="B95" s="57"/>
      <c r="C95" s="36"/>
      <c r="D95" s="13"/>
      <c r="E95" s="13"/>
      <c r="F95" s="13"/>
      <c r="G95" s="51">
        <f t="shared" si="35"/>
        <v>4</v>
      </c>
      <c r="H95" s="52">
        <f t="shared" si="36"/>
        <v>240</v>
      </c>
      <c r="I95" s="51"/>
      <c r="J95" s="52"/>
      <c r="K95" s="51"/>
      <c r="L95" s="5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row>
    <row r="96" ht="12.75" customHeight="1">
      <c r="A96" s="28"/>
      <c r="B96" s="57"/>
      <c r="C96" s="36"/>
      <c r="D96" s="13"/>
      <c r="E96" s="13"/>
      <c r="F96" s="13"/>
      <c r="G96" s="51">
        <f t="shared" si="35"/>
        <v>3</v>
      </c>
      <c r="H96" s="52">
        <f t="shared" si="36"/>
        <v>210</v>
      </c>
      <c r="I96" s="51"/>
      <c r="J96" s="52"/>
      <c r="K96" s="51"/>
      <c r="L96" s="5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row>
    <row r="97" ht="12.75" customHeight="1">
      <c r="A97" s="28"/>
      <c r="B97" s="57"/>
      <c r="C97" s="36"/>
      <c r="D97" s="13"/>
      <c r="E97" s="13"/>
      <c r="F97" s="13"/>
      <c r="G97" s="51"/>
      <c r="H97" s="52"/>
      <c r="I97" s="51">
        <f t="shared" ref="I97:I99" si="37">AG49*AH49</f>
        <v>10</v>
      </c>
      <c r="J97" s="52">
        <f t="shared" ref="J97:J99" si="38">AI49*I97</f>
        <v>800</v>
      </c>
      <c r="K97" s="51"/>
      <c r="L97" s="53"/>
      <c r="M97" s="3"/>
      <c r="N97" s="3"/>
      <c r="O97" s="3"/>
      <c r="P97" s="3"/>
      <c r="Q97" s="3"/>
      <c r="R97" s="6">
        <f>I97</f>
        <v>10</v>
      </c>
      <c r="S97" s="6">
        <f>I98</f>
        <v>20</v>
      </c>
      <c r="T97" s="6">
        <f>I99</f>
        <v>24</v>
      </c>
      <c r="U97" s="6">
        <v>0.0</v>
      </c>
      <c r="V97" s="3">
        <v>0.0</v>
      </c>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row>
    <row r="98" ht="12.75" customHeight="1">
      <c r="A98" s="28"/>
      <c r="B98" s="57"/>
      <c r="C98" s="36"/>
      <c r="D98" s="13"/>
      <c r="E98" s="13"/>
      <c r="F98" s="13"/>
      <c r="G98" s="51"/>
      <c r="H98" s="52"/>
      <c r="I98" s="51">
        <f t="shared" si="37"/>
        <v>20</v>
      </c>
      <c r="J98" s="52">
        <f t="shared" si="38"/>
        <v>0</v>
      </c>
      <c r="K98" s="51"/>
      <c r="L98" s="53"/>
      <c r="M98" s="3"/>
      <c r="N98" s="3"/>
      <c r="O98" s="3"/>
      <c r="P98" s="3"/>
      <c r="Q98" s="3"/>
      <c r="R98" s="6"/>
      <c r="S98" s="6"/>
      <c r="T98" s="6"/>
      <c r="U98" s="6"/>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row>
    <row r="99" ht="12.75" customHeight="1">
      <c r="A99" s="28"/>
      <c r="B99" s="57"/>
      <c r="C99" s="36"/>
      <c r="D99" s="13"/>
      <c r="E99" s="13"/>
      <c r="F99" s="13"/>
      <c r="G99" s="51"/>
      <c r="H99" s="52"/>
      <c r="I99" s="51">
        <f t="shared" si="37"/>
        <v>24</v>
      </c>
      <c r="J99" s="52">
        <f t="shared" si="38"/>
        <v>0</v>
      </c>
      <c r="K99" s="51"/>
      <c r="L99" s="53"/>
      <c r="M99" s="3"/>
      <c r="N99" s="3"/>
      <c r="O99" s="3"/>
      <c r="P99" s="3"/>
      <c r="Q99" s="3"/>
      <c r="R99" s="6"/>
      <c r="S99" s="6"/>
      <c r="T99" s="6"/>
      <c r="U99" s="6"/>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row>
    <row r="100" ht="12.75" customHeight="1">
      <c r="A100" s="28"/>
      <c r="B100" s="57"/>
      <c r="C100" s="36"/>
      <c r="D100" s="13"/>
      <c r="E100" s="13"/>
      <c r="F100" s="13"/>
      <c r="G100" s="51"/>
      <c r="H100" s="52"/>
      <c r="I100" s="51"/>
      <c r="J100" s="52"/>
      <c r="K100" s="51"/>
      <c r="L100" s="5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row>
    <row r="101" ht="12.75" customHeight="1">
      <c r="A101" s="28"/>
      <c r="B101" s="57"/>
      <c r="C101" s="36"/>
      <c r="D101" s="13"/>
      <c r="E101" s="13"/>
      <c r="F101" s="13"/>
      <c r="G101" s="51"/>
      <c r="H101" s="52"/>
      <c r="I101" s="51"/>
      <c r="J101" s="52"/>
      <c r="K101" s="51"/>
      <c r="L101" s="5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row>
    <row r="102" ht="12.75" customHeight="1">
      <c r="A102" s="28"/>
      <c r="B102" s="57"/>
      <c r="C102" s="36"/>
      <c r="D102" s="13"/>
      <c r="E102" s="13"/>
      <c r="F102" s="13"/>
      <c r="G102" s="51"/>
      <c r="H102" s="52"/>
      <c r="I102" s="51"/>
      <c r="J102" s="52"/>
      <c r="K102" s="51"/>
      <c r="L102" s="5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row>
    <row r="103" ht="12.75" customHeight="1">
      <c r="A103" s="28"/>
      <c r="B103" s="57"/>
      <c r="C103" s="36"/>
      <c r="D103" s="13"/>
      <c r="E103" s="13"/>
      <c r="F103" s="13"/>
      <c r="G103" s="82">
        <f t="shared" ref="G103:H103" si="39">SUM(G63:G102)</f>
        <v>55</v>
      </c>
      <c r="H103" s="83">
        <f t="shared" si="39"/>
        <v>3640</v>
      </c>
      <c r="I103" s="82">
        <f t="shared" ref="I103:L103" si="40">SUM(I59:I102)</f>
        <v>200</v>
      </c>
      <c r="J103" s="83">
        <f t="shared" si="40"/>
        <v>3880</v>
      </c>
      <c r="K103" s="82">
        <f t="shared" si="40"/>
        <v>67</v>
      </c>
      <c r="L103" s="83">
        <f t="shared" si="40"/>
        <v>2860</v>
      </c>
      <c r="M103" s="6">
        <f t="shared" ref="M103:P103" si="41">SUM(M63:M102)</f>
        <v>13</v>
      </c>
      <c r="N103" s="6">
        <f t="shared" si="41"/>
        <v>6</v>
      </c>
      <c r="O103" s="6">
        <f t="shared" si="41"/>
        <v>9</v>
      </c>
      <c r="P103" s="6">
        <f t="shared" si="41"/>
        <v>27</v>
      </c>
      <c r="Q103" s="3"/>
      <c r="R103" s="6">
        <f t="shared" ref="R103:V103" si="42">SUM(R59:R102)</f>
        <v>52</v>
      </c>
      <c r="S103" s="6">
        <f t="shared" si="42"/>
        <v>71</v>
      </c>
      <c r="T103" s="6">
        <f t="shared" si="42"/>
        <v>65</v>
      </c>
      <c r="U103" s="6">
        <f t="shared" si="42"/>
        <v>12</v>
      </c>
      <c r="V103" s="6">
        <f t="shared" si="42"/>
        <v>0</v>
      </c>
      <c r="W103" s="6">
        <f t="shared" ref="W103:Z103" si="43">SUM(W75:W102)</f>
        <v>10</v>
      </c>
      <c r="X103" s="6">
        <f t="shared" si="43"/>
        <v>8</v>
      </c>
      <c r="Y103" s="6">
        <f t="shared" si="43"/>
        <v>19</v>
      </c>
      <c r="Z103" s="3">
        <f t="shared" si="43"/>
        <v>30</v>
      </c>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row>
    <row r="104" ht="12.75" customHeight="1">
      <c r="A104" s="28"/>
      <c r="B104" s="57"/>
      <c r="C104" s="36"/>
      <c r="D104" s="13"/>
      <c r="E104" s="13"/>
      <c r="F104" s="13"/>
      <c r="G104" s="51"/>
      <c r="H104" s="52"/>
      <c r="I104" s="51"/>
      <c r="J104" s="52"/>
      <c r="K104" s="51"/>
      <c r="L104" s="53"/>
      <c r="M104" s="3" t="s">
        <v>37</v>
      </c>
      <c r="N104" s="3" t="s">
        <v>38</v>
      </c>
      <c r="O104" s="3" t="s">
        <v>39</v>
      </c>
      <c r="P104" s="3" t="s">
        <v>40</v>
      </c>
      <c r="Q104" s="3" t="s">
        <v>41</v>
      </c>
      <c r="R104" s="3" t="s">
        <v>37</v>
      </c>
      <c r="S104" s="3" t="s">
        <v>38</v>
      </c>
      <c r="T104" s="3" t="s">
        <v>39</v>
      </c>
      <c r="U104" s="3" t="s">
        <v>40</v>
      </c>
      <c r="V104" s="3" t="s">
        <v>41</v>
      </c>
      <c r="W104" s="3" t="s">
        <v>37</v>
      </c>
      <c r="X104" s="3" t="s">
        <v>38</v>
      </c>
      <c r="Y104" s="3" t="s">
        <v>39</v>
      </c>
      <c r="Z104" s="3" t="s">
        <v>40</v>
      </c>
      <c r="AA104" s="3" t="s">
        <v>41</v>
      </c>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row>
    <row r="105" ht="12.75" customHeight="1">
      <c r="A105" s="28"/>
      <c r="B105" s="57"/>
      <c r="C105" s="36"/>
      <c r="D105" s="13"/>
      <c r="E105" s="13"/>
      <c r="F105" s="13"/>
      <c r="G105" s="51"/>
      <c r="H105" s="52"/>
      <c r="I105" s="51"/>
      <c r="J105" s="52"/>
      <c r="K105" s="51"/>
      <c r="L105" s="5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row>
    <row r="106" ht="12.75" customHeight="1">
      <c r="A106" s="28"/>
      <c r="B106" s="57"/>
      <c r="C106" s="36"/>
      <c r="D106" s="13"/>
      <c r="E106" s="13"/>
      <c r="F106" s="13"/>
      <c r="G106" s="51"/>
      <c r="H106" s="52"/>
      <c r="I106" s="51">
        <f t="shared" ref="I106:I109" si="44">AN7*AO7</f>
        <v>5</v>
      </c>
      <c r="J106" s="52">
        <f t="shared" ref="J106:J109" si="45">AP7*I106</f>
        <v>250</v>
      </c>
      <c r="K106" s="51"/>
      <c r="L106" s="53"/>
      <c r="M106" s="3"/>
      <c r="N106" s="3"/>
      <c r="O106" s="3"/>
      <c r="P106" s="3"/>
      <c r="Q106" s="3"/>
      <c r="R106" s="6">
        <f>I106</f>
        <v>5</v>
      </c>
      <c r="S106" s="6">
        <f>I107</f>
        <v>4</v>
      </c>
      <c r="T106" s="6">
        <f>I108</f>
        <v>3</v>
      </c>
      <c r="U106" s="6">
        <f>I109</f>
        <v>6</v>
      </c>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row>
    <row r="107" ht="12.75" customHeight="1">
      <c r="A107" s="28"/>
      <c r="B107" s="57"/>
      <c r="C107" s="36"/>
      <c r="D107" s="13"/>
      <c r="E107" s="13"/>
      <c r="F107" s="13"/>
      <c r="G107" s="51"/>
      <c r="H107" s="52"/>
      <c r="I107" s="51">
        <f t="shared" si="44"/>
        <v>4</v>
      </c>
      <c r="J107" s="52">
        <f t="shared" si="45"/>
        <v>240</v>
      </c>
      <c r="K107" s="51"/>
      <c r="L107" s="5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row>
    <row r="108" ht="12.75" customHeight="1">
      <c r="A108" s="28"/>
      <c r="B108" s="57"/>
      <c r="C108" s="36"/>
      <c r="D108" s="13"/>
      <c r="E108" s="13"/>
      <c r="F108" s="13"/>
      <c r="G108" s="51"/>
      <c r="H108" s="52"/>
      <c r="I108" s="51">
        <f t="shared" si="44"/>
        <v>3</v>
      </c>
      <c r="J108" s="52">
        <f t="shared" si="45"/>
        <v>210</v>
      </c>
      <c r="K108" s="51"/>
      <c r="L108" s="5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row>
    <row r="109" ht="12.75" customHeight="1">
      <c r="A109" s="28"/>
      <c r="B109" s="57"/>
      <c r="C109" s="36"/>
      <c r="D109" s="13"/>
      <c r="E109" s="13"/>
      <c r="F109" s="13"/>
      <c r="G109" s="51"/>
      <c r="H109" s="52"/>
      <c r="I109" s="51">
        <f t="shared" si="44"/>
        <v>6</v>
      </c>
      <c r="J109" s="52">
        <f t="shared" si="45"/>
        <v>480</v>
      </c>
      <c r="K109" s="51"/>
      <c r="L109" s="5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row>
    <row r="110" ht="12.75" customHeight="1">
      <c r="A110" s="28"/>
      <c r="B110" s="57"/>
      <c r="C110" s="36"/>
      <c r="D110" s="13"/>
      <c r="E110" s="13"/>
      <c r="F110" s="13"/>
      <c r="G110" s="51">
        <f t="shared" ref="G110:G111" si="46">AN11*AO11</f>
        <v>4</v>
      </c>
      <c r="H110" s="52">
        <f t="shared" ref="H110:H112" si="47">AP11*G110</f>
        <v>340</v>
      </c>
      <c r="I110" s="51"/>
      <c r="J110" s="52"/>
      <c r="K110" s="51"/>
      <c r="L110" s="53"/>
      <c r="M110" s="6">
        <f>G110</f>
        <v>4</v>
      </c>
      <c r="N110" s="6">
        <f>G111</f>
        <v>6</v>
      </c>
      <c r="O110" s="6">
        <f>G112</f>
        <v>35</v>
      </c>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row>
    <row r="111" ht="12.75" customHeight="1">
      <c r="A111" s="28"/>
      <c r="B111" s="57"/>
      <c r="C111" s="36"/>
      <c r="D111" s="13"/>
      <c r="E111" s="13"/>
      <c r="F111" s="13"/>
      <c r="G111" s="51">
        <f t="shared" si="46"/>
        <v>6</v>
      </c>
      <c r="H111" s="52">
        <f t="shared" si="47"/>
        <v>480</v>
      </c>
      <c r="I111" s="51"/>
      <c r="J111" s="52"/>
      <c r="K111" s="51"/>
      <c r="L111" s="5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row>
    <row r="112" ht="12.75" customHeight="1">
      <c r="A112" s="28"/>
      <c r="B112" s="57"/>
      <c r="C112" s="36"/>
      <c r="D112" s="13"/>
      <c r="E112" s="13"/>
      <c r="F112" s="13"/>
      <c r="G112" s="51">
        <v>35.0</v>
      </c>
      <c r="H112" s="52">
        <f t="shared" si="47"/>
        <v>1750</v>
      </c>
      <c r="I112" s="51"/>
      <c r="J112" s="52"/>
      <c r="K112" s="51"/>
      <c r="L112" s="5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row>
    <row r="113" ht="12.75" customHeight="1">
      <c r="A113" s="28"/>
      <c r="B113" s="57"/>
      <c r="C113" s="36"/>
      <c r="D113" s="13"/>
      <c r="E113" s="13"/>
      <c r="F113" s="13"/>
      <c r="G113" s="51"/>
      <c r="H113" s="52"/>
      <c r="I113" s="51">
        <f t="shared" ref="I113:I115" si="48">AN14*AO14</f>
        <v>4</v>
      </c>
      <c r="J113" s="52">
        <f t="shared" ref="J113:J115" si="49">AP14*I113</f>
        <v>240</v>
      </c>
      <c r="K113" s="51"/>
      <c r="L113" s="53"/>
      <c r="M113" s="3"/>
      <c r="N113" s="3"/>
      <c r="O113" s="3"/>
      <c r="P113" s="3"/>
      <c r="Q113" s="3"/>
      <c r="R113" s="6">
        <f>I113</f>
        <v>4</v>
      </c>
      <c r="S113" s="6">
        <f>I114</f>
        <v>3</v>
      </c>
      <c r="T113" s="6">
        <f>I115</f>
        <v>15</v>
      </c>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row>
    <row r="114" ht="12.75" customHeight="1">
      <c r="A114" s="28"/>
      <c r="B114" s="57"/>
      <c r="C114" s="36"/>
      <c r="D114" s="13"/>
      <c r="E114" s="13"/>
      <c r="F114" s="13"/>
      <c r="G114" s="51"/>
      <c r="H114" s="52"/>
      <c r="I114" s="51">
        <f t="shared" si="48"/>
        <v>3</v>
      </c>
      <c r="J114" s="52">
        <f t="shared" si="49"/>
        <v>210</v>
      </c>
      <c r="K114" s="51"/>
      <c r="L114" s="5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row>
    <row r="115" ht="12.75" customHeight="1">
      <c r="A115" s="28"/>
      <c r="B115" s="57"/>
      <c r="C115" s="36"/>
      <c r="D115" s="13"/>
      <c r="E115" s="13"/>
      <c r="F115" s="13"/>
      <c r="G115" s="51"/>
      <c r="H115" s="52"/>
      <c r="I115" s="51">
        <f t="shared" si="48"/>
        <v>15</v>
      </c>
      <c r="J115" s="52">
        <f t="shared" si="49"/>
        <v>1200</v>
      </c>
      <c r="K115" s="51"/>
      <c r="L115" s="5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row>
    <row r="116" ht="12.75" customHeight="1">
      <c r="A116" s="28"/>
      <c r="B116" s="57"/>
      <c r="C116" s="36"/>
      <c r="D116" s="13"/>
      <c r="E116" s="13"/>
      <c r="F116" s="13"/>
      <c r="G116" s="51"/>
      <c r="H116" s="52"/>
      <c r="I116" s="51"/>
      <c r="J116" s="52"/>
      <c r="K116" s="51"/>
      <c r="L116" s="5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row>
    <row r="117" ht="12.75" customHeight="1">
      <c r="A117" s="28"/>
      <c r="B117" s="57"/>
      <c r="C117" s="36"/>
      <c r="D117" s="13"/>
      <c r="E117" s="13"/>
      <c r="F117" s="13"/>
      <c r="G117" s="51"/>
      <c r="H117" s="52"/>
      <c r="I117" s="51"/>
      <c r="J117" s="52"/>
      <c r="K117" s="51"/>
      <c r="L117" s="5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row>
    <row r="118" ht="12.75" customHeight="1">
      <c r="A118" s="28"/>
      <c r="B118" s="57"/>
      <c r="C118" s="36"/>
      <c r="D118" s="13"/>
      <c r="E118" s="13"/>
      <c r="F118" s="13"/>
      <c r="G118" s="51"/>
      <c r="H118" s="52"/>
      <c r="I118" s="51"/>
      <c r="J118" s="52"/>
      <c r="K118" s="51"/>
      <c r="L118" s="5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row>
    <row r="119" ht="12.75" customHeight="1">
      <c r="A119" s="28"/>
      <c r="B119" s="57"/>
      <c r="C119" s="36"/>
      <c r="D119" s="13"/>
      <c r="E119" s="13"/>
      <c r="F119" s="13"/>
      <c r="G119" s="51"/>
      <c r="H119" s="52"/>
      <c r="I119" s="51"/>
      <c r="J119" s="52"/>
      <c r="K119" s="51"/>
      <c r="L119" s="5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row>
    <row r="120" ht="12.75" customHeight="1">
      <c r="A120" s="28"/>
      <c r="B120" s="57"/>
      <c r="C120" s="36"/>
      <c r="D120" s="13"/>
      <c r="E120" s="13"/>
      <c r="F120" s="13"/>
      <c r="G120" s="51"/>
      <c r="H120" s="52"/>
      <c r="I120" s="51"/>
      <c r="J120" s="52"/>
      <c r="K120" s="51">
        <f t="shared" ref="K120:K123" si="50">AN22*AO22</f>
        <v>3</v>
      </c>
      <c r="L120" s="53">
        <f t="shared" ref="L120:L123" si="51">AP22*K120</f>
        <v>165</v>
      </c>
      <c r="M120" s="3"/>
      <c r="N120" s="3"/>
      <c r="O120" s="3"/>
      <c r="P120" s="3"/>
      <c r="Q120" s="3"/>
      <c r="R120" s="3"/>
      <c r="S120" s="3"/>
      <c r="T120" s="3"/>
      <c r="U120" s="3"/>
      <c r="V120" s="3"/>
      <c r="W120" s="6">
        <f>K120</f>
        <v>3</v>
      </c>
      <c r="X120" s="6">
        <f>K121</f>
        <v>3</v>
      </c>
      <c r="Y120" s="6">
        <f>K122</f>
        <v>3</v>
      </c>
      <c r="Z120" s="6">
        <f>K123</f>
        <v>8</v>
      </c>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row>
    <row r="121" ht="12.75" customHeight="1">
      <c r="A121" s="28"/>
      <c r="B121" s="57"/>
      <c r="C121" s="36"/>
      <c r="D121" s="13"/>
      <c r="E121" s="13"/>
      <c r="F121" s="13"/>
      <c r="G121" s="51"/>
      <c r="H121" s="52"/>
      <c r="I121" s="51"/>
      <c r="J121" s="52"/>
      <c r="K121" s="51">
        <f t="shared" si="50"/>
        <v>3</v>
      </c>
      <c r="L121" s="53">
        <f t="shared" si="51"/>
        <v>195</v>
      </c>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row>
    <row r="122" ht="12.75" customHeight="1">
      <c r="A122" s="28"/>
      <c r="B122" s="57"/>
      <c r="C122" s="36"/>
      <c r="D122" s="13"/>
      <c r="E122" s="13"/>
      <c r="F122" s="13"/>
      <c r="G122" s="51"/>
      <c r="H122" s="52"/>
      <c r="I122" s="51"/>
      <c r="J122" s="52"/>
      <c r="K122" s="51">
        <f t="shared" si="50"/>
        <v>3</v>
      </c>
      <c r="L122" s="53">
        <f t="shared" si="51"/>
        <v>225</v>
      </c>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row>
    <row r="123" ht="12.75" customHeight="1">
      <c r="A123" s="28"/>
      <c r="B123" s="57"/>
      <c r="C123" s="36"/>
      <c r="D123" s="13"/>
      <c r="E123" s="13"/>
      <c r="F123" s="13"/>
      <c r="G123" s="51"/>
      <c r="H123" s="52"/>
      <c r="I123" s="51"/>
      <c r="J123" s="52"/>
      <c r="K123" s="51">
        <f t="shared" si="50"/>
        <v>8</v>
      </c>
      <c r="L123" s="53">
        <f t="shared" si="51"/>
        <v>680</v>
      </c>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row>
    <row r="124" ht="12.75" customHeight="1">
      <c r="A124" s="28"/>
      <c r="B124" s="57"/>
      <c r="C124" s="36"/>
      <c r="D124" s="13"/>
      <c r="E124" s="13"/>
      <c r="F124" s="13"/>
      <c r="G124" s="51"/>
      <c r="H124" s="52"/>
      <c r="I124" s="51">
        <f t="shared" ref="I124:I130" si="52">AN26*AO26</f>
        <v>5</v>
      </c>
      <c r="J124" s="52">
        <f t="shared" ref="J124:J130" si="53">AP26*I124</f>
        <v>250</v>
      </c>
      <c r="K124" s="51"/>
      <c r="L124" s="53"/>
      <c r="M124" s="3"/>
      <c r="N124" s="3"/>
      <c r="O124" s="3"/>
      <c r="P124" s="3"/>
      <c r="Q124" s="3"/>
      <c r="R124" s="6">
        <f>I124</f>
        <v>5</v>
      </c>
      <c r="S124" s="6">
        <f>I125</f>
        <v>4</v>
      </c>
      <c r="T124" s="6">
        <f>I126</f>
        <v>3</v>
      </c>
      <c r="U124" s="6">
        <f>I127+I128+I130</f>
        <v>15</v>
      </c>
      <c r="V124" s="6">
        <f>I129</f>
        <v>6</v>
      </c>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row>
    <row r="125" ht="12.75" customHeight="1">
      <c r="A125" s="28"/>
      <c r="B125" s="57"/>
      <c r="C125" s="36"/>
      <c r="D125" s="13"/>
      <c r="E125" s="13"/>
      <c r="F125" s="13"/>
      <c r="G125" s="51"/>
      <c r="H125" s="52"/>
      <c r="I125" s="51">
        <f t="shared" si="52"/>
        <v>4</v>
      </c>
      <c r="J125" s="52">
        <f t="shared" si="53"/>
        <v>240</v>
      </c>
      <c r="K125" s="51"/>
      <c r="L125" s="5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row>
    <row r="126" ht="12.75" customHeight="1">
      <c r="A126" s="28"/>
      <c r="B126" s="57"/>
      <c r="C126" s="36"/>
      <c r="D126" s="13"/>
      <c r="E126" s="13"/>
      <c r="F126" s="13"/>
      <c r="G126" s="51"/>
      <c r="H126" s="52"/>
      <c r="I126" s="51">
        <f t="shared" si="52"/>
        <v>3</v>
      </c>
      <c r="J126" s="52">
        <f t="shared" si="53"/>
        <v>210</v>
      </c>
      <c r="K126" s="51"/>
      <c r="L126" s="5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row>
    <row r="127" ht="12.75" customHeight="1">
      <c r="A127" s="28"/>
      <c r="B127" s="57"/>
      <c r="C127" s="36"/>
      <c r="D127" s="13"/>
      <c r="E127" s="13"/>
      <c r="F127" s="13"/>
      <c r="G127" s="51"/>
      <c r="H127" s="52"/>
      <c r="I127" s="51">
        <f t="shared" si="52"/>
        <v>6</v>
      </c>
      <c r="J127" s="52">
        <f t="shared" si="53"/>
        <v>480</v>
      </c>
      <c r="K127" s="51"/>
      <c r="L127" s="5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row>
    <row r="128" ht="12.75" customHeight="1">
      <c r="A128" s="28"/>
      <c r="B128" s="57"/>
      <c r="C128" s="36"/>
      <c r="D128" s="13"/>
      <c r="E128" s="13"/>
      <c r="F128" s="13"/>
      <c r="G128" s="51"/>
      <c r="H128" s="52"/>
      <c r="I128" s="51">
        <f t="shared" si="52"/>
        <v>6</v>
      </c>
      <c r="J128" s="52">
        <f t="shared" si="53"/>
        <v>510</v>
      </c>
      <c r="K128" s="51"/>
      <c r="L128" s="5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row>
    <row r="129" ht="12.75" customHeight="1">
      <c r="A129" s="28"/>
      <c r="B129" s="57"/>
      <c r="C129" s="36"/>
      <c r="D129" s="13"/>
      <c r="E129" s="13"/>
      <c r="F129" s="13"/>
      <c r="G129" s="51"/>
      <c r="H129" s="52"/>
      <c r="I129" s="51">
        <f t="shared" si="52"/>
        <v>6</v>
      </c>
      <c r="J129" s="52">
        <f t="shared" si="53"/>
        <v>480</v>
      </c>
      <c r="K129" s="51"/>
      <c r="L129" s="5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row>
    <row r="130" ht="12.75" customHeight="1">
      <c r="A130" s="28"/>
      <c r="B130" s="57"/>
      <c r="C130" s="36"/>
      <c r="D130" s="13"/>
      <c r="E130" s="13"/>
      <c r="F130" s="13"/>
      <c r="G130" s="51"/>
      <c r="H130" s="52"/>
      <c r="I130" s="51">
        <f t="shared" si="52"/>
        <v>3</v>
      </c>
      <c r="J130" s="52">
        <f t="shared" si="53"/>
        <v>195</v>
      </c>
      <c r="K130" s="51"/>
      <c r="L130" s="5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row>
    <row r="131" ht="12.75" customHeight="1">
      <c r="A131" s="28"/>
      <c r="B131" s="57"/>
      <c r="C131" s="36"/>
      <c r="D131" s="13"/>
      <c r="E131" s="13"/>
      <c r="F131" s="13"/>
      <c r="G131" s="51"/>
      <c r="H131" s="52"/>
      <c r="I131" s="51"/>
      <c r="J131" s="52"/>
      <c r="K131" s="51">
        <f t="shared" ref="K131:K132" si="54">AN33*AO33</f>
        <v>3</v>
      </c>
      <c r="L131" s="53">
        <f t="shared" ref="L131:L132" si="55">AP33*K131</f>
        <v>225</v>
      </c>
      <c r="M131" s="3"/>
      <c r="N131" s="3"/>
      <c r="O131" s="3"/>
      <c r="P131" s="3"/>
      <c r="Q131" s="3"/>
      <c r="R131" s="3"/>
      <c r="S131" s="3"/>
      <c r="T131" s="3"/>
      <c r="U131" s="3"/>
      <c r="V131" s="3"/>
      <c r="W131" s="3"/>
      <c r="X131" s="6">
        <f>K132</f>
        <v>4</v>
      </c>
      <c r="Y131" s="6">
        <f>K132</f>
        <v>4</v>
      </c>
      <c r="Z131" s="6" t="str">
        <f>K133</f>
        <v>#REF!</v>
      </c>
      <c r="AA131" s="6">
        <f>K135</f>
        <v>30</v>
      </c>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row>
    <row r="132" ht="12.75" customHeight="1">
      <c r="A132" s="28"/>
      <c r="B132" s="57"/>
      <c r="C132" s="36"/>
      <c r="D132" s="13"/>
      <c r="E132" s="13"/>
      <c r="F132" s="13"/>
      <c r="G132" s="51"/>
      <c r="H132" s="52"/>
      <c r="I132" s="51"/>
      <c r="J132" s="52"/>
      <c r="K132" s="51">
        <f t="shared" si="54"/>
        <v>4</v>
      </c>
      <c r="L132" s="53">
        <f t="shared" si="55"/>
        <v>340</v>
      </c>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row>
    <row r="133" ht="12.75" customHeight="1">
      <c r="A133" s="28"/>
      <c r="B133" s="57"/>
      <c r="C133" s="36"/>
      <c r="D133" s="13"/>
      <c r="E133" s="13"/>
      <c r="F133" s="13"/>
      <c r="G133" s="51"/>
      <c r="H133" s="52"/>
      <c r="I133" s="51"/>
      <c r="J133" s="52"/>
      <c r="K133" s="51" t="str">
        <f>#REF!*#REF!</f>
        <v>#REF!</v>
      </c>
      <c r="L133" s="53" t="str">
        <f>#REF!*K133</f>
        <v>#REF!</v>
      </c>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row>
    <row r="134" ht="12.75" customHeight="1">
      <c r="A134" s="28"/>
      <c r="B134" s="57"/>
      <c r="C134" s="36"/>
      <c r="D134" s="13"/>
      <c r="E134" s="13"/>
      <c r="F134" s="13"/>
      <c r="G134" s="51"/>
      <c r="H134" s="52"/>
      <c r="I134" s="51"/>
      <c r="J134" s="52"/>
      <c r="K134" s="51">
        <f t="shared" ref="K134:K135" si="56">AN35*AO35</f>
        <v>3</v>
      </c>
      <c r="L134" s="53">
        <f t="shared" ref="L134:L135" si="57">AP35*K134</f>
        <v>285</v>
      </c>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row>
    <row r="135" ht="12.75" customHeight="1">
      <c r="A135" s="28"/>
      <c r="B135" s="57"/>
      <c r="C135" s="36"/>
      <c r="D135" s="13"/>
      <c r="E135" s="13"/>
      <c r="F135" s="13"/>
      <c r="G135" s="51"/>
      <c r="H135" s="52"/>
      <c r="I135" s="51"/>
      <c r="J135" s="52"/>
      <c r="K135" s="51">
        <f t="shared" si="56"/>
        <v>30</v>
      </c>
      <c r="L135" s="53">
        <f t="shared" si="57"/>
        <v>0</v>
      </c>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row>
    <row r="136" ht="12.75" customHeight="1">
      <c r="A136" s="28"/>
      <c r="B136" s="57"/>
      <c r="C136" s="36"/>
      <c r="D136" s="13"/>
      <c r="E136" s="13"/>
      <c r="F136" s="13"/>
      <c r="G136" s="51"/>
      <c r="H136" s="52"/>
      <c r="I136" s="51"/>
      <c r="J136" s="52"/>
      <c r="K136" s="51"/>
      <c r="L136" s="5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row>
    <row r="137" ht="12.75" customHeight="1">
      <c r="A137" s="28"/>
      <c r="B137" s="57"/>
      <c r="C137" s="36"/>
      <c r="D137" s="13"/>
      <c r="E137" s="13"/>
      <c r="F137" s="13"/>
      <c r="G137" s="51"/>
      <c r="H137" s="52"/>
      <c r="I137" s="51"/>
      <c r="J137" s="52"/>
      <c r="K137" s="51"/>
      <c r="L137" s="5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row>
    <row r="138" ht="12.75" customHeight="1">
      <c r="A138" s="28"/>
      <c r="B138" s="57"/>
      <c r="C138" s="36"/>
      <c r="D138" s="13"/>
      <c r="E138" s="13"/>
      <c r="F138" s="13"/>
      <c r="G138" s="51"/>
      <c r="H138" s="52"/>
      <c r="I138" s="51"/>
      <c r="J138" s="52"/>
      <c r="K138" s="51"/>
      <c r="L138" s="5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row>
    <row r="139" ht="12.75" customHeight="1">
      <c r="A139" s="28"/>
      <c r="B139" s="57"/>
      <c r="C139" s="36"/>
      <c r="D139" s="13"/>
      <c r="E139" s="13"/>
      <c r="F139" s="13"/>
      <c r="G139" s="51"/>
      <c r="H139" s="52"/>
      <c r="I139" s="51"/>
      <c r="J139" s="52"/>
      <c r="K139" s="51"/>
      <c r="L139" s="5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row>
    <row r="140" ht="12.75" customHeight="1">
      <c r="A140" s="28"/>
      <c r="B140" s="57"/>
      <c r="C140" s="36"/>
      <c r="D140" s="13"/>
      <c r="E140" s="13"/>
      <c r="F140" s="13"/>
      <c r="G140" s="51" t="str">
        <f t="shared" ref="G140:G143" si="58">AN39*AO39</f>
        <v>#VALUE!</v>
      </c>
      <c r="H140" s="52" t="str">
        <f t="shared" ref="H140:H143" si="59">AP39*G140</f>
        <v>#VALUE!</v>
      </c>
      <c r="I140" s="51"/>
      <c r="J140" s="52"/>
      <c r="K140" s="51"/>
      <c r="L140" s="53"/>
      <c r="M140" s="6" t="str">
        <f>G140</f>
        <v>#VALUE!</v>
      </c>
      <c r="N140" s="6">
        <f>G141</f>
        <v>5</v>
      </c>
      <c r="O140" s="6">
        <f>G142</f>
        <v>5</v>
      </c>
      <c r="P140" s="6">
        <f>G143</f>
        <v>3</v>
      </c>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row>
    <row r="141" ht="12.75" customHeight="1">
      <c r="A141" s="28"/>
      <c r="B141" s="57"/>
      <c r="C141" s="36"/>
      <c r="D141" s="13"/>
      <c r="E141" s="13"/>
      <c r="F141" s="13"/>
      <c r="G141" s="51">
        <f t="shared" si="58"/>
        <v>5</v>
      </c>
      <c r="H141" s="52">
        <f t="shared" si="59"/>
        <v>250</v>
      </c>
      <c r="I141" s="51"/>
      <c r="J141" s="52"/>
      <c r="K141" s="51"/>
      <c r="L141" s="5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row>
    <row r="142" ht="12.75" customHeight="1">
      <c r="A142" s="28"/>
      <c r="B142" s="57"/>
      <c r="C142" s="36"/>
      <c r="D142" s="13"/>
      <c r="E142" s="13"/>
      <c r="F142" s="13"/>
      <c r="G142" s="51">
        <f t="shared" si="58"/>
        <v>5</v>
      </c>
      <c r="H142" s="52">
        <f t="shared" si="59"/>
        <v>300</v>
      </c>
      <c r="I142" s="51"/>
      <c r="J142" s="52"/>
      <c r="K142" s="51"/>
      <c r="L142" s="5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row>
    <row r="143" ht="12.75" customHeight="1">
      <c r="A143" s="28"/>
      <c r="B143" s="57"/>
      <c r="C143" s="36"/>
      <c r="D143" s="13"/>
      <c r="E143" s="13"/>
      <c r="F143" s="13"/>
      <c r="G143" s="51">
        <f t="shared" si="58"/>
        <v>3</v>
      </c>
      <c r="H143" s="52">
        <f t="shared" si="59"/>
        <v>210</v>
      </c>
      <c r="I143" s="51"/>
      <c r="J143" s="52"/>
      <c r="K143" s="51"/>
      <c r="L143" s="53"/>
      <c r="M143" s="3"/>
      <c r="N143" s="3"/>
      <c r="O143" s="3"/>
      <c r="P143" s="3"/>
      <c r="Q143" s="3"/>
      <c r="R143" s="3"/>
      <c r="S143" s="3"/>
      <c r="T143" s="3"/>
      <c r="U143" s="3"/>
      <c r="V143" s="3"/>
      <c r="W143" s="3"/>
      <c r="X143" s="3"/>
      <c r="Y143" s="3"/>
      <c r="Z143" s="3"/>
      <c r="AA143" s="3"/>
      <c r="AB143" s="3" t="s">
        <v>72</v>
      </c>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row>
    <row r="144" ht="12.75" customHeight="1">
      <c r="A144" s="28"/>
      <c r="B144" s="57"/>
      <c r="C144" s="36"/>
      <c r="D144" s="13"/>
      <c r="E144" s="13"/>
      <c r="F144" s="13"/>
      <c r="G144" s="51"/>
      <c r="H144" s="52"/>
      <c r="I144" s="51">
        <f t="shared" ref="I144:I146" si="60">AN46*AO46</f>
        <v>4</v>
      </c>
      <c r="J144" s="52">
        <f t="shared" ref="J144:J146" si="61">AP46*I144</f>
        <v>280</v>
      </c>
      <c r="K144" s="51"/>
      <c r="L144" s="53"/>
      <c r="M144" s="3"/>
      <c r="N144" s="3"/>
      <c r="O144" s="3"/>
      <c r="P144" s="3"/>
      <c r="Q144" s="3"/>
      <c r="R144" s="6">
        <f>I144</f>
        <v>4</v>
      </c>
      <c r="S144" s="6">
        <f>I145</f>
        <v>5</v>
      </c>
      <c r="T144" s="6">
        <f>I146</f>
        <v>4</v>
      </c>
      <c r="U144" s="6" t="str">
        <f>I147</f>
        <v>#REF!</v>
      </c>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row>
    <row r="145" ht="12.75" customHeight="1">
      <c r="A145" s="28"/>
      <c r="B145" s="57"/>
      <c r="C145" s="36"/>
      <c r="D145" s="13"/>
      <c r="E145" s="13"/>
      <c r="F145" s="13"/>
      <c r="G145" s="51"/>
      <c r="H145" s="52"/>
      <c r="I145" s="51">
        <f t="shared" si="60"/>
        <v>5</v>
      </c>
      <c r="J145" s="52">
        <f t="shared" si="61"/>
        <v>250</v>
      </c>
      <c r="K145" s="51"/>
      <c r="L145" s="5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row>
    <row r="146" ht="12.75" customHeight="1">
      <c r="A146" s="28"/>
      <c r="B146" s="57"/>
      <c r="C146" s="36"/>
      <c r="D146" s="13"/>
      <c r="E146" s="13"/>
      <c r="F146" s="13"/>
      <c r="G146" s="51"/>
      <c r="H146" s="52"/>
      <c r="I146" s="51">
        <f t="shared" si="60"/>
        <v>4</v>
      </c>
      <c r="J146" s="52">
        <f t="shared" si="61"/>
        <v>240</v>
      </c>
      <c r="K146" s="51"/>
      <c r="L146" s="5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row>
    <row r="147" ht="12.75" customHeight="1">
      <c r="A147" s="28"/>
      <c r="B147" s="57"/>
      <c r="C147" s="36"/>
      <c r="D147" s="13"/>
      <c r="E147" s="13"/>
      <c r="F147" s="13"/>
      <c r="G147" s="51"/>
      <c r="H147" s="52"/>
      <c r="I147" s="51" t="str">
        <f>#REF!*#REF!</f>
        <v>#REF!</v>
      </c>
      <c r="J147" s="52" t="str">
        <f>#REF!*I147</f>
        <v>#REF!</v>
      </c>
      <c r="K147" s="51"/>
      <c r="L147" s="5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row>
    <row r="148" ht="12.75" customHeight="1">
      <c r="A148" s="28"/>
      <c r="B148" s="57"/>
      <c r="C148" s="36"/>
      <c r="D148" s="13"/>
      <c r="E148" s="13"/>
      <c r="F148" s="13"/>
      <c r="G148" s="51"/>
      <c r="H148" s="52"/>
      <c r="I148" s="51"/>
      <c r="J148" s="52"/>
      <c r="K148" s="51"/>
      <c r="L148" s="5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row>
    <row r="149" ht="12.75" customHeight="1">
      <c r="A149" s="28"/>
      <c r="B149" s="57"/>
      <c r="C149" s="36"/>
      <c r="D149" s="13"/>
      <c r="E149" s="13"/>
      <c r="F149" s="13"/>
      <c r="G149" s="51"/>
      <c r="H149" s="52"/>
      <c r="I149" s="51"/>
      <c r="J149" s="52"/>
      <c r="K149" s="51"/>
      <c r="L149" s="5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row>
    <row r="150" ht="12.75" customHeight="1">
      <c r="A150" s="28"/>
      <c r="B150" s="57"/>
      <c r="C150" s="36"/>
      <c r="D150" s="13"/>
      <c r="E150" s="13"/>
      <c r="F150" s="13"/>
      <c r="G150" s="51"/>
      <c r="H150" s="52"/>
      <c r="I150" s="51"/>
      <c r="J150" s="52"/>
      <c r="K150" s="51"/>
      <c r="L150" s="5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row>
    <row r="151" ht="12.75" customHeight="1">
      <c r="A151" s="28"/>
      <c r="B151" s="57"/>
      <c r="C151" s="36"/>
      <c r="D151" s="13"/>
      <c r="E151" s="13"/>
      <c r="F151" s="13"/>
      <c r="G151" s="82" t="str">
        <f t="shared" ref="G151:H151" si="62">SUM(G110:G150)</f>
        <v>#VALUE!</v>
      </c>
      <c r="H151" s="83" t="str">
        <f t="shared" si="62"/>
        <v>#VALUE!</v>
      </c>
      <c r="I151" s="82" t="str">
        <f t="shared" ref="I151:J151" si="63">SUM(I106:I150)</f>
        <v>#REF!</v>
      </c>
      <c r="J151" s="83" t="str">
        <f t="shared" si="63"/>
        <v>#REF!</v>
      </c>
      <c r="K151" s="82" t="str">
        <f t="shared" ref="K151:P151" si="64">SUM(K110:K150)</f>
        <v>#REF!</v>
      </c>
      <c r="L151" s="83" t="str">
        <f t="shared" si="64"/>
        <v>#REF!</v>
      </c>
      <c r="M151" s="6" t="str">
        <f t="shared" si="64"/>
        <v>#VALUE!</v>
      </c>
      <c r="N151" s="6">
        <f t="shared" si="64"/>
        <v>11</v>
      </c>
      <c r="O151" s="6">
        <f t="shared" si="64"/>
        <v>40</v>
      </c>
      <c r="P151" s="6">
        <f t="shared" si="64"/>
        <v>3</v>
      </c>
      <c r="Q151" s="3"/>
      <c r="R151" s="6">
        <f t="shared" ref="R151:V151" si="65">SUM(R106:R150)</f>
        <v>18</v>
      </c>
      <c r="S151" s="6">
        <f t="shared" si="65"/>
        <v>16</v>
      </c>
      <c r="T151" s="6">
        <f t="shared" si="65"/>
        <v>25</v>
      </c>
      <c r="U151" s="6" t="str">
        <f t="shared" si="65"/>
        <v>#REF!</v>
      </c>
      <c r="V151" s="6">
        <f t="shared" si="65"/>
        <v>6</v>
      </c>
      <c r="W151" s="6">
        <f t="shared" ref="W151:AA151" si="66">SUM(W120:W150)</f>
        <v>3</v>
      </c>
      <c r="X151" s="6">
        <f t="shared" si="66"/>
        <v>7</v>
      </c>
      <c r="Y151" s="6">
        <f t="shared" si="66"/>
        <v>7</v>
      </c>
      <c r="Z151" s="6" t="str">
        <f t="shared" si="66"/>
        <v>#REF!</v>
      </c>
      <c r="AA151" s="6">
        <f t="shared" si="66"/>
        <v>30</v>
      </c>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row>
    <row r="152" ht="12.75" customHeight="1">
      <c r="A152" s="28"/>
      <c r="B152" s="57"/>
      <c r="C152" s="36"/>
      <c r="D152" s="13"/>
      <c r="E152" s="13"/>
      <c r="F152" s="13"/>
      <c r="G152" s="51"/>
      <c r="H152" s="52"/>
      <c r="I152" s="51"/>
      <c r="J152" s="52"/>
      <c r="K152" s="51"/>
      <c r="L152" s="53"/>
      <c r="M152" s="3" t="s">
        <v>37</v>
      </c>
      <c r="N152" s="3" t="s">
        <v>38</v>
      </c>
      <c r="O152" s="3" t="s">
        <v>39</v>
      </c>
      <c r="P152" s="3" t="s">
        <v>40</v>
      </c>
      <c r="Q152" s="3" t="s">
        <v>41</v>
      </c>
      <c r="R152" s="3" t="s">
        <v>37</v>
      </c>
      <c r="S152" s="3" t="s">
        <v>38</v>
      </c>
      <c r="T152" s="3" t="s">
        <v>39</v>
      </c>
      <c r="U152" s="3" t="s">
        <v>40</v>
      </c>
      <c r="V152" s="3" t="s">
        <v>41</v>
      </c>
      <c r="W152" s="3" t="s">
        <v>37</v>
      </c>
      <c r="X152" s="3" t="s">
        <v>38</v>
      </c>
      <c r="Y152" s="3" t="s">
        <v>39</v>
      </c>
      <c r="Z152" s="3" t="s">
        <v>40</v>
      </c>
      <c r="AA152" s="3" t="s">
        <v>41</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row>
    <row r="153" ht="12.75" customHeight="1">
      <c r="A153" s="28"/>
      <c r="B153" s="57"/>
      <c r="C153" s="36"/>
      <c r="D153" s="13"/>
      <c r="E153" s="13"/>
      <c r="F153" s="13"/>
      <c r="G153" s="51"/>
      <c r="H153" s="52"/>
      <c r="I153" s="51"/>
      <c r="J153" s="52"/>
      <c r="K153" s="51"/>
      <c r="L153" s="5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row>
    <row r="154" ht="12.75" customHeight="1">
      <c r="A154" s="28"/>
      <c r="B154" s="57"/>
      <c r="C154" s="36"/>
      <c r="D154" s="13"/>
      <c r="E154" s="13"/>
      <c r="F154" s="13"/>
      <c r="G154" s="51">
        <f t="shared" ref="G154:G157" si="67">AU7*AV7</f>
        <v>5</v>
      </c>
      <c r="H154" s="52">
        <f t="shared" ref="H154:H157" si="68">AW7*G154</f>
        <v>250</v>
      </c>
      <c r="I154" s="51"/>
      <c r="J154" s="52"/>
      <c r="K154" s="51"/>
      <c r="L154" s="53"/>
      <c r="M154" s="6">
        <f>G154</f>
        <v>5</v>
      </c>
      <c r="N154" s="6">
        <f>G155</f>
        <v>4</v>
      </c>
      <c r="O154" s="6">
        <f>G156</f>
        <v>3</v>
      </c>
      <c r="P154" s="6">
        <f>G157</f>
        <v>12</v>
      </c>
      <c r="Q154" s="6">
        <v>0.0</v>
      </c>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row>
    <row r="155" ht="12.75" customHeight="1">
      <c r="A155" s="28"/>
      <c r="B155" s="57"/>
      <c r="C155" s="36"/>
      <c r="D155" s="13"/>
      <c r="E155" s="13"/>
      <c r="F155" s="13"/>
      <c r="G155" s="51">
        <f t="shared" si="67"/>
        <v>4</v>
      </c>
      <c r="H155" s="52">
        <f t="shared" si="68"/>
        <v>240</v>
      </c>
      <c r="I155" s="51"/>
      <c r="J155" s="52"/>
      <c r="K155" s="51"/>
      <c r="L155" s="5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row>
    <row r="156" ht="12.75" customHeight="1">
      <c r="A156" s="28"/>
      <c r="B156" s="57"/>
      <c r="C156" s="36"/>
      <c r="D156" s="13"/>
      <c r="E156" s="13"/>
      <c r="F156" s="13"/>
      <c r="G156" s="51">
        <f t="shared" si="67"/>
        <v>3</v>
      </c>
      <c r="H156" s="52">
        <f t="shared" si="68"/>
        <v>210</v>
      </c>
      <c r="I156" s="51"/>
      <c r="J156" s="52"/>
      <c r="K156" s="51"/>
      <c r="L156" s="5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row>
    <row r="157" ht="12.75" customHeight="1">
      <c r="A157" s="28"/>
      <c r="B157" s="57"/>
      <c r="C157" s="36"/>
      <c r="D157" s="13"/>
      <c r="E157" s="13"/>
      <c r="F157" s="13"/>
      <c r="G157" s="51">
        <f t="shared" si="67"/>
        <v>12</v>
      </c>
      <c r="H157" s="52">
        <f t="shared" si="68"/>
        <v>960</v>
      </c>
      <c r="I157" s="51"/>
      <c r="J157" s="52"/>
      <c r="K157" s="51"/>
      <c r="L157" s="5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row>
    <row r="158" ht="12.75" customHeight="1">
      <c r="A158" s="28"/>
      <c r="B158" s="57"/>
      <c r="C158" s="36"/>
      <c r="D158" s="13"/>
      <c r="E158" s="13"/>
      <c r="F158" s="13"/>
      <c r="G158" s="51"/>
      <c r="H158" s="52"/>
      <c r="I158" s="51">
        <f t="shared" ref="I158:I161" si="69">AU11*AV11</f>
        <v>5</v>
      </c>
      <c r="J158" s="52">
        <f t="shared" ref="J158:J161" si="70">AW11*I158</f>
        <v>250</v>
      </c>
      <c r="K158" s="51"/>
      <c r="L158" s="53"/>
      <c r="M158" s="3"/>
      <c r="N158" s="3"/>
      <c r="O158" s="3"/>
      <c r="P158" s="3"/>
      <c r="Q158" s="3"/>
      <c r="R158" s="6">
        <f>I158</f>
        <v>5</v>
      </c>
      <c r="S158" s="6">
        <f>I159</f>
        <v>4</v>
      </c>
      <c r="T158" s="6">
        <f>I160</f>
        <v>3</v>
      </c>
      <c r="U158" s="6">
        <f>I161</f>
        <v>8</v>
      </c>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row>
    <row r="159" ht="12.75" customHeight="1">
      <c r="A159" s="28"/>
      <c r="B159" s="57"/>
      <c r="C159" s="36"/>
      <c r="D159" s="13"/>
      <c r="E159" s="13"/>
      <c r="F159" s="13"/>
      <c r="G159" s="51"/>
      <c r="H159" s="52"/>
      <c r="I159" s="51">
        <f t="shared" si="69"/>
        <v>4</v>
      </c>
      <c r="J159" s="52">
        <f t="shared" si="70"/>
        <v>240</v>
      </c>
      <c r="K159" s="51"/>
      <c r="L159" s="5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row>
    <row r="160" ht="12.75" customHeight="1">
      <c r="A160" s="28"/>
      <c r="B160" s="57"/>
      <c r="C160" s="36"/>
      <c r="D160" s="13"/>
      <c r="E160" s="13"/>
      <c r="F160" s="13"/>
      <c r="G160" s="51"/>
      <c r="H160" s="52"/>
      <c r="I160" s="51">
        <f t="shared" si="69"/>
        <v>3</v>
      </c>
      <c r="J160" s="52">
        <f t="shared" si="70"/>
        <v>210</v>
      </c>
      <c r="K160" s="51"/>
      <c r="L160" s="5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row>
    <row r="161" ht="12.75" customHeight="1">
      <c r="A161" s="28"/>
      <c r="B161" s="57"/>
      <c r="C161" s="36"/>
      <c r="D161" s="13"/>
      <c r="E161" s="13"/>
      <c r="F161" s="13"/>
      <c r="G161" s="51"/>
      <c r="H161" s="52"/>
      <c r="I161" s="51">
        <f t="shared" si="69"/>
        <v>8</v>
      </c>
      <c r="J161" s="52">
        <f t="shared" si="70"/>
        <v>640</v>
      </c>
      <c r="K161" s="51"/>
      <c r="L161" s="5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row>
    <row r="162" ht="12.75" customHeight="1">
      <c r="A162" s="28"/>
      <c r="B162" s="57"/>
      <c r="C162" s="36"/>
      <c r="D162" s="13"/>
      <c r="E162" s="13"/>
      <c r="F162" s="13"/>
      <c r="G162" s="51"/>
      <c r="H162" s="52"/>
      <c r="I162" s="51"/>
      <c r="J162" s="52"/>
      <c r="K162" s="51"/>
      <c r="L162" s="5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row>
    <row r="163" ht="12.75" customHeight="1">
      <c r="A163" s="28"/>
      <c r="B163" s="57"/>
      <c r="C163" s="36"/>
      <c r="D163" s="13"/>
      <c r="E163" s="13"/>
      <c r="F163" s="13"/>
      <c r="G163" s="51"/>
      <c r="H163" s="52"/>
      <c r="I163" s="51"/>
      <c r="J163" s="52"/>
      <c r="K163" s="51"/>
      <c r="L163" s="5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row>
    <row r="164" ht="12.75" customHeight="1">
      <c r="A164" s="28"/>
      <c r="B164" s="57"/>
      <c r="C164" s="36"/>
      <c r="D164" s="13"/>
      <c r="E164" s="13"/>
      <c r="F164" s="13"/>
      <c r="G164" s="51"/>
      <c r="H164" s="52"/>
      <c r="I164" s="51"/>
      <c r="J164" s="52"/>
      <c r="K164" s="51"/>
      <c r="L164" s="5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row>
    <row r="165" ht="12.75" customHeight="1">
      <c r="A165" s="28"/>
      <c r="B165" s="57"/>
      <c r="C165" s="36"/>
      <c r="D165" s="13"/>
      <c r="E165" s="13"/>
      <c r="F165" s="13"/>
      <c r="G165" s="51"/>
      <c r="H165" s="52"/>
      <c r="I165" s="51"/>
      <c r="J165" s="52"/>
      <c r="K165" s="51"/>
      <c r="L165" s="5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row>
    <row r="166" ht="12.75" customHeight="1">
      <c r="A166" s="28"/>
      <c r="B166" s="57"/>
      <c r="C166" s="36"/>
      <c r="D166" s="13"/>
      <c r="E166" s="13"/>
      <c r="F166" s="13"/>
      <c r="G166" s="51"/>
      <c r="H166" s="52"/>
      <c r="I166" s="51">
        <f t="shared" ref="I166:I172" si="71">AU19*AV19</f>
        <v>25</v>
      </c>
      <c r="J166" s="52">
        <f t="shared" ref="J166:J172" si="72">AW19*I166</f>
        <v>0</v>
      </c>
      <c r="K166" s="51"/>
      <c r="L166" s="53"/>
      <c r="M166" s="3"/>
      <c r="N166" s="3"/>
      <c r="O166" s="3"/>
      <c r="P166" s="3"/>
      <c r="Q166" s="3"/>
      <c r="R166" s="6">
        <f>I166</f>
        <v>25</v>
      </c>
      <c r="S166" s="6">
        <f>I167</f>
        <v>0</v>
      </c>
      <c r="T166" s="6" t="str">
        <f>I168</f>
        <v>#VALUE!</v>
      </c>
      <c r="U166" s="6">
        <f>I169+I172+I170</f>
        <v>12</v>
      </c>
      <c r="V166" s="6">
        <f>I171</f>
        <v>6</v>
      </c>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row>
    <row r="167" ht="12.75" customHeight="1">
      <c r="A167" s="28"/>
      <c r="B167" s="57"/>
      <c r="C167" s="36"/>
      <c r="D167" s="13"/>
      <c r="E167" s="13"/>
      <c r="F167" s="13"/>
      <c r="G167" s="51"/>
      <c r="H167" s="52"/>
      <c r="I167" s="51">
        <f t="shared" si="71"/>
        <v>0</v>
      </c>
      <c r="J167" s="52">
        <f t="shared" si="72"/>
        <v>0</v>
      </c>
      <c r="K167" s="51"/>
      <c r="L167" s="5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row>
    <row r="168" ht="12.75" customHeight="1">
      <c r="A168" s="28"/>
      <c r="B168" s="57"/>
      <c r="C168" s="36"/>
      <c r="D168" s="13"/>
      <c r="E168" s="13"/>
      <c r="F168" s="13"/>
      <c r="G168" s="51"/>
      <c r="H168" s="52"/>
      <c r="I168" s="51" t="str">
        <f t="shared" si="71"/>
        <v>#VALUE!</v>
      </c>
      <c r="J168" s="52" t="str">
        <f t="shared" si="72"/>
        <v>#VALUE!</v>
      </c>
      <c r="K168" s="51"/>
      <c r="L168" s="5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row>
    <row r="169" ht="12.75" customHeight="1">
      <c r="A169" s="28"/>
      <c r="B169" s="57"/>
      <c r="C169" s="36"/>
      <c r="D169" s="13"/>
      <c r="E169" s="13"/>
      <c r="F169" s="13"/>
      <c r="G169" s="51"/>
      <c r="H169" s="52"/>
      <c r="I169" s="51">
        <f t="shared" si="71"/>
        <v>3</v>
      </c>
      <c r="J169" s="52">
        <f t="shared" si="72"/>
        <v>150</v>
      </c>
      <c r="K169" s="51"/>
      <c r="L169" s="5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row>
    <row r="170" ht="12.75" customHeight="1">
      <c r="A170" s="28"/>
      <c r="B170" s="57"/>
      <c r="C170" s="36"/>
      <c r="D170" s="13"/>
      <c r="E170" s="13"/>
      <c r="F170" s="13"/>
      <c r="G170" s="51"/>
      <c r="H170" s="52"/>
      <c r="I170" s="51">
        <f t="shared" si="71"/>
        <v>3</v>
      </c>
      <c r="J170" s="52">
        <f t="shared" si="72"/>
        <v>180</v>
      </c>
      <c r="K170" s="51"/>
      <c r="L170" s="5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row>
    <row r="171" ht="12.75" customHeight="1">
      <c r="A171" s="28"/>
      <c r="B171" s="57"/>
      <c r="C171" s="36"/>
      <c r="D171" s="13"/>
      <c r="E171" s="13"/>
      <c r="F171" s="13"/>
      <c r="G171" s="51"/>
      <c r="H171" s="52"/>
      <c r="I171" s="51">
        <f t="shared" si="71"/>
        <v>6</v>
      </c>
      <c r="J171" s="52">
        <f t="shared" si="72"/>
        <v>390</v>
      </c>
      <c r="K171" s="51"/>
      <c r="L171" s="5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row>
    <row r="172" ht="12.75" customHeight="1">
      <c r="A172" s="28"/>
      <c r="B172" s="57"/>
      <c r="C172" s="36"/>
      <c r="D172" s="13"/>
      <c r="E172" s="13"/>
      <c r="F172" s="13"/>
      <c r="G172" s="51"/>
      <c r="H172" s="52"/>
      <c r="I172" s="51">
        <f t="shared" si="71"/>
        <v>6</v>
      </c>
      <c r="J172" s="52">
        <f t="shared" si="72"/>
        <v>420</v>
      </c>
      <c r="K172" s="51"/>
      <c r="L172" s="5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row>
    <row r="173" ht="12.75" customHeight="1">
      <c r="A173" s="28"/>
      <c r="B173" s="57"/>
      <c r="C173" s="36"/>
      <c r="D173" s="13"/>
      <c r="E173" s="13"/>
      <c r="F173" s="13"/>
      <c r="G173" s="51"/>
      <c r="H173" s="52"/>
      <c r="I173" s="51"/>
      <c r="J173" s="52"/>
      <c r="K173" s="51">
        <f t="shared" ref="K173:K178" si="73">AU26*AV26</f>
        <v>5</v>
      </c>
      <c r="L173" s="53">
        <f t="shared" ref="L173:L178" si="74">AW26*K173</f>
        <v>250</v>
      </c>
      <c r="M173" s="3"/>
      <c r="N173" s="3"/>
      <c r="O173" s="3"/>
      <c r="P173" s="3"/>
      <c r="Q173" s="3"/>
      <c r="R173" s="3"/>
      <c r="S173" s="3"/>
      <c r="T173" s="3"/>
      <c r="U173" s="3"/>
      <c r="V173" s="3"/>
      <c r="W173" s="6">
        <f>K173</f>
        <v>5</v>
      </c>
      <c r="X173" s="6">
        <f>K174</f>
        <v>4</v>
      </c>
      <c r="Y173" s="6">
        <f>K175</f>
        <v>3</v>
      </c>
      <c r="Z173" s="6">
        <f>K176+K177</f>
        <v>11</v>
      </c>
      <c r="AA173" s="6">
        <f>K178</f>
        <v>3</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row>
    <row r="174" ht="12.75" customHeight="1">
      <c r="A174" s="28"/>
      <c r="B174" s="57"/>
      <c r="C174" s="36"/>
      <c r="D174" s="13"/>
      <c r="E174" s="13"/>
      <c r="F174" s="13"/>
      <c r="G174" s="51"/>
      <c r="H174" s="52"/>
      <c r="I174" s="51"/>
      <c r="J174" s="52"/>
      <c r="K174" s="51">
        <f t="shared" si="73"/>
        <v>4</v>
      </c>
      <c r="L174" s="53">
        <f t="shared" si="74"/>
        <v>240</v>
      </c>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row>
    <row r="175" ht="12.75" customHeight="1">
      <c r="A175" s="28"/>
      <c r="B175" s="57"/>
      <c r="C175" s="36"/>
      <c r="D175" s="13"/>
      <c r="E175" s="13"/>
      <c r="F175" s="13"/>
      <c r="G175" s="51"/>
      <c r="H175" s="52"/>
      <c r="I175" s="51"/>
      <c r="J175" s="52"/>
      <c r="K175" s="51">
        <f t="shared" si="73"/>
        <v>3</v>
      </c>
      <c r="L175" s="53">
        <f t="shared" si="74"/>
        <v>210</v>
      </c>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row>
    <row r="176" ht="12.75" customHeight="1">
      <c r="A176" s="28"/>
      <c r="B176" s="57"/>
      <c r="C176" s="36"/>
      <c r="D176" s="13"/>
      <c r="E176" s="13"/>
      <c r="F176" s="13"/>
      <c r="G176" s="51"/>
      <c r="H176" s="52"/>
      <c r="I176" s="51"/>
      <c r="J176" s="52"/>
      <c r="K176" s="51">
        <f t="shared" si="73"/>
        <v>8</v>
      </c>
      <c r="L176" s="53">
        <f t="shared" si="74"/>
        <v>600</v>
      </c>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row>
    <row r="177" ht="12.75" customHeight="1">
      <c r="A177" s="28"/>
      <c r="B177" s="57"/>
      <c r="C177" s="36"/>
      <c r="D177" s="13"/>
      <c r="E177" s="13"/>
      <c r="F177" s="13"/>
      <c r="G177" s="51"/>
      <c r="H177" s="52"/>
      <c r="I177" s="51"/>
      <c r="J177" s="52"/>
      <c r="K177" s="51">
        <f t="shared" si="73"/>
        <v>3</v>
      </c>
      <c r="L177" s="53">
        <f t="shared" si="74"/>
        <v>210</v>
      </c>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row>
    <row r="178" ht="12.75" customHeight="1">
      <c r="A178" s="28"/>
      <c r="B178" s="57"/>
      <c r="C178" s="36"/>
      <c r="D178" s="13"/>
      <c r="E178" s="13"/>
      <c r="F178" s="13"/>
      <c r="G178" s="51"/>
      <c r="H178" s="52"/>
      <c r="I178" s="51"/>
      <c r="J178" s="52"/>
      <c r="K178" s="51">
        <f t="shared" si="73"/>
        <v>3</v>
      </c>
      <c r="L178" s="53">
        <f t="shared" si="74"/>
        <v>240</v>
      </c>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row>
    <row r="179" ht="12.75" customHeight="1">
      <c r="A179" s="3"/>
      <c r="B179" s="3"/>
      <c r="C179" s="3"/>
      <c r="D179" s="3"/>
      <c r="E179" s="3"/>
      <c r="F179" s="3"/>
      <c r="G179" s="51"/>
      <c r="H179" s="52"/>
      <c r="I179" s="51"/>
      <c r="J179" s="52"/>
      <c r="K179" s="51"/>
      <c r="L179" s="5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row>
    <row r="180" ht="12.75" customHeight="1">
      <c r="A180" s="3"/>
      <c r="B180" s="3"/>
      <c r="C180" s="3"/>
      <c r="D180" s="3"/>
      <c r="E180" s="3"/>
      <c r="F180" s="3"/>
      <c r="G180" s="51"/>
      <c r="H180" s="52"/>
      <c r="I180" s="51"/>
      <c r="J180" s="52"/>
      <c r="K180" s="51"/>
      <c r="L180" s="5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row>
    <row r="181" ht="12.75" customHeight="1">
      <c r="A181" s="28"/>
      <c r="B181" s="57"/>
      <c r="C181" s="36"/>
      <c r="D181" s="13"/>
      <c r="E181" s="13"/>
      <c r="F181" s="13"/>
      <c r="G181" s="51"/>
      <c r="H181" s="52"/>
      <c r="I181" s="51"/>
      <c r="J181" s="52"/>
      <c r="K181" s="51"/>
      <c r="L181" s="5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row>
    <row r="182" ht="12.75" customHeight="1">
      <c r="A182" s="28"/>
      <c r="B182" s="57"/>
      <c r="C182" s="36"/>
      <c r="D182" s="13"/>
      <c r="E182" s="13"/>
      <c r="F182" s="13"/>
      <c r="G182" s="51"/>
      <c r="H182" s="52"/>
      <c r="I182" s="51"/>
      <c r="J182" s="52"/>
      <c r="K182" s="51"/>
      <c r="L182" s="5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row>
    <row r="183" ht="12.75" customHeight="1">
      <c r="A183" s="28"/>
      <c r="B183" s="57"/>
      <c r="C183" s="36"/>
      <c r="D183" s="13"/>
      <c r="E183" s="13"/>
      <c r="F183" s="13"/>
      <c r="G183" s="51"/>
      <c r="H183" s="52"/>
      <c r="I183" s="51"/>
      <c r="J183" s="52"/>
      <c r="K183" s="51"/>
      <c r="L183" s="5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row>
    <row r="184" ht="12.75" customHeight="1">
      <c r="A184" s="28"/>
      <c r="B184" s="57"/>
      <c r="C184" s="36"/>
      <c r="D184" s="13"/>
      <c r="E184" s="13"/>
      <c r="F184" s="13"/>
      <c r="G184" s="51" t="str">
        <f t="shared" ref="G184:G188" si="75">AU37*AV37</f>
        <v>#VALUE!</v>
      </c>
      <c r="H184" s="52" t="str">
        <f t="shared" ref="H184:H188" si="76">AW37*G184</f>
        <v>#VALUE!</v>
      </c>
      <c r="I184" s="51"/>
      <c r="J184" s="52"/>
      <c r="K184" s="51"/>
      <c r="L184" s="53"/>
      <c r="M184" s="6" t="str">
        <f>G184</f>
        <v>#VALUE!</v>
      </c>
      <c r="N184" s="6">
        <f>G185</f>
        <v>5</v>
      </c>
      <c r="O184" s="6">
        <f>G186</f>
        <v>4</v>
      </c>
      <c r="P184" s="6">
        <f>G188+G187</f>
        <v>13</v>
      </c>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row>
    <row r="185" ht="12.75" customHeight="1">
      <c r="A185" s="28"/>
      <c r="B185" s="57"/>
      <c r="C185" s="36"/>
      <c r="D185" s="13"/>
      <c r="E185" s="13"/>
      <c r="F185" s="13"/>
      <c r="G185" s="51">
        <f t="shared" si="75"/>
        <v>5</v>
      </c>
      <c r="H185" s="52">
        <f t="shared" si="76"/>
        <v>250</v>
      </c>
      <c r="I185" s="51"/>
      <c r="J185" s="52"/>
      <c r="K185" s="51"/>
      <c r="L185" s="5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row>
    <row r="186" ht="12.75" customHeight="1">
      <c r="A186" s="28"/>
      <c r="B186" s="57"/>
      <c r="C186" s="36"/>
      <c r="D186" s="13"/>
      <c r="E186" s="13"/>
      <c r="F186" s="13"/>
      <c r="G186" s="51">
        <f t="shared" si="75"/>
        <v>4</v>
      </c>
      <c r="H186" s="52">
        <f t="shared" si="76"/>
        <v>240</v>
      </c>
      <c r="I186" s="51"/>
      <c r="J186" s="52"/>
      <c r="K186" s="51"/>
      <c r="L186" s="5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row>
    <row r="187" ht="12.75" customHeight="1">
      <c r="A187" s="28"/>
      <c r="B187" s="57"/>
      <c r="C187" s="36"/>
      <c r="D187" s="13"/>
      <c r="E187" s="13"/>
      <c r="F187" s="13"/>
      <c r="G187" s="51">
        <f t="shared" si="75"/>
        <v>3</v>
      </c>
      <c r="H187" s="52">
        <f t="shared" si="76"/>
        <v>210</v>
      </c>
      <c r="I187" s="51"/>
      <c r="J187" s="52"/>
      <c r="K187" s="51"/>
      <c r="L187" s="5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row>
    <row r="188" ht="12.75" customHeight="1">
      <c r="A188" s="28"/>
      <c r="B188" s="57"/>
      <c r="C188" s="36"/>
      <c r="D188" s="13"/>
      <c r="E188" s="13"/>
      <c r="F188" s="13"/>
      <c r="G188" s="51">
        <f t="shared" si="75"/>
        <v>10</v>
      </c>
      <c r="H188" s="52">
        <f t="shared" si="76"/>
        <v>800</v>
      </c>
      <c r="I188" s="51"/>
      <c r="J188" s="52"/>
      <c r="K188" s="51"/>
      <c r="L188" s="5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row>
    <row r="189" ht="12.75" customHeight="1">
      <c r="A189" s="28"/>
      <c r="B189" s="57"/>
      <c r="C189" s="36"/>
      <c r="D189" s="13"/>
      <c r="E189" s="13"/>
      <c r="F189" s="13"/>
      <c r="G189" s="51"/>
      <c r="H189" s="52"/>
      <c r="I189" s="51">
        <f t="shared" ref="I189:I191" si="77">AU42*AV42</f>
        <v>6</v>
      </c>
      <c r="J189" s="52">
        <f t="shared" ref="J189:J191" si="78">AW42*I189</f>
        <v>300</v>
      </c>
      <c r="K189" s="51"/>
      <c r="L189" s="53"/>
      <c r="M189" s="3"/>
      <c r="N189" s="3"/>
      <c r="O189" s="3"/>
      <c r="P189" s="3"/>
      <c r="Q189" s="3"/>
      <c r="R189" s="6">
        <f>I189</f>
        <v>6</v>
      </c>
      <c r="S189" s="6">
        <f>I190</f>
        <v>6</v>
      </c>
      <c r="T189" s="6">
        <f>I191</f>
        <v>30</v>
      </c>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row>
    <row r="190" ht="12.75" customHeight="1">
      <c r="A190" s="28"/>
      <c r="B190" s="57"/>
      <c r="C190" s="36"/>
      <c r="D190" s="13"/>
      <c r="E190" s="13"/>
      <c r="F190" s="13"/>
      <c r="G190" s="51"/>
      <c r="H190" s="52"/>
      <c r="I190" s="51">
        <f t="shared" si="77"/>
        <v>6</v>
      </c>
      <c r="J190" s="52">
        <f t="shared" si="78"/>
        <v>360</v>
      </c>
      <c r="K190" s="51"/>
      <c r="L190" s="5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row>
    <row r="191" ht="12.75" customHeight="1">
      <c r="A191" s="28"/>
      <c r="B191" s="57"/>
      <c r="C191" s="36"/>
      <c r="D191" s="13"/>
      <c r="E191" s="13"/>
      <c r="F191" s="13"/>
      <c r="G191" s="51"/>
      <c r="H191" s="52"/>
      <c r="I191" s="51">
        <f t="shared" si="77"/>
        <v>30</v>
      </c>
      <c r="J191" s="52">
        <f t="shared" si="78"/>
        <v>2100</v>
      </c>
      <c r="K191" s="51"/>
      <c r="L191" s="5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row>
    <row r="192" ht="12.75" customHeight="1">
      <c r="A192" s="28"/>
      <c r="B192" s="57"/>
      <c r="C192" s="36"/>
      <c r="D192" s="13"/>
      <c r="E192" s="13"/>
      <c r="F192" s="13"/>
      <c r="G192" s="51"/>
      <c r="H192" s="52"/>
      <c r="I192" s="51"/>
      <c r="J192" s="52"/>
      <c r="K192" s="51"/>
      <c r="L192" s="5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row>
    <row r="193" ht="12.75" customHeight="1">
      <c r="A193" s="28"/>
      <c r="B193" s="57"/>
      <c r="C193" s="36"/>
      <c r="D193" s="13"/>
      <c r="E193" s="13"/>
      <c r="F193" s="13"/>
      <c r="G193" s="51"/>
      <c r="H193" s="52"/>
      <c r="I193" s="51"/>
      <c r="J193" s="52"/>
      <c r="K193" s="51"/>
      <c r="L193" s="5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row>
    <row r="194" ht="12.75" customHeight="1">
      <c r="A194" s="28"/>
      <c r="B194" s="57"/>
      <c r="C194" s="36"/>
      <c r="D194" s="13"/>
      <c r="E194" s="13"/>
      <c r="F194" s="13"/>
      <c r="G194" s="51"/>
      <c r="H194" s="52"/>
      <c r="I194" s="51"/>
      <c r="J194" s="52"/>
      <c r="K194" s="51"/>
      <c r="L194" s="5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row>
    <row r="195" ht="12.75" customHeight="1">
      <c r="A195" s="28"/>
      <c r="B195" s="57"/>
      <c r="C195" s="37"/>
      <c r="D195" s="26"/>
      <c r="E195" s="26"/>
      <c r="F195" s="26"/>
      <c r="G195" s="51"/>
      <c r="H195" s="52"/>
      <c r="I195" s="51"/>
      <c r="J195" s="52"/>
      <c r="K195" s="51"/>
      <c r="L195" s="5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row>
    <row r="196" ht="12.75" customHeight="1">
      <c r="A196" s="28"/>
      <c r="B196" s="57"/>
      <c r="C196" s="36"/>
      <c r="D196" s="13"/>
      <c r="E196" s="13"/>
      <c r="F196" s="13"/>
      <c r="G196" s="26" t="str">
        <f t="shared" ref="G196:Q196" si="79">SUM(G154:G195)</f>
        <v>#VALUE!</v>
      </c>
      <c r="H196" s="26" t="str">
        <f t="shared" si="79"/>
        <v>#VALUE!</v>
      </c>
      <c r="I196" s="26" t="str">
        <f t="shared" si="79"/>
        <v>#VALUE!</v>
      </c>
      <c r="J196" s="26" t="str">
        <f t="shared" si="79"/>
        <v>#VALUE!</v>
      </c>
      <c r="K196" s="26">
        <f t="shared" si="79"/>
        <v>26</v>
      </c>
      <c r="L196" s="26">
        <f t="shared" si="79"/>
        <v>1750</v>
      </c>
      <c r="M196" s="6" t="str">
        <f t="shared" si="79"/>
        <v>#VALUE!</v>
      </c>
      <c r="N196" s="6">
        <f t="shared" si="79"/>
        <v>9</v>
      </c>
      <c r="O196" s="6">
        <f t="shared" si="79"/>
        <v>7</v>
      </c>
      <c r="P196" s="6">
        <f t="shared" si="79"/>
        <v>25</v>
      </c>
      <c r="Q196" s="6">
        <f t="shared" si="79"/>
        <v>0</v>
      </c>
      <c r="R196" s="6">
        <f t="shared" ref="R196:V196" si="80">SUM(R158:R195)</f>
        <v>36</v>
      </c>
      <c r="S196" s="6">
        <f t="shared" si="80"/>
        <v>10</v>
      </c>
      <c r="T196" s="6" t="str">
        <f t="shared" si="80"/>
        <v>#VALUE!</v>
      </c>
      <c r="U196" s="6">
        <f t="shared" si="80"/>
        <v>20</v>
      </c>
      <c r="V196" s="6">
        <f t="shared" si="80"/>
        <v>6</v>
      </c>
      <c r="W196" s="6">
        <f t="shared" ref="W196:AA196" si="81">SUM(W173:W195)</f>
        <v>5</v>
      </c>
      <c r="X196" s="6">
        <f t="shared" si="81"/>
        <v>4</v>
      </c>
      <c r="Y196" s="6">
        <f t="shared" si="81"/>
        <v>3</v>
      </c>
      <c r="Z196" s="6">
        <f t="shared" si="81"/>
        <v>11</v>
      </c>
      <c r="AA196" s="6">
        <f t="shared" si="81"/>
        <v>3</v>
      </c>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row>
    <row r="197" ht="12.75" customHeight="1">
      <c r="A197" s="28"/>
      <c r="B197" s="57"/>
      <c r="C197" s="36"/>
      <c r="D197" s="13"/>
      <c r="E197" s="13"/>
      <c r="F197" s="13"/>
      <c r="G197" s="13"/>
      <c r="H197" s="13"/>
      <c r="I197" s="13"/>
      <c r="J197" s="13"/>
      <c r="K197" s="13"/>
      <c r="L197" s="27"/>
      <c r="M197" s="3" t="s">
        <v>37</v>
      </c>
      <c r="N197" s="3" t="s">
        <v>38</v>
      </c>
      <c r="O197" s="3" t="s">
        <v>39</v>
      </c>
      <c r="P197" s="3" t="s">
        <v>40</v>
      </c>
      <c r="Q197" s="3" t="s">
        <v>41</v>
      </c>
      <c r="R197" s="3" t="s">
        <v>37</v>
      </c>
      <c r="S197" s="3" t="s">
        <v>38</v>
      </c>
      <c r="T197" s="3" t="s">
        <v>39</v>
      </c>
      <c r="U197" s="3" t="s">
        <v>40</v>
      </c>
      <c r="V197" s="3" t="s">
        <v>41</v>
      </c>
      <c r="W197" s="3" t="s">
        <v>37</v>
      </c>
      <c r="X197" s="3" t="s">
        <v>38</v>
      </c>
      <c r="Y197" s="3" t="s">
        <v>39</v>
      </c>
      <c r="Z197" s="3" t="s">
        <v>40</v>
      </c>
      <c r="AA197" s="3" t="s">
        <v>41</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row>
    <row r="198" ht="12.75" customHeight="1">
      <c r="A198" s="28"/>
      <c r="B198" s="57"/>
      <c r="C198" s="36"/>
      <c r="D198" s="13"/>
      <c r="E198" s="13"/>
      <c r="F198" s="13"/>
      <c r="G198" s="13"/>
      <c r="H198" s="13"/>
      <c r="I198" s="13"/>
      <c r="J198" s="13"/>
      <c r="K198" s="13"/>
      <c r="L198" s="27"/>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row>
    <row r="199" ht="12.75" customHeight="1">
      <c r="A199" s="28"/>
      <c r="B199" s="57"/>
      <c r="C199" s="36"/>
      <c r="D199" s="13"/>
      <c r="E199" s="13"/>
      <c r="F199" s="13"/>
      <c r="G199" s="26" t="str">
        <f t="shared" ref="G199:L199" si="82">SUM(G196+G151+G103+G56)</f>
        <v>#VALUE!</v>
      </c>
      <c r="H199" s="26" t="str">
        <f t="shared" si="82"/>
        <v>#VALUE!</v>
      </c>
      <c r="I199" s="26" t="str">
        <f t="shared" si="82"/>
        <v>#VALUE!</v>
      </c>
      <c r="J199" s="26" t="str">
        <f t="shared" si="82"/>
        <v>#VALUE!</v>
      </c>
      <c r="K199" s="26" t="str">
        <f t="shared" si="82"/>
        <v>#REF!</v>
      </c>
      <c r="L199" s="26" t="str">
        <f t="shared" si="82"/>
        <v>#REF!</v>
      </c>
      <c r="M199" s="6" t="str">
        <f t="shared" ref="M199:AA199" si="83">M196+M151+M103+M56</f>
        <v>#VALUE!</v>
      </c>
      <c r="N199" s="6" t="str">
        <f t="shared" si="83"/>
        <v>#REF!</v>
      </c>
      <c r="O199" s="6" t="str">
        <f t="shared" si="83"/>
        <v>#REF!</v>
      </c>
      <c r="P199" s="6">
        <f t="shared" si="83"/>
        <v>83</v>
      </c>
      <c r="Q199" s="6">
        <f t="shared" si="83"/>
        <v>0</v>
      </c>
      <c r="R199" s="6">
        <f t="shared" si="83"/>
        <v>135</v>
      </c>
      <c r="S199" s="6">
        <f t="shared" si="83"/>
        <v>111</v>
      </c>
      <c r="T199" s="6" t="str">
        <f t="shared" si="83"/>
        <v>#VALUE!</v>
      </c>
      <c r="U199" s="6" t="str">
        <f t="shared" si="83"/>
        <v>#REF!</v>
      </c>
      <c r="V199" s="6">
        <f t="shared" si="83"/>
        <v>12</v>
      </c>
      <c r="W199" s="6">
        <f t="shared" si="83"/>
        <v>24</v>
      </c>
      <c r="X199" s="6">
        <f t="shared" si="83"/>
        <v>27</v>
      </c>
      <c r="Y199" s="6">
        <f t="shared" si="83"/>
        <v>36</v>
      </c>
      <c r="Z199" s="6" t="str">
        <f t="shared" si="83"/>
        <v>#REF!</v>
      </c>
      <c r="AA199" s="6">
        <f t="shared" si="83"/>
        <v>39</v>
      </c>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row>
    <row r="200" ht="12.75" customHeight="1">
      <c r="A200" s="28"/>
      <c r="B200" s="57"/>
      <c r="C200" s="36"/>
      <c r="D200" s="13"/>
      <c r="E200" s="13"/>
      <c r="F200" s="13"/>
      <c r="G200" s="13"/>
      <c r="H200" s="13"/>
      <c r="I200" s="13"/>
      <c r="J200" s="13"/>
      <c r="K200" s="13"/>
      <c r="L200" s="27"/>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row>
    <row r="201" ht="13.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row>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R5:AS5"/>
    <mergeCell ref="AR6:AS6"/>
    <mergeCell ref="AD19:AE19"/>
    <mergeCell ref="B2:F2"/>
    <mergeCell ref="A5:B5"/>
    <mergeCell ref="AD5:AE5"/>
    <mergeCell ref="AK5:AL5"/>
    <mergeCell ref="A6:B6"/>
    <mergeCell ref="AD6:AE6"/>
    <mergeCell ref="AK6:AL6"/>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7"/>
    <col customWidth="1" min="2" max="2" width="27.29"/>
    <col customWidth="1" min="3" max="3" width="11.14"/>
    <col customWidth="1" min="4" max="4" width="10.71"/>
    <col customWidth="1" min="5" max="5" width="9.0"/>
    <col customWidth="1" min="6" max="6" width="12.0"/>
    <col customWidth="1" hidden="1" min="7" max="27" width="8.29"/>
    <col customWidth="1" min="28" max="28" width="2.57"/>
    <col customWidth="1" min="29" max="29" width="3.0"/>
    <col customWidth="1" min="30" max="30" width="27.0"/>
    <col customWidth="1" min="31" max="34" width="8.57"/>
    <col customWidth="1" min="35" max="35" width="2.43"/>
    <col customWidth="1" min="36" max="36" width="3.0"/>
    <col customWidth="1" min="37" max="37" width="27.0"/>
    <col customWidth="1" min="38" max="38" width="8.57"/>
    <col customWidth="1" min="39" max="39" width="7.57"/>
    <col customWidth="1" min="40" max="40" width="6.71"/>
    <col customWidth="1" min="41" max="41" width="8.57"/>
    <col customWidth="1" min="42" max="42" width="2.0"/>
    <col customWidth="1" min="43" max="43" width="2.86"/>
    <col customWidth="1" min="44" max="44" width="27.29"/>
    <col customWidth="1" min="45" max="48" width="8.57"/>
    <col customWidth="1" min="49" max="50" width="3.0"/>
    <col customWidth="1" min="51" max="51" width="27.0"/>
    <col customWidth="1" min="52" max="52" width="8.86"/>
    <col customWidth="1" min="53" max="54" width="8.14"/>
    <col customWidth="1" min="55" max="55" width="9.29"/>
    <col customWidth="1" min="56" max="65" width="17.14"/>
  </cols>
  <sheetData>
    <row r="1" ht="12.75" customHeight="1">
      <c r="A1" s="28"/>
      <c r="B1" s="25" t="s">
        <v>23</v>
      </c>
      <c r="C1" s="93"/>
      <c r="D1" s="93"/>
      <c r="E1" s="93"/>
      <c r="F1" s="93"/>
      <c r="G1" s="27"/>
      <c r="H1" s="27"/>
      <c r="I1" s="27"/>
      <c r="J1" s="27"/>
      <c r="K1" s="27"/>
      <c r="L1" s="27"/>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row>
    <row r="2" ht="21.0" customHeight="1">
      <c r="A2" s="28"/>
      <c r="B2" s="29" t="s">
        <v>76</v>
      </c>
      <c r="G2" s="94"/>
      <c r="H2" s="94"/>
      <c r="I2" s="27"/>
      <c r="J2" s="27"/>
      <c r="K2" s="27"/>
      <c r="L2" s="27"/>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row>
    <row r="3" ht="12.75" customHeight="1">
      <c r="A3" s="28"/>
      <c r="B3" s="31"/>
      <c r="C3" s="34"/>
      <c r="D3" s="95"/>
      <c r="E3" s="96"/>
      <c r="F3" s="30"/>
      <c r="G3" s="94"/>
      <c r="H3" s="94"/>
      <c r="I3" s="27"/>
      <c r="J3" s="27"/>
      <c r="K3" s="27"/>
      <c r="L3" s="27"/>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row>
    <row r="4" ht="12.75" customHeight="1">
      <c r="A4" s="28"/>
      <c r="B4" s="34"/>
      <c r="C4" s="34"/>
      <c r="D4" s="97"/>
      <c r="E4" s="34"/>
      <c r="F4" s="34"/>
      <c r="G4" s="27"/>
      <c r="H4" s="27"/>
      <c r="I4" s="27"/>
      <c r="J4" s="27"/>
      <c r="K4" s="27"/>
      <c r="L4" s="27"/>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row>
    <row r="5" ht="12.75" customHeight="1">
      <c r="A5" s="28" t="s">
        <v>25</v>
      </c>
      <c r="C5" s="36"/>
      <c r="D5" s="98"/>
      <c r="E5" s="27"/>
      <c r="F5" s="13"/>
      <c r="G5" s="27"/>
      <c r="H5" s="27"/>
      <c r="I5" s="27"/>
      <c r="J5" s="27"/>
      <c r="K5" s="27"/>
      <c r="L5" s="27"/>
      <c r="M5" s="3" t="s">
        <v>26</v>
      </c>
      <c r="N5" s="3"/>
      <c r="O5" s="3"/>
      <c r="P5" s="3"/>
      <c r="Q5" s="3"/>
      <c r="R5" s="3" t="s">
        <v>27</v>
      </c>
      <c r="S5" s="3"/>
      <c r="T5" s="3"/>
      <c r="U5" s="3"/>
      <c r="V5" s="3"/>
      <c r="W5" s="3" t="s">
        <v>28</v>
      </c>
      <c r="X5" s="3"/>
      <c r="Y5" s="3"/>
      <c r="Z5" s="3"/>
      <c r="AA5" s="3"/>
      <c r="AB5" s="3"/>
      <c r="AC5" s="28" t="s">
        <v>29</v>
      </c>
      <c r="AE5" s="36"/>
      <c r="AF5" s="98"/>
      <c r="AG5" s="27"/>
      <c r="AH5" s="13"/>
      <c r="AI5" s="3"/>
      <c r="AJ5" s="28" t="s">
        <v>30</v>
      </c>
      <c r="AL5" s="36"/>
      <c r="AM5" s="98"/>
      <c r="AN5" s="27"/>
      <c r="AO5" s="13"/>
      <c r="AP5" s="3"/>
      <c r="AQ5" s="28" t="s">
        <v>31</v>
      </c>
      <c r="AS5" s="36"/>
      <c r="AT5" s="98"/>
      <c r="AU5" s="27"/>
      <c r="AV5" s="13"/>
      <c r="AW5" s="3"/>
      <c r="AX5" s="28" t="s">
        <v>77</v>
      </c>
      <c r="AZ5" s="36"/>
      <c r="BA5" s="98"/>
      <c r="BB5" s="27"/>
      <c r="BC5" s="13"/>
      <c r="BD5" s="3"/>
      <c r="BE5" s="3"/>
      <c r="BF5" s="3"/>
      <c r="BG5" s="3"/>
      <c r="BH5" s="3"/>
      <c r="BI5" s="3"/>
      <c r="BJ5" s="3"/>
      <c r="BK5" s="3"/>
      <c r="BL5" s="3"/>
      <c r="BM5" s="3"/>
    </row>
    <row r="6" ht="12.75" customHeight="1">
      <c r="A6" s="28" t="s">
        <v>32</v>
      </c>
      <c r="C6" s="37" t="s">
        <v>33</v>
      </c>
      <c r="D6" s="99" t="s">
        <v>34</v>
      </c>
      <c r="E6" s="25" t="s">
        <v>35</v>
      </c>
      <c r="F6" s="26" t="s">
        <v>36</v>
      </c>
      <c r="G6" s="27"/>
      <c r="H6" s="27"/>
      <c r="I6" s="27"/>
      <c r="J6" s="27"/>
      <c r="K6" s="27"/>
      <c r="L6" s="27"/>
      <c r="M6" s="3" t="s">
        <v>37</v>
      </c>
      <c r="N6" s="3" t="s">
        <v>38</v>
      </c>
      <c r="O6" s="3" t="s">
        <v>39</v>
      </c>
      <c r="P6" s="3" t="s">
        <v>40</v>
      </c>
      <c r="Q6" s="3" t="s">
        <v>41</v>
      </c>
      <c r="R6" s="3" t="s">
        <v>37</v>
      </c>
      <c r="S6" s="3" t="s">
        <v>38</v>
      </c>
      <c r="T6" s="3" t="s">
        <v>39</v>
      </c>
      <c r="U6" s="3" t="s">
        <v>40</v>
      </c>
      <c r="V6" s="3" t="s">
        <v>41</v>
      </c>
      <c r="W6" s="3" t="s">
        <v>37</v>
      </c>
      <c r="X6" s="3" t="s">
        <v>38</v>
      </c>
      <c r="Y6" s="3" t="s">
        <v>39</v>
      </c>
      <c r="Z6" s="3" t="s">
        <v>40</v>
      </c>
      <c r="AA6" s="3" t="s">
        <v>41</v>
      </c>
      <c r="AB6" s="3"/>
      <c r="AC6" s="28" t="s">
        <v>32</v>
      </c>
      <c r="AE6" s="37" t="s">
        <v>33</v>
      </c>
      <c r="AF6" s="99" t="s">
        <v>34</v>
      </c>
      <c r="AG6" s="25" t="s">
        <v>35</v>
      </c>
      <c r="AH6" s="26" t="s">
        <v>36</v>
      </c>
      <c r="AI6" s="3"/>
      <c r="AJ6" s="28" t="s">
        <v>32</v>
      </c>
      <c r="AL6" s="37" t="s">
        <v>33</v>
      </c>
      <c r="AM6" s="99" t="s">
        <v>34</v>
      </c>
      <c r="AN6" s="25" t="s">
        <v>35</v>
      </c>
      <c r="AO6" s="26" t="s">
        <v>36</v>
      </c>
      <c r="AP6" s="3"/>
      <c r="AQ6" s="28" t="s">
        <v>32</v>
      </c>
      <c r="AS6" s="37" t="s">
        <v>33</v>
      </c>
      <c r="AT6" s="99" t="s">
        <v>34</v>
      </c>
      <c r="AU6" s="25" t="s">
        <v>35</v>
      </c>
      <c r="AV6" s="26" t="s">
        <v>36</v>
      </c>
      <c r="AW6" s="3"/>
      <c r="AX6" s="28" t="s">
        <v>32</v>
      </c>
      <c r="AZ6" s="37" t="s">
        <v>33</v>
      </c>
      <c r="BA6" s="99" t="s">
        <v>34</v>
      </c>
      <c r="BB6" s="25" t="s">
        <v>35</v>
      </c>
      <c r="BC6" s="26" t="s">
        <v>36</v>
      </c>
      <c r="BD6" s="3"/>
      <c r="BE6" s="3"/>
      <c r="BF6" s="3"/>
      <c r="BG6" s="3"/>
      <c r="BH6" s="3"/>
      <c r="BI6" s="3"/>
      <c r="BJ6" s="3"/>
      <c r="BK6" s="3"/>
      <c r="BL6" s="3"/>
      <c r="BM6" s="3"/>
    </row>
    <row r="7" ht="12.75" customHeight="1">
      <c r="A7" s="45">
        <v>1.0</v>
      </c>
      <c r="B7" s="46" t="s">
        <v>43</v>
      </c>
      <c r="C7" s="47">
        <v>0.55</v>
      </c>
      <c r="D7" s="48">
        <v>5.0</v>
      </c>
      <c r="E7" s="48">
        <v>1.0</v>
      </c>
      <c r="F7" s="49">
        <f>Max!$B$4*C7</f>
        <v>55</v>
      </c>
      <c r="G7" s="98">
        <f t="shared" ref="G7:G10" si="1">D7*E7</f>
        <v>5</v>
      </c>
      <c r="H7" s="98">
        <f t="shared" ref="H7:H10" si="2">G7*F7</f>
        <v>275</v>
      </c>
      <c r="I7" s="27"/>
      <c r="J7" s="27"/>
      <c r="K7" s="27"/>
      <c r="L7" s="27"/>
      <c r="M7" s="100">
        <f>G7</f>
        <v>5</v>
      </c>
      <c r="N7" s="100">
        <f>G8</f>
        <v>4</v>
      </c>
      <c r="O7" s="100">
        <f>G9+G10</f>
        <v>9</v>
      </c>
      <c r="P7" s="3">
        <v>0.0</v>
      </c>
      <c r="Q7" s="3">
        <v>0.0</v>
      </c>
      <c r="R7" s="100">
        <f>I11</f>
        <v>5</v>
      </c>
      <c r="S7" s="100">
        <f>I12</f>
        <v>4</v>
      </c>
      <c r="T7" s="100">
        <f>I13+I14</f>
        <v>15</v>
      </c>
      <c r="U7" s="3">
        <v>0.0</v>
      </c>
      <c r="V7" s="3">
        <v>0.0</v>
      </c>
      <c r="W7" s="3"/>
      <c r="X7" s="3"/>
      <c r="Y7" s="3"/>
      <c r="Z7" s="3"/>
      <c r="AA7" s="3"/>
      <c r="AB7" s="3"/>
      <c r="AC7" s="38">
        <v>1.0</v>
      </c>
      <c r="AD7" s="39" t="s">
        <v>42</v>
      </c>
      <c r="AE7" s="40">
        <v>0.5</v>
      </c>
      <c r="AF7" s="50">
        <v>3.0</v>
      </c>
      <c r="AG7" s="50">
        <v>1.0</v>
      </c>
      <c r="AH7" s="41">
        <f>Max!$B$3*AE7</f>
        <v>50</v>
      </c>
      <c r="AI7" s="3"/>
      <c r="AJ7" s="38">
        <v>1.0</v>
      </c>
      <c r="AK7" s="39" t="s">
        <v>42</v>
      </c>
      <c r="AL7" s="40">
        <v>0.55</v>
      </c>
      <c r="AM7" s="50">
        <v>3.0</v>
      </c>
      <c r="AN7" s="50">
        <v>1.0</v>
      </c>
      <c r="AO7" s="41">
        <f>Max!$B$3*AL7</f>
        <v>55</v>
      </c>
      <c r="AP7" s="3"/>
      <c r="AQ7" s="38">
        <v>1.0</v>
      </c>
      <c r="AR7" s="39" t="s">
        <v>42</v>
      </c>
      <c r="AS7" s="40">
        <v>0.5</v>
      </c>
      <c r="AT7" s="50">
        <v>3.0</v>
      </c>
      <c r="AU7" s="50">
        <v>1.0</v>
      </c>
      <c r="AV7" s="41">
        <f>Max!$B$3*AS7</f>
        <v>50</v>
      </c>
      <c r="AW7" s="3"/>
      <c r="AX7" s="45">
        <v>1.0</v>
      </c>
      <c r="AY7" s="46" t="s">
        <v>43</v>
      </c>
      <c r="AZ7" s="47">
        <v>0.5</v>
      </c>
      <c r="BA7" s="48">
        <v>3.0</v>
      </c>
      <c r="BB7" s="48">
        <v>1.0</v>
      </c>
      <c r="BC7" s="49">
        <f>Max!$B$4*AZ7</f>
        <v>50</v>
      </c>
      <c r="BD7" s="3"/>
      <c r="BE7" s="3"/>
      <c r="BF7" s="3"/>
      <c r="BG7" s="3"/>
      <c r="BH7" s="3"/>
      <c r="BI7" s="3"/>
      <c r="BJ7" s="3"/>
      <c r="BK7" s="3"/>
      <c r="BL7" s="3"/>
      <c r="BM7" s="3"/>
    </row>
    <row r="8" ht="12.75" customHeight="1">
      <c r="A8" s="45"/>
      <c r="B8" s="46"/>
      <c r="C8" s="47">
        <v>0.65</v>
      </c>
      <c r="D8" s="48">
        <v>4.0</v>
      </c>
      <c r="E8" s="48">
        <v>1.0</v>
      </c>
      <c r="F8" s="49">
        <f>Max!$B$4*C8</f>
        <v>65</v>
      </c>
      <c r="G8" s="98">
        <f t="shared" si="1"/>
        <v>4</v>
      </c>
      <c r="H8" s="98">
        <f t="shared" si="2"/>
        <v>260</v>
      </c>
      <c r="I8" s="27"/>
      <c r="J8" s="27"/>
      <c r="K8" s="27"/>
      <c r="L8" s="27"/>
      <c r="M8" s="3"/>
      <c r="N8" s="3"/>
      <c r="O8" s="3"/>
      <c r="P8" s="3"/>
      <c r="Q8" s="3"/>
      <c r="R8" s="3"/>
      <c r="S8" s="3"/>
      <c r="T8" s="3"/>
      <c r="U8" s="3"/>
      <c r="V8" s="3"/>
      <c r="W8" s="3"/>
      <c r="X8" s="3"/>
      <c r="Y8" s="3"/>
      <c r="Z8" s="3"/>
      <c r="AA8" s="3"/>
      <c r="AB8" s="3"/>
      <c r="AC8" s="38"/>
      <c r="AD8" s="39"/>
      <c r="AE8" s="40">
        <v>0.6</v>
      </c>
      <c r="AF8" s="50">
        <v>3.0</v>
      </c>
      <c r="AG8" s="50">
        <v>1.0</v>
      </c>
      <c r="AH8" s="41">
        <f>Max!$B$3*AE8</f>
        <v>60</v>
      </c>
      <c r="AI8" s="3"/>
      <c r="AJ8" s="38"/>
      <c r="AK8" s="39"/>
      <c r="AL8" s="40">
        <v>0.65</v>
      </c>
      <c r="AM8" s="50">
        <v>3.0</v>
      </c>
      <c r="AN8" s="50">
        <v>1.0</v>
      </c>
      <c r="AO8" s="41">
        <f>Max!$B$3*AL8</f>
        <v>65</v>
      </c>
      <c r="AP8" s="3"/>
      <c r="AQ8" s="38"/>
      <c r="AR8" s="39"/>
      <c r="AS8" s="40">
        <v>0.6</v>
      </c>
      <c r="AT8" s="50">
        <v>3.0</v>
      </c>
      <c r="AU8" s="50">
        <v>1.0</v>
      </c>
      <c r="AV8" s="41">
        <f>Max!$B$3*AS8</f>
        <v>60</v>
      </c>
      <c r="AW8" s="3"/>
      <c r="AX8" s="45"/>
      <c r="AY8" s="46"/>
      <c r="AZ8" s="47">
        <v>0.6</v>
      </c>
      <c r="BA8" s="48">
        <v>3.0</v>
      </c>
      <c r="BB8" s="48">
        <v>1.0</v>
      </c>
      <c r="BC8" s="49">
        <f>Max!$B$4*AZ8</f>
        <v>60</v>
      </c>
      <c r="BD8" s="3"/>
      <c r="BE8" s="3"/>
      <c r="BF8" s="3"/>
      <c r="BG8" s="3"/>
      <c r="BH8" s="3"/>
      <c r="BI8" s="3"/>
      <c r="BJ8" s="3"/>
      <c r="BK8" s="3"/>
      <c r="BL8" s="3"/>
      <c r="BM8" s="3"/>
    </row>
    <row r="9" ht="12.75" customHeight="1">
      <c r="A9" s="45"/>
      <c r="B9" s="46"/>
      <c r="C9" s="47">
        <v>0.75</v>
      </c>
      <c r="D9" s="48">
        <v>3.0</v>
      </c>
      <c r="E9" s="48">
        <v>1.0</v>
      </c>
      <c r="F9" s="49">
        <f>Max!$B$4*C9</f>
        <v>75</v>
      </c>
      <c r="G9" s="98">
        <f t="shared" si="1"/>
        <v>3</v>
      </c>
      <c r="H9" s="98">
        <f t="shared" si="2"/>
        <v>225</v>
      </c>
      <c r="I9" s="27"/>
      <c r="J9" s="27"/>
      <c r="K9" s="27"/>
      <c r="L9" s="27"/>
      <c r="M9" s="3"/>
      <c r="N9" s="3"/>
      <c r="O9" s="3"/>
      <c r="P9" s="3"/>
      <c r="Q9" s="3"/>
      <c r="R9" s="3"/>
      <c r="S9" s="3"/>
      <c r="T9" s="3"/>
      <c r="U9" s="3"/>
      <c r="V9" s="3"/>
      <c r="W9" s="3"/>
      <c r="X9" s="3"/>
      <c r="Y9" s="3"/>
      <c r="Z9" s="3"/>
      <c r="AA9" s="3"/>
      <c r="AB9" s="3"/>
      <c r="AC9" s="38"/>
      <c r="AD9" s="39"/>
      <c r="AE9" s="40">
        <v>0.7</v>
      </c>
      <c r="AF9" s="50">
        <v>3.0</v>
      </c>
      <c r="AG9" s="50">
        <v>1.0</v>
      </c>
      <c r="AH9" s="41">
        <f>Max!$B$3*AE9</f>
        <v>70</v>
      </c>
      <c r="AI9" s="3"/>
      <c r="AJ9" s="38"/>
      <c r="AK9" s="39"/>
      <c r="AL9" s="40">
        <v>0.75</v>
      </c>
      <c r="AM9" s="50">
        <v>2.0</v>
      </c>
      <c r="AN9" s="50">
        <v>2.0</v>
      </c>
      <c r="AO9" s="41">
        <f>Max!$B$3*AL9</f>
        <v>75</v>
      </c>
      <c r="AP9" s="3"/>
      <c r="AQ9" s="38"/>
      <c r="AR9" s="39"/>
      <c r="AS9" s="40">
        <v>0.7</v>
      </c>
      <c r="AT9" s="50">
        <v>3.0</v>
      </c>
      <c r="AU9" s="50">
        <v>1.0</v>
      </c>
      <c r="AV9" s="41">
        <f>Max!$B$3*AS9</f>
        <v>70</v>
      </c>
      <c r="AW9" s="3"/>
      <c r="AX9" s="45"/>
      <c r="AY9" s="46"/>
      <c r="AZ9" s="47">
        <v>0.7</v>
      </c>
      <c r="BA9" s="48">
        <v>2.0</v>
      </c>
      <c r="BB9" s="48">
        <v>2.0</v>
      </c>
      <c r="BC9" s="49">
        <f>Max!$B$4*AZ9</f>
        <v>70</v>
      </c>
      <c r="BD9" s="3"/>
      <c r="BE9" s="3"/>
      <c r="BF9" s="3"/>
      <c r="BG9" s="3"/>
      <c r="BH9" s="3"/>
      <c r="BI9" s="3"/>
      <c r="BJ9" s="3"/>
      <c r="BK9" s="3"/>
      <c r="BL9" s="3"/>
      <c r="BM9" s="3"/>
    </row>
    <row r="10" ht="12.75" customHeight="1">
      <c r="A10" s="45"/>
      <c r="B10" s="46"/>
      <c r="C10" s="47">
        <v>0.85</v>
      </c>
      <c r="D10" s="48">
        <v>2.0</v>
      </c>
      <c r="E10" s="48">
        <v>3.0</v>
      </c>
      <c r="F10" s="49">
        <f>Max!$B$4*C10</f>
        <v>85</v>
      </c>
      <c r="G10" s="98">
        <f t="shared" si="1"/>
        <v>6</v>
      </c>
      <c r="H10" s="98">
        <f t="shared" si="2"/>
        <v>510</v>
      </c>
      <c r="I10" s="27"/>
      <c r="J10" s="27"/>
      <c r="K10" s="27"/>
      <c r="L10" s="27"/>
      <c r="M10" s="3"/>
      <c r="N10" s="3"/>
      <c r="O10" s="3"/>
      <c r="P10" s="3"/>
      <c r="Q10" s="3"/>
      <c r="R10" s="3"/>
      <c r="S10" s="3"/>
      <c r="T10" s="3"/>
      <c r="U10" s="3"/>
      <c r="V10" s="3"/>
      <c r="W10" s="3"/>
      <c r="X10" s="3"/>
      <c r="Y10" s="3"/>
      <c r="Z10" s="3"/>
      <c r="AA10" s="3"/>
      <c r="AB10" s="3"/>
      <c r="AC10" s="38"/>
      <c r="AD10" s="39"/>
      <c r="AE10" s="40">
        <v>0.75</v>
      </c>
      <c r="AF10" s="50">
        <v>2.0</v>
      </c>
      <c r="AG10" s="50">
        <v>3.0</v>
      </c>
      <c r="AH10" s="41">
        <f>Max!$B$3*AE10</f>
        <v>75</v>
      </c>
      <c r="AI10" s="3"/>
      <c r="AJ10" s="38"/>
      <c r="AK10" s="39"/>
      <c r="AL10" s="40">
        <v>0.85</v>
      </c>
      <c r="AM10" s="50">
        <v>1.0</v>
      </c>
      <c r="AN10" s="50">
        <v>4.0</v>
      </c>
      <c r="AO10" s="41">
        <f>Max!$B$3*AL10</f>
        <v>85</v>
      </c>
      <c r="AP10" s="3"/>
      <c r="AQ10" s="38"/>
      <c r="AR10" s="39"/>
      <c r="AS10" s="40">
        <v>0.8</v>
      </c>
      <c r="AT10" s="50">
        <v>2.0</v>
      </c>
      <c r="AU10" s="50">
        <v>4.0</v>
      </c>
      <c r="AV10" s="41">
        <f>Max!$B$3*AS10</f>
        <v>80</v>
      </c>
      <c r="AW10" s="3"/>
      <c r="AX10" s="45"/>
      <c r="AY10" s="46"/>
      <c r="AZ10" s="47">
        <v>0.75</v>
      </c>
      <c r="BA10" s="48">
        <v>1.0</v>
      </c>
      <c r="BB10" s="48">
        <v>3.0</v>
      </c>
      <c r="BC10" s="49">
        <f>Max!$B$4*AZ10</f>
        <v>75</v>
      </c>
      <c r="BD10" s="3"/>
      <c r="BE10" s="3"/>
      <c r="BF10" s="3"/>
      <c r="BG10" s="3"/>
      <c r="BH10" s="3"/>
      <c r="BI10" s="3"/>
      <c r="BJ10" s="3"/>
      <c r="BK10" s="3"/>
      <c r="BL10" s="3"/>
      <c r="BM10" s="3"/>
    </row>
    <row r="11" ht="12.75" customHeight="1">
      <c r="A11" s="38">
        <v>2.0</v>
      </c>
      <c r="B11" s="39" t="s">
        <v>42</v>
      </c>
      <c r="C11" s="40">
        <v>0.5</v>
      </c>
      <c r="D11" s="50">
        <v>5.0</v>
      </c>
      <c r="E11" s="50">
        <v>1.0</v>
      </c>
      <c r="F11" s="41">
        <f>Max!$B$3*C11</f>
        <v>50</v>
      </c>
      <c r="G11" s="27"/>
      <c r="H11" s="27"/>
      <c r="I11" s="98">
        <f t="shared" ref="I11:I14" si="3">D11*E11</f>
        <v>5</v>
      </c>
      <c r="J11" s="98">
        <f t="shared" ref="J11:J14" si="4">I11*F11</f>
        <v>250</v>
      </c>
      <c r="K11" s="27"/>
      <c r="L11" s="27"/>
      <c r="M11" s="3"/>
      <c r="N11" s="3"/>
      <c r="O11" s="3"/>
      <c r="P11" s="3"/>
      <c r="Q11" s="3"/>
      <c r="R11" s="3"/>
      <c r="S11" s="3"/>
      <c r="T11" s="3"/>
      <c r="U11" s="3"/>
      <c r="V11" s="3"/>
      <c r="W11" s="3"/>
      <c r="X11" s="3"/>
      <c r="Y11" s="3"/>
      <c r="Z11" s="3"/>
      <c r="AA11" s="3"/>
      <c r="AB11" s="3"/>
      <c r="AC11" s="45">
        <v>2.0</v>
      </c>
      <c r="AD11" s="46" t="s">
        <v>43</v>
      </c>
      <c r="AE11" s="47">
        <v>0.5</v>
      </c>
      <c r="AF11" s="48">
        <v>3.0</v>
      </c>
      <c r="AG11" s="48">
        <v>1.0</v>
      </c>
      <c r="AH11" s="49">
        <f>Max!$B$4*AE11</f>
        <v>50</v>
      </c>
      <c r="AI11" s="3"/>
      <c r="AJ11" s="45">
        <v>2.0</v>
      </c>
      <c r="AK11" s="46" t="s">
        <v>43</v>
      </c>
      <c r="AL11" s="47">
        <v>0.5</v>
      </c>
      <c r="AM11" s="48">
        <v>3.0</v>
      </c>
      <c r="AN11" s="48">
        <v>1.0</v>
      </c>
      <c r="AO11" s="49">
        <f>Max!$B$4*AL11</f>
        <v>50</v>
      </c>
      <c r="AP11" s="3"/>
      <c r="AQ11" s="45">
        <v>2.0</v>
      </c>
      <c r="AR11" s="46" t="s">
        <v>43</v>
      </c>
      <c r="AS11" s="47">
        <v>0.5</v>
      </c>
      <c r="AT11" s="48">
        <v>3.0</v>
      </c>
      <c r="AU11" s="48">
        <v>1.0</v>
      </c>
      <c r="AV11" s="49">
        <f>Max!$B$4*AS11</f>
        <v>50</v>
      </c>
      <c r="AW11" s="3"/>
      <c r="AX11" s="69">
        <v>2.0</v>
      </c>
      <c r="AY11" s="70" t="s">
        <v>71</v>
      </c>
      <c r="AZ11" s="71">
        <v>0.5</v>
      </c>
      <c r="BA11" s="73">
        <v>3.0</v>
      </c>
      <c r="BB11" s="73">
        <v>1.0</v>
      </c>
      <c r="BC11" s="72">
        <f>Max!$B$5*AZ11</f>
        <v>50</v>
      </c>
      <c r="BD11" s="3"/>
      <c r="BE11" s="3"/>
      <c r="BF11" s="3"/>
      <c r="BG11" s="3"/>
      <c r="BH11" s="3"/>
      <c r="BI11" s="3"/>
      <c r="BJ11" s="3"/>
      <c r="BK11" s="3"/>
      <c r="BL11" s="3"/>
      <c r="BM11" s="3"/>
    </row>
    <row r="12" ht="12.75" customHeight="1">
      <c r="A12" s="38"/>
      <c r="B12" s="39"/>
      <c r="C12" s="40">
        <v>0.6</v>
      </c>
      <c r="D12" s="50">
        <v>4.0</v>
      </c>
      <c r="E12" s="50">
        <v>1.0</v>
      </c>
      <c r="F12" s="41">
        <f>Max!$B$3*C12</f>
        <v>60</v>
      </c>
      <c r="G12" s="27"/>
      <c r="H12" s="27"/>
      <c r="I12" s="98">
        <f t="shared" si="3"/>
        <v>4</v>
      </c>
      <c r="J12" s="98">
        <f t="shared" si="4"/>
        <v>240</v>
      </c>
      <c r="K12" s="27"/>
      <c r="L12" s="27"/>
      <c r="M12" s="3"/>
      <c r="N12" s="3"/>
      <c r="O12" s="3"/>
      <c r="P12" s="3"/>
      <c r="Q12" s="3"/>
      <c r="R12" s="3"/>
      <c r="S12" s="3"/>
      <c r="T12" s="3"/>
      <c r="U12" s="3"/>
      <c r="V12" s="3"/>
      <c r="W12" s="3"/>
      <c r="X12" s="3"/>
      <c r="Y12" s="3"/>
      <c r="Z12" s="3"/>
      <c r="AA12" s="3"/>
      <c r="AB12" s="3"/>
      <c r="AC12" s="45"/>
      <c r="AD12" s="46"/>
      <c r="AE12" s="47">
        <v>0.6</v>
      </c>
      <c r="AF12" s="48">
        <v>3.0</v>
      </c>
      <c r="AG12" s="48">
        <v>1.0</v>
      </c>
      <c r="AH12" s="49">
        <f>Max!$B$4*AE12</f>
        <v>60</v>
      </c>
      <c r="AI12" s="3"/>
      <c r="AJ12" s="45"/>
      <c r="AK12" s="46"/>
      <c r="AL12" s="47">
        <v>0.6</v>
      </c>
      <c r="AM12" s="48">
        <v>3.0</v>
      </c>
      <c r="AN12" s="48">
        <v>1.0</v>
      </c>
      <c r="AO12" s="49">
        <f>Max!$B$4*AL12</f>
        <v>60</v>
      </c>
      <c r="AP12" s="3"/>
      <c r="AQ12" s="45"/>
      <c r="AR12" s="46"/>
      <c r="AS12" s="47">
        <v>0.6</v>
      </c>
      <c r="AT12" s="48">
        <v>3.0</v>
      </c>
      <c r="AU12" s="48">
        <v>1.0</v>
      </c>
      <c r="AV12" s="49">
        <f>Max!$B$4*AS12</f>
        <v>60</v>
      </c>
      <c r="AW12" s="3"/>
      <c r="AX12" s="69"/>
      <c r="AY12" s="70"/>
      <c r="AZ12" s="71">
        <v>0.6</v>
      </c>
      <c r="BA12" s="73">
        <v>3.0</v>
      </c>
      <c r="BB12" s="73">
        <v>1.0</v>
      </c>
      <c r="BC12" s="72">
        <f>Max!$B$5*AZ12</f>
        <v>60</v>
      </c>
      <c r="BD12" s="3"/>
      <c r="BE12" s="3"/>
      <c r="BF12" s="3"/>
      <c r="BG12" s="3"/>
      <c r="BH12" s="3"/>
      <c r="BI12" s="3"/>
      <c r="BJ12" s="3"/>
      <c r="BK12" s="3"/>
      <c r="BL12" s="3"/>
      <c r="BM12" s="3"/>
    </row>
    <row r="13" ht="12.75" customHeight="1">
      <c r="A13" s="38"/>
      <c r="B13" s="39"/>
      <c r="C13" s="40">
        <v>0.7</v>
      </c>
      <c r="D13" s="50">
        <v>3.0</v>
      </c>
      <c r="E13" s="50">
        <v>1.0</v>
      </c>
      <c r="F13" s="41">
        <f>Max!$B$3*C13</f>
        <v>70</v>
      </c>
      <c r="G13" s="27"/>
      <c r="H13" s="27"/>
      <c r="I13" s="98">
        <f t="shared" si="3"/>
        <v>3</v>
      </c>
      <c r="J13" s="98">
        <f t="shared" si="4"/>
        <v>210</v>
      </c>
      <c r="K13" s="27"/>
      <c r="L13" s="27"/>
      <c r="M13" s="3"/>
      <c r="N13" s="3"/>
      <c r="O13" s="3"/>
      <c r="P13" s="3"/>
      <c r="Q13" s="3"/>
      <c r="R13" s="3"/>
      <c r="S13" s="3"/>
      <c r="T13" s="3"/>
      <c r="U13" s="3"/>
      <c r="V13" s="3"/>
      <c r="W13" s="3"/>
      <c r="X13" s="3"/>
      <c r="Y13" s="3"/>
      <c r="Z13" s="3"/>
      <c r="AA13" s="3"/>
      <c r="AB13" s="3"/>
      <c r="AC13" s="45"/>
      <c r="AD13" s="46"/>
      <c r="AE13" s="47">
        <v>0.7</v>
      </c>
      <c r="AF13" s="48">
        <v>3.0</v>
      </c>
      <c r="AG13" s="48">
        <v>1.0</v>
      </c>
      <c r="AH13" s="49">
        <f>Max!$B$4*AE13</f>
        <v>70</v>
      </c>
      <c r="AI13" s="3"/>
      <c r="AJ13" s="45"/>
      <c r="AK13" s="46"/>
      <c r="AL13" s="47">
        <v>0.7</v>
      </c>
      <c r="AM13" s="48">
        <v>3.0</v>
      </c>
      <c r="AN13" s="48">
        <v>1.0</v>
      </c>
      <c r="AO13" s="49">
        <f>Max!$B$4*AL13</f>
        <v>70</v>
      </c>
      <c r="AP13" s="3"/>
      <c r="AQ13" s="45"/>
      <c r="AR13" s="46"/>
      <c r="AS13" s="47">
        <v>0.7</v>
      </c>
      <c r="AT13" s="48">
        <v>3.0</v>
      </c>
      <c r="AU13" s="48">
        <v>1.0</v>
      </c>
      <c r="AV13" s="49">
        <f>Max!$B$4*AS13</f>
        <v>70</v>
      </c>
      <c r="AW13" s="3"/>
      <c r="AX13" s="69"/>
      <c r="AY13" s="70"/>
      <c r="AZ13" s="71">
        <v>0.7</v>
      </c>
      <c r="BA13" s="73">
        <v>2.0</v>
      </c>
      <c r="BB13" s="73">
        <v>3.0</v>
      </c>
      <c r="BC13" s="72">
        <f>Max!$B$5*AZ13</f>
        <v>70</v>
      </c>
      <c r="BD13" s="3"/>
      <c r="BE13" s="3"/>
      <c r="BF13" s="3"/>
      <c r="BG13" s="3"/>
      <c r="BH13" s="3"/>
      <c r="BI13" s="3"/>
      <c r="BJ13" s="3"/>
      <c r="BK13" s="3"/>
      <c r="BL13" s="3"/>
      <c r="BM13" s="3"/>
    </row>
    <row r="14" ht="12.75" customHeight="1">
      <c r="A14" s="38"/>
      <c r="B14" s="39"/>
      <c r="C14" s="40">
        <v>0.8</v>
      </c>
      <c r="D14" s="50">
        <v>3.0</v>
      </c>
      <c r="E14" s="50">
        <v>4.0</v>
      </c>
      <c r="F14" s="41">
        <f>Max!$B$3*C14</f>
        <v>80</v>
      </c>
      <c r="G14" s="27"/>
      <c r="H14" s="27"/>
      <c r="I14" s="98">
        <f t="shared" si="3"/>
        <v>12</v>
      </c>
      <c r="J14" s="98">
        <f t="shared" si="4"/>
        <v>960</v>
      </c>
      <c r="K14" s="27"/>
      <c r="L14" s="27"/>
      <c r="M14" s="3"/>
      <c r="N14" s="3"/>
      <c r="O14" s="3"/>
      <c r="P14" s="3"/>
      <c r="Q14" s="3"/>
      <c r="R14" s="3"/>
      <c r="S14" s="3"/>
      <c r="T14" s="3"/>
      <c r="U14" s="3"/>
      <c r="V14" s="3"/>
      <c r="W14" s="3"/>
      <c r="X14" s="3"/>
      <c r="Y14" s="3"/>
      <c r="Z14" s="3"/>
      <c r="AA14" s="3"/>
      <c r="AB14" s="3"/>
      <c r="AC14" s="45"/>
      <c r="AD14" s="46"/>
      <c r="AE14" s="47">
        <v>0.75</v>
      </c>
      <c r="AF14" s="48">
        <v>2.0</v>
      </c>
      <c r="AG14" s="48">
        <v>3.0</v>
      </c>
      <c r="AH14" s="49">
        <f>Max!$B$4*AE14</f>
        <v>75</v>
      </c>
      <c r="AI14" s="3"/>
      <c r="AJ14" s="45"/>
      <c r="AK14" s="46"/>
      <c r="AL14" s="47">
        <v>0.8</v>
      </c>
      <c r="AM14" s="48">
        <v>3.0</v>
      </c>
      <c r="AN14" s="48">
        <v>4.0</v>
      </c>
      <c r="AO14" s="49">
        <f>Max!$B$4*AL14</f>
        <v>80</v>
      </c>
      <c r="AP14" s="3"/>
      <c r="AQ14" s="45"/>
      <c r="AR14" s="46"/>
      <c r="AS14" s="47">
        <v>0.8</v>
      </c>
      <c r="AT14" s="48">
        <v>2.0</v>
      </c>
      <c r="AU14" s="48">
        <v>2.0</v>
      </c>
      <c r="AV14" s="49">
        <f>Max!$B$4*AS14</f>
        <v>80</v>
      </c>
      <c r="AW14" s="3"/>
      <c r="AX14" s="56">
        <v>4.0</v>
      </c>
      <c r="AY14" s="80" t="s">
        <v>59</v>
      </c>
      <c r="AZ14" s="58">
        <v>0.65</v>
      </c>
      <c r="BA14" s="79">
        <v>8.0</v>
      </c>
      <c r="BB14" s="55">
        <v>3.0</v>
      </c>
      <c r="BC14" s="55"/>
      <c r="BD14" s="3"/>
      <c r="BE14" s="3"/>
      <c r="BF14" s="3"/>
      <c r="BG14" s="3"/>
      <c r="BH14" s="3"/>
      <c r="BI14" s="3"/>
      <c r="BJ14" s="3"/>
      <c r="BK14" s="3"/>
      <c r="BL14" s="3"/>
      <c r="BM14" s="3"/>
    </row>
    <row r="15" ht="12.75" customHeight="1">
      <c r="A15" s="45">
        <v>3.0</v>
      </c>
      <c r="B15" s="46" t="s">
        <v>43</v>
      </c>
      <c r="C15" s="47">
        <v>0.5</v>
      </c>
      <c r="D15" s="48">
        <v>5.0</v>
      </c>
      <c r="E15" s="48">
        <v>1.0</v>
      </c>
      <c r="F15" s="49">
        <f>Max!$B$4*C15</f>
        <v>50</v>
      </c>
      <c r="G15" s="27"/>
      <c r="H15" s="27"/>
      <c r="I15" s="27"/>
      <c r="J15" s="27"/>
      <c r="K15" s="27"/>
      <c r="L15" s="27"/>
      <c r="M15" s="3"/>
      <c r="N15" s="3"/>
      <c r="O15" s="3"/>
      <c r="P15" s="3"/>
      <c r="Q15" s="3"/>
      <c r="R15" s="3"/>
      <c r="S15" s="3"/>
      <c r="T15" s="3"/>
      <c r="U15" s="3"/>
      <c r="V15" s="3"/>
      <c r="W15" s="3"/>
      <c r="X15" s="3"/>
      <c r="Y15" s="3"/>
      <c r="Z15" s="3"/>
      <c r="AA15" s="3"/>
      <c r="AB15" s="3"/>
      <c r="AC15" s="56">
        <v>3.0</v>
      </c>
      <c r="AD15" s="80" t="s">
        <v>44</v>
      </c>
      <c r="AE15" s="58">
        <v>0.7</v>
      </c>
      <c r="AF15" s="55">
        <v>6.0</v>
      </c>
      <c r="AG15" s="55">
        <v>4.0</v>
      </c>
      <c r="AH15" s="55"/>
      <c r="AI15" s="3"/>
      <c r="AJ15" s="56">
        <v>3.0</v>
      </c>
      <c r="AK15" s="80" t="s">
        <v>44</v>
      </c>
      <c r="AL15" s="58">
        <v>0.7</v>
      </c>
      <c r="AM15" s="55">
        <v>6.0</v>
      </c>
      <c r="AN15" s="55">
        <v>4.0</v>
      </c>
      <c r="AO15" s="55"/>
      <c r="AP15" s="3"/>
      <c r="AQ15" s="45"/>
      <c r="AR15" s="46"/>
      <c r="AS15" s="47">
        <v>0.85</v>
      </c>
      <c r="AT15" s="48">
        <v>1.0</v>
      </c>
      <c r="AU15" s="48">
        <v>3.0</v>
      </c>
      <c r="AV15" s="49">
        <f>Max!$B$4*AS15</f>
        <v>85</v>
      </c>
      <c r="AW15" s="3"/>
      <c r="AX15" s="28"/>
      <c r="AY15" s="57"/>
      <c r="AZ15" s="36"/>
      <c r="BA15" s="98"/>
      <c r="BB15" s="27"/>
      <c r="BC15" s="13"/>
      <c r="BD15" s="3"/>
      <c r="BE15" s="3"/>
      <c r="BF15" s="3"/>
      <c r="BG15" s="3"/>
      <c r="BH15" s="3"/>
      <c r="BI15" s="3"/>
      <c r="BJ15" s="3"/>
      <c r="BK15" s="3"/>
      <c r="BL15" s="3"/>
      <c r="BM15" s="3"/>
    </row>
    <row r="16" ht="12.75" customHeight="1">
      <c r="A16" s="45"/>
      <c r="B16" s="46"/>
      <c r="C16" s="47">
        <v>0.6</v>
      </c>
      <c r="D16" s="48">
        <v>4.0</v>
      </c>
      <c r="E16" s="48">
        <v>1.0</v>
      </c>
      <c r="F16" s="49">
        <f>Max!$B$4*C16</f>
        <v>60</v>
      </c>
      <c r="G16" s="27"/>
      <c r="H16" s="27"/>
      <c r="I16" s="27"/>
      <c r="J16" s="27"/>
      <c r="K16" s="27"/>
      <c r="L16" s="27"/>
      <c r="M16" s="3"/>
      <c r="N16" s="3"/>
      <c r="O16" s="3"/>
      <c r="P16" s="3"/>
      <c r="Q16" s="3"/>
      <c r="R16" s="3"/>
      <c r="S16" s="3"/>
      <c r="T16" s="3"/>
      <c r="U16" s="3"/>
      <c r="V16" s="3"/>
      <c r="W16" s="3"/>
      <c r="X16" s="3"/>
      <c r="Y16" s="3"/>
      <c r="Z16" s="3"/>
      <c r="AA16" s="3"/>
      <c r="AB16" s="3"/>
      <c r="AC16" s="64">
        <v>4.0</v>
      </c>
      <c r="AD16" s="65" t="s">
        <v>50</v>
      </c>
      <c r="AE16" s="66">
        <v>0.65</v>
      </c>
      <c r="AF16" s="68">
        <v>8.0</v>
      </c>
      <c r="AG16" s="68">
        <v>3.0</v>
      </c>
      <c r="AH16" s="68"/>
      <c r="AI16" s="3"/>
      <c r="AJ16" s="64">
        <v>4.0</v>
      </c>
      <c r="AK16" s="65" t="s">
        <v>50</v>
      </c>
      <c r="AL16" s="66">
        <v>0.65</v>
      </c>
      <c r="AM16" s="68">
        <v>8.0</v>
      </c>
      <c r="AN16" s="68">
        <v>4.0</v>
      </c>
      <c r="AO16" s="68"/>
      <c r="AP16" s="3"/>
      <c r="AQ16" s="56">
        <v>3.0</v>
      </c>
      <c r="AR16" s="80" t="s">
        <v>44</v>
      </c>
      <c r="AS16" s="58">
        <v>0.6</v>
      </c>
      <c r="AT16" s="55">
        <v>6.0</v>
      </c>
      <c r="AU16" s="55">
        <v>4.0</v>
      </c>
      <c r="AV16" s="55"/>
      <c r="AW16" s="3"/>
      <c r="AX16" s="28" t="s">
        <v>49</v>
      </c>
      <c r="AZ16" s="37" t="s">
        <v>33</v>
      </c>
      <c r="BA16" s="99" t="s">
        <v>34</v>
      </c>
      <c r="BB16" s="25" t="s">
        <v>35</v>
      </c>
      <c r="BC16" s="26" t="s">
        <v>36</v>
      </c>
      <c r="BD16" s="3"/>
      <c r="BE16" s="3"/>
      <c r="BF16" s="3"/>
      <c r="BG16" s="3"/>
      <c r="BH16" s="3"/>
      <c r="BI16" s="3"/>
      <c r="BJ16" s="3"/>
      <c r="BK16" s="3"/>
      <c r="BL16" s="3"/>
      <c r="BM16" s="3"/>
    </row>
    <row r="17" ht="12.75" customHeight="1">
      <c r="A17" s="45"/>
      <c r="B17" s="46"/>
      <c r="C17" s="47">
        <v>0.7</v>
      </c>
      <c r="D17" s="48">
        <v>3.0</v>
      </c>
      <c r="E17" s="48">
        <v>1.0</v>
      </c>
      <c r="F17" s="49">
        <f>Max!$B$4*C17</f>
        <v>70</v>
      </c>
      <c r="G17" s="27"/>
      <c r="H17" s="27"/>
      <c r="I17" s="27"/>
      <c r="J17" s="27"/>
      <c r="K17" s="27"/>
      <c r="L17" s="27"/>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56">
        <v>4.0</v>
      </c>
      <c r="AR17" s="80" t="s">
        <v>48</v>
      </c>
      <c r="AS17" s="58">
        <v>0.8</v>
      </c>
      <c r="AT17" s="79">
        <v>4.0</v>
      </c>
      <c r="AU17" s="55">
        <v>4.0</v>
      </c>
      <c r="AV17" s="55"/>
      <c r="AW17" s="3"/>
      <c r="AX17" s="38">
        <v>1.0</v>
      </c>
      <c r="AY17" s="39" t="s">
        <v>42</v>
      </c>
      <c r="AZ17" s="40">
        <v>0.5</v>
      </c>
      <c r="BA17" s="50">
        <v>3.0</v>
      </c>
      <c r="BB17" s="50">
        <v>1.0</v>
      </c>
      <c r="BC17" s="41">
        <f>Max!$B$3*AZ17</f>
        <v>50</v>
      </c>
      <c r="BD17" s="3"/>
      <c r="BE17" s="3"/>
      <c r="BF17" s="3"/>
      <c r="BG17" s="3"/>
      <c r="BH17" s="3"/>
      <c r="BI17" s="3"/>
      <c r="BJ17" s="3"/>
      <c r="BK17" s="3"/>
      <c r="BL17" s="3"/>
      <c r="BM17" s="3"/>
    </row>
    <row r="18" ht="12.75" customHeight="1">
      <c r="A18" s="45"/>
      <c r="B18" s="46"/>
      <c r="C18" s="47">
        <v>0.8</v>
      </c>
      <c r="D18" s="48">
        <v>2.0</v>
      </c>
      <c r="E18" s="48">
        <v>4.0</v>
      </c>
      <c r="F18" s="49">
        <f>Max!$B$4*C18</f>
        <v>80</v>
      </c>
      <c r="G18" s="98">
        <f t="shared" ref="G18:G23" si="5">D24*E24</f>
        <v>3</v>
      </c>
      <c r="H18" s="98">
        <f t="shared" ref="H18:H23" si="6">G18*F24</f>
        <v>180</v>
      </c>
      <c r="I18" s="27"/>
      <c r="J18" s="27"/>
      <c r="K18" s="27"/>
      <c r="L18" s="27"/>
      <c r="M18" s="100">
        <f>G18</f>
        <v>3</v>
      </c>
      <c r="N18" s="100">
        <f>G19</f>
        <v>8</v>
      </c>
      <c r="O18" s="100">
        <f>G20</f>
        <v>5</v>
      </c>
      <c r="P18" s="100">
        <f>G21</f>
        <v>4</v>
      </c>
      <c r="Q18" s="6">
        <f>G22+G23+G24</f>
        <v>17</v>
      </c>
      <c r="R18" s="3"/>
      <c r="S18" s="3"/>
      <c r="T18" s="3"/>
      <c r="U18" s="3"/>
      <c r="V18" s="3"/>
      <c r="W18" s="3"/>
      <c r="X18" s="3"/>
      <c r="Y18" s="3"/>
      <c r="Z18" s="3"/>
      <c r="AA18" s="3"/>
      <c r="AB18" s="3"/>
      <c r="AC18" s="28" t="s">
        <v>49</v>
      </c>
      <c r="AD18" s="28"/>
      <c r="AE18" s="37" t="s">
        <v>33</v>
      </c>
      <c r="AF18" s="99" t="s">
        <v>34</v>
      </c>
      <c r="AG18" s="25" t="s">
        <v>35</v>
      </c>
      <c r="AH18" s="26" t="s">
        <v>36</v>
      </c>
      <c r="AI18" s="3"/>
      <c r="AJ18" s="28" t="s">
        <v>49</v>
      </c>
      <c r="AK18" s="28"/>
      <c r="AL18" s="37" t="s">
        <v>33</v>
      </c>
      <c r="AM18" s="26" t="s">
        <v>34</v>
      </c>
      <c r="AN18" s="26" t="s">
        <v>35</v>
      </c>
      <c r="AO18" s="26" t="s">
        <v>36</v>
      </c>
      <c r="AP18" s="3"/>
      <c r="AQ18" s="3"/>
      <c r="AR18" s="3"/>
      <c r="AS18" s="3"/>
      <c r="AT18" s="3"/>
      <c r="AU18" s="3"/>
      <c r="AV18" s="3"/>
      <c r="AW18" s="3"/>
      <c r="AX18" s="38"/>
      <c r="AY18" s="39"/>
      <c r="AZ18" s="40">
        <v>0.6</v>
      </c>
      <c r="BA18" s="50">
        <v>2.0</v>
      </c>
      <c r="BB18" s="50">
        <v>1.0</v>
      </c>
      <c r="BC18" s="41">
        <f>Max!$B$3*AZ18</f>
        <v>60</v>
      </c>
      <c r="BD18" s="3"/>
      <c r="BE18" s="3"/>
      <c r="BF18" s="3"/>
      <c r="BG18" s="3"/>
      <c r="BH18" s="3"/>
      <c r="BI18" s="3"/>
      <c r="BJ18" s="3"/>
      <c r="BK18" s="3"/>
      <c r="BL18" s="3"/>
      <c r="BM18" s="3"/>
    </row>
    <row r="19" ht="12.75" customHeight="1">
      <c r="A19" s="56">
        <v>4.0</v>
      </c>
      <c r="B19" s="80" t="s">
        <v>44</v>
      </c>
      <c r="C19" s="58">
        <v>0.65</v>
      </c>
      <c r="D19" s="55">
        <v>8.0</v>
      </c>
      <c r="E19" s="55">
        <v>4.0</v>
      </c>
      <c r="F19" s="55"/>
      <c r="G19" s="98">
        <f t="shared" si="5"/>
        <v>8</v>
      </c>
      <c r="H19" s="98">
        <f t="shared" si="6"/>
        <v>560</v>
      </c>
      <c r="I19" s="27"/>
      <c r="J19" s="27"/>
      <c r="K19" s="27"/>
      <c r="L19" s="27"/>
      <c r="M19" s="3"/>
      <c r="N19" s="3"/>
      <c r="O19" s="3"/>
      <c r="P19" s="3"/>
      <c r="Q19" s="3"/>
      <c r="R19" s="3"/>
      <c r="S19" s="3"/>
      <c r="T19" s="3"/>
      <c r="U19" s="3"/>
      <c r="V19" s="3"/>
      <c r="W19" s="3"/>
      <c r="X19" s="3"/>
      <c r="Y19" s="3"/>
      <c r="Z19" s="3"/>
      <c r="AA19" s="3"/>
      <c r="AB19" s="3"/>
      <c r="AC19" s="45">
        <v>1.0</v>
      </c>
      <c r="AD19" s="46" t="s">
        <v>43</v>
      </c>
      <c r="AE19" s="47">
        <v>0.5</v>
      </c>
      <c r="AF19" s="48">
        <v>3.0</v>
      </c>
      <c r="AG19" s="49">
        <v>1.0</v>
      </c>
      <c r="AH19" s="49">
        <f>Max!$B$4*AE19</f>
        <v>50</v>
      </c>
      <c r="AI19" s="3"/>
      <c r="AJ19" s="69">
        <v>1.0</v>
      </c>
      <c r="AK19" s="70" t="s">
        <v>53</v>
      </c>
      <c r="AL19" s="71">
        <v>0.5</v>
      </c>
      <c r="AM19" s="73">
        <v>3.0</v>
      </c>
      <c r="AN19" s="72">
        <v>1.0</v>
      </c>
      <c r="AO19" s="72">
        <f>Max!$B$5*AL19</f>
        <v>50</v>
      </c>
      <c r="AP19" s="3"/>
      <c r="AQ19" s="28" t="s">
        <v>49</v>
      </c>
      <c r="AR19" s="3"/>
      <c r="AS19" s="37" t="s">
        <v>33</v>
      </c>
      <c r="AT19" s="99" t="s">
        <v>34</v>
      </c>
      <c r="AU19" s="25" t="s">
        <v>35</v>
      </c>
      <c r="AV19" s="26" t="s">
        <v>36</v>
      </c>
      <c r="AW19" s="3"/>
      <c r="AX19" s="38"/>
      <c r="AY19" s="39"/>
      <c r="AZ19" s="40">
        <v>0.7</v>
      </c>
      <c r="BA19" s="50">
        <v>1.0</v>
      </c>
      <c r="BB19" s="50">
        <v>3.0</v>
      </c>
      <c r="BC19" s="41">
        <f>Max!$B$3*AZ19</f>
        <v>70</v>
      </c>
      <c r="BD19" s="3"/>
      <c r="BE19" s="3"/>
      <c r="BF19" s="3"/>
      <c r="BG19" s="3"/>
      <c r="BH19" s="3"/>
      <c r="BI19" s="3"/>
      <c r="BJ19" s="3"/>
      <c r="BK19" s="3"/>
      <c r="BL19" s="3"/>
      <c r="BM19" s="3"/>
    </row>
    <row r="20" ht="12.75" customHeight="1">
      <c r="A20" s="64">
        <v>5.0</v>
      </c>
      <c r="B20" s="65" t="s">
        <v>50</v>
      </c>
      <c r="C20" s="66">
        <v>0.65</v>
      </c>
      <c r="D20" s="68">
        <v>8.0</v>
      </c>
      <c r="E20" s="68">
        <v>4.0</v>
      </c>
      <c r="F20" s="68"/>
      <c r="G20" s="98">
        <f t="shared" si="5"/>
        <v>5</v>
      </c>
      <c r="H20" s="98">
        <f t="shared" si="6"/>
        <v>250</v>
      </c>
      <c r="I20" s="27"/>
      <c r="J20" s="27"/>
      <c r="K20" s="27"/>
      <c r="L20" s="27"/>
      <c r="M20" s="3"/>
      <c r="N20" s="3"/>
      <c r="O20" s="3"/>
      <c r="P20" s="3"/>
      <c r="Q20" s="3"/>
      <c r="R20" s="3"/>
      <c r="S20" s="3"/>
      <c r="T20" s="3"/>
      <c r="U20" s="3"/>
      <c r="V20" s="3"/>
      <c r="W20" s="3"/>
      <c r="X20" s="3"/>
      <c r="Y20" s="3"/>
      <c r="Z20" s="3"/>
      <c r="AA20" s="3"/>
      <c r="AB20" s="3"/>
      <c r="AC20" s="45"/>
      <c r="AD20" s="46"/>
      <c r="AE20" s="47">
        <v>0.6</v>
      </c>
      <c r="AF20" s="48">
        <v>3.0</v>
      </c>
      <c r="AG20" s="49">
        <v>1.0</v>
      </c>
      <c r="AH20" s="49">
        <f>Max!$B$4*AE20</f>
        <v>60</v>
      </c>
      <c r="AI20" s="3"/>
      <c r="AJ20" s="69"/>
      <c r="AK20" s="70"/>
      <c r="AL20" s="71">
        <v>0.6</v>
      </c>
      <c r="AM20" s="73">
        <v>3.0</v>
      </c>
      <c r="AN20" s="72">
        <v>1.0</v>
      </c>
      <c r="AO20" s="72">
        <f>Max!$B$5*AL20</f>
        <v>60</v>
      </c>
      <c r="AP20" s="3"/>
      <c r="AQ20" s="45">
        <v>1.0</v>
      </c>
      <c r="AR20" s="46" t="s">
        <v>43</v>
      </c>
      <c r="AS20" s="47">
        <v>0.5</v>
      </c>
      <c r="AT20" s="48">
        <v>3.0</v>
      </c>
      <c r="AU20" s="48">
        <v>1.0</v>
      </c>
      <c r="AV20" s="49">
        <f>Max!$B$4*AS20</f>
        <v>50</v>
      </c>
      <c r="AW20" s="3"/>
      <c r="AX20" s="45">
        <v>2.0</v>
      </c>
      <c r="AY20" s="46" t="s">
        <v>43</v>
      </c>
      <c r="AZ20" s="47">
        <v>0.5</v>
      </c>
      <c r="BA20" s="48">
        <v>3.0</v>
      </c>
      <c r="BB20" s="48">
        <v>1.0</v>
      </c>
      <c r="BC20" s="49">
        <f>Max!$B$4*AZ20</f>
        <v>50</v>
      </c>
      <c r="BD20" s="3"/>
      <c r="BE20" s="3"/>
      <c r="BF20" s="3"/>
      <c r="BG20" s="3"/>
      <c r="BH20" s="3"/>
      <c r="BI20" s="3"/>
      <c r="BJ20" s="3"/>
      <c r="BK20" s="3"/>
      <c r="BL20" s="3"/>
      <c r="BM20" s="3"/>
    </row>
    <row r="21" ht="12.75" customHeight="1">
      <c r="A21" s="3"/>
      <c r="B21" s="3"/>
      <c r="C21" s="3"/>
      <c r="D21" s="3"/>
      <c r="E21" s="3"/>
      <c r="F21" s="3"/>
      <c r="G21" s="98">
        <f t="shared" si="5"/>
        <v>4</v>
      </c>
      <c r="H21" s="98">
        <f t="shared" si="6"/>
        <v>240</v>
      </c>
      <c r="I21" s="27"/>
      <c r="J21" s="27"/>
      <c r="K21" s="27"/>
      <c r="L21" s="27"/>
      <c r="M21" s="3"/>
      <c r="N21" s="3"/>
      <c r="O21" s="3"/>
      <c r="P21" s="3"/>
      <c r="Q21" s="3"/>
      <c r="R21" s="3"/>
      <c r="S21" s="3"/>
      <c r="T21" s="3"/>
      <c r="U21" s="3"/>
      <c r="V21" s="3"/>
      <c r="W21" s="3"/>
      <c r="X21" s="3"/>
      <c r="Y21" s="3"/>
      <c r="Z21" s="3"/>
      <c r="AA21" s="3"/>
      <c r="AB21" s="3"/>
      <c r="AC21" s="45"/>
      <c r="AD21" s="46"/>
      <c r="AE21" s="47">
        <v>0.7</v>
      </c>
      <c r="AF21" s="48">
        <v>3.0</v>
      </c>
      <c r="AG21" s="49">
        <v>1.0</v>
      </c>
      <c r="AH21" s="49">
        <f>Max!$B$4*AE21</f>
        <v>70</v>
      </c>
      <c r="AI21" s="3"/>
      <c r="AJ21" s="69"/>
      <c r="AK21" s="70"/>
      <c r="AL21" s="71">
        <v>0.7</v>
      </c>
      <c r="AM21" s="73">
        <v>3.0</v>
      </c>
      <c r="AN21" s="72">
        <v>1.0</v>
      </c>
      <c r="AO21" s="72">
        <f>Max!$B$5*AL21</f>
        <v>70</v>
      </c>
      <c r="AP21" s="3"/>
      <c r="AQ21" s="45"/>
      <c r="AR21" s="46"/>
      <c r="AS21" s="47">
        <v>0.6</v>
      </c>
      <c r="AT21" s="48">
        <v>3.0</v>
      </c>
      <c r="AU21" s="48">
        <v>1.0</v>
      </c>
      <c r="AV21" s="49">
        <f>Max!$B$4*AS21</f>
        <v>60</v>
      </c>
      <c r="AW21" s="3"/>
      <c r="AX21" s="45"/>
      <c r="AY21" s="46"/>
      <c r="AZ21" s="47">
        <v>0.6</v>
      </c>
      <c r="BA21" s="48">
        <v>3.0</v>
      </c>
      <c r="BB21" s="48">
        <v>1.0</v>
      </c>
      <c r="BC21" s="49">
        <f>Max!$B$4*AZ21</f>
        <v>60</v>
      </c>
      <c r="BD21" s="3"/>
      <c r="BE21" s="3"/>
      <c r="BF21" s="3"/>
      <c r="BG21" s="3"/>
      <c r="BH21" s="3"/>
      <c r="BI21" s="3"/>
      <c r="BJ21" s="3"/>
      <c r="BK21" s="3"/>
      <c r="BL21" s="3"/>
      <c r="BM21" s="3"/>
    </row>
    <row r="22" ht="12.75" customHeight="1">
      <c r="A22" s="28" t="s">
        <v>49</v>
      </c>
      <c r="B22" s="3"/>
      <c r="C22" s="37" t="s">
        <v>33</v>
      </c>
      <c r="D22" s="99" t="s">
        <v>34</v>
      </c>
      <c r="E22" s="25" t="s">
        <v>35</v>
      </c>
      <c r="F22" s="26" t="s">
        <v>36</v>
      </c>
      <c r="G22" s="98">
        <f t="shared" si="5"/>
        <v>3</v>
      </c>
      <c r="H22" s="98">
        <f t="shared" si="6"/>
        <v>210</v>
      </c>
      <c r="I22" s="27"/>
      <c r="J22" s="27"/>
      <c r="K22" s="27"/>
      <c r="L22" s="27"/>
      <c r="M22" s="3"/>
      <c r="N22" s="3"/>
      <c r="O22" s="3"/>
      <c r="P22" s="3"/>
      <c r="Q22" s="3"/>
      <c r="R22" s="3"/>
      <c r="S22" s="3"/>
      <c r="T22" s="3"/>
      <c r="U22" s="3"/>
      <c r="V22" s="3"/>
      <c r="W22" s="3"/>
      <c r="X22" s="3"/>
      <c r="Y22" s="3"/>
      <c r="Z22" s="3"/>
      <c r="AA22" s="3"/>
      <c r="AB22" s="3"/>
      <c r="AC22" s="45"/>
      <c r="AD22" s="46"/>
      <c r="AE22" s="47">
        <v>0.8</v>
      </c>
      <c r="AF22" s="48">
        <v>2.0</v>
      </c>
      <c r="AG22" s="49">
        <v>1.0</v>
      </c>
      <c r="AH22" s="49">
        <f>Max!$B$4*AE22</f>
        <v>80</v>
      </c>
      <c r="AI22" s="3"/>
      <c r="AJ22" s="69"/>
      <c r="AK22" s="70"/>
      <c r="AL22" s="71">
        <v>0.75</v>
      </c>
      <c r="AM22" s="73">
        <v>2.0</v>
      </c>
      <c r="AN22" s="72">
        <v>3.0</v>
      </c>
      <c r="AO22" s="72">
        <f>Max!$B$5*AL22</f>
        <v>75</v>
      </c>
      <c r="AP22" s="3"/>
      <c r="AQ22" s="45"/>
      <c r="AR22" s="46"/>
      <c r="AS22" s="47">
        <v>0.7</v>
      </c>
      <c r="AT22" s="48">
        <v>3.0</v>
      </c>
      <c r="AU22" s="48">
        <v>1.0</v>
      </c>
      <c r="AV22" s="49">
        <f>Max!$B$4*AS22</f>
        <v>70</v>
      </c>
      <c r="AW22" s="3"/>
      <c r="AX22" s="45"/>
      <c r="AY22" s="46"/>
      <c r="AZ22" s="47">
        <v>0.7</v>
      </c>
      <c r="BA22" s="48">
        <v>2.0</v>
      </c>
      <c r="BB22" s="48">
        <v>3.0</v>
      </c>
      <c r="BC22" s="49">
        <f>Max!$B$4*AZ22</f>
        <v>70</v>
      </c>
      <c r="BD22" s="3"/>
      <c r="BE22" s="3"/>
      <c r="BF22" s="3"/>
      <c r="BG22" s="3"/>
      <c r="BH22" s="3"/>
      <c r="BI22" s="3"/>
      <c r="BJ22" s="3"/>
      <c r="BK22" s="3"/>
      <c r="BL22" s="3"/>
      <c r="BM22" s="3"/>
    </row>
    <row r="23" ht="12.75" customHeight="1">
      <c r="A23" s="69">
        <v>1.0</v>
      </c>
      <c r="B23" s="70" t="s">
        <v>52</v>
      </c>
      <c r="C23" s="71">
        <v>0.5</v>
      </c>
      <c r="D23" s="73">
        <v>3.0</v>
      </c>
      <c r="E23" s="73">
        <v>1.0</v>
      </c>
      <c r="F23" s="72">
        <f>Max!$B$5*C23</f>
        <v>50</v>
      </c>
      <c r="G23" s="98">
        <f t="shared" si="5"/>
        <v>12</v>
      </c>
      <c r="H23" s="98">
        <f t="shared" si="6"/>
        <v>960</v>
      </c>
      <c r="I23" s="27"/>
      <c r="J23" s="27"/>
      <c r="K23" s="27"/>
      <c r="L23" s="27"/>
      <c r="M23" s="3"/>
      <c r="N23" s="3"/>
      <c r="O23" s="3"/>
      <c r="P23" s="3"/>
      <c r="Q23" s="3"/>
      <c r="R23" s="3"/>
      <c r="S23" s="3"/>
      <c r="T23" s="3"/>
      <c r="U23" s="3"/>
      <c r="V23" s="3"/>
      <c r="W23" s="3"/>
      <c r="X23" s="3"/>
      <c r="Y23" s="3"/>
      <c r="Z23" s="3"/>
      <c r="AA23" s="3"/>
      <c r="AB23" s="3"/>
      <c r="AC23" s="45"/>
      <c r="AD23" s="46"/>
      <c r="AE23" s="47">
        <v>0.9</v>
      </c>
      <c r="AF23" s="48">
        <v>1.0</v>
      </c>
      <c r="AG23" s="49">
        <v>1.0</v>
      </c>
      <c r="AH23" s="49">
        <f>Max!$B$4*AE23</f>
        <v>90</v>
      </c>
      <c r="AI23" s="3"/>
      <c r="AJ23" s="45">
        <v>2.0</v>
      </c>
      <c r="AK23" s="46" t="s">
        <v>43</v>
      </c>
      <c r="AL23" s="47">
        <v>0.5</v>
      </c>
      <c r="AM23" s="48">
        <v>3.0</v>
      </c>
      <c r="AN23" s="49">
        <v>1.0</v>
      </c>
      <c r="AO23" s="49">
        <f>Max!$B$4*AL23</f>
        <v>50</v>
      </c>
      <c r="AP23" s="3"/>
      <c r="AQ23" s="45"/>
      <c r="AR23" s="46"/>
      <c r="AS23" s="47">
        <v>0.8</v>
      </c>
      <c r="AT23" s="48">
        <v>2.0</v>
      </c>
      <c r="AU23" s="48">
        <v>2.0</v>
      </c>
      <c r="AV23" s="49">
        <f>Max!$B$4*AS23</f>
        <v>80</v>
      </c>
      <c r="AW23" s="3"/>
      <c r="AX23" s="28"/>
      <c r="AY23" s="57"/>
      <c r="AZ23" s="36"/>
      <c r="BA23" s="98"/>
      <c r="BB23" s="27"/>
      <c r="BC23" s="13"/>
      <c r="BD23" s="3"/>
      <c r="BE23" s="3"/>
      <c r="BF23" s="3"/>
      <c r="BG23" s="3"/>
      <c r="BH23" s="3"/>
      <c r="BI23" s="3"/>
      <c r="BJ23" s="3"/>
      <c r="BK23" s="3"/>
      <c r="BL23" s="3"/>
      <c r="BM23" s="3"/>
    </row>
    <row r="24" ht="12.75" customHeight="1">
      <c r="A24" s="69"/>
      <c r="B24" s="70"/>
      <c r="C24" s="71">
        <v>0.6</v>
      </c>
      <c r="D24" s="73">
        <v>3.0</v>
      </c>
      <c r="E24" s="73">
        <v>1.0</v>
      </c>
      <c r="F24" s="72">
        <f>Max!$B$5*C24</f>
        <v>60</v>
      </c>
      <c r="G24" s="98" t="s">
        <v>78</v>
      </c>
      <c r="H24" s="27">
        <f>Max!B3*2*1</f>
        <v>200</v>
      </c>
      <c r="I24" s="27"/>
      <c r="J24" s="27"/>
      <c r="K24" s="27"/>
      <c r="L24" s="27"/>
      <c r="M24" s="3"/>
      <c r="N24" s="3"/>
      <c r="O24" s="3"/>
      <c r="P24" s="3"/>
      <c r="Q24" s="3"/>
      <c r="R24" s="3"/>
      <c r="S24" s="3"/>
      <c r="T24" s="3"/>
      <c r="U24" s="3"/>
      <c r="V24" s="3"/>
      <c r="W24" s="3"/>
      <c r="X24" s="3"/>
      <c r="Y24" s="3"/>
      <c r="Z24" s="3"/>
      <c r="AA24" s="3"/>
      <c r="AB24" s="3"/>
      <c r="AC24" s="45"/>
      <c r="AD24" s="46"/>
      <c r="AE24" s="47">
        <v>0.95</v>
      </c>
      <c r="AF24" s="48">
        <v>1.0</v>
      </c>
      <c r="AG24" s="49">
        <v>1.0</v>
      </c>
      <c r="AH24" s="49">
        <f>Max!$B$4*AE24</f>
        <v>95</v>
      </c>
      <c r="AI24" s="3"/>
      <c r="AJ24" s="45"/>
      <c r="AK24" s="46"/>
      <c r="AL24" s="47">
        <v>0.6</v>
      </c>
      <c r="AM24" s="48">
        <v>3.0</v>
      </c>
      <c r="AN24" s="49">
        <v>1.0</v>
      </c>
      <c r="AO24" s="49">
        <f>Max!$B$4*AL24</f>
        <v>60</v>
      </c>
      <c r="AP24" s="3"/>
      <c r="AQ24" s="69">
        <v>2.0</v>
      </c>
      <c r="AR24" s="70" t="s">
        <v>71</v>
      </c>
      <c r="AS24" s="71">
        <v>0.5</v>
      </c>
      <c r="AT24" s="73">
        <v>2.0</v>
      </c>
      <c r="AU24" s="73">
        <v>1.0</v>
      </c>
      <c r="AV24" s="72">
        <f>Max!$B$5*AS24</f>
        <v>50</v>
      </c>
      <c r="AW24" s="3"/>
      <c r="AX24" s="28" t="s">
        <v>79</v>
      </c>
      <c r="AZ24" s="37"/>
      <c r="BA24" s="99"/>
      <c r="BB24" s="25"/>
      <c r="BC24" s="26"/>
      <c r="BD24" s="3"/>
      <c r="BE24" s="3"/>
      <c r="BF24" s="3"/>
      <c r="BG24" s="3"/>
      <c r="BH24" s="3"/>
      <c r="BI24" s="3"/>
      <c r="BJ24" s="3"/>
      <c r="BK24" s="3"/>
      <c r="BL24" s="3"/>
      <c r="BM24" s="3"/>
    </row>
    <row r="25" ht="12.75" customHeight="1">
      <c r="A25" s="69"/>
      <c r="B25" s="70"/>
      <c r="C25" s="71">
        <v>0.7</v>
      </c>
      <c r="D25" s="73">
        <v>2.0</v>
      </c>
      <c r="E25" s="73">
        <v>4.0</v>
      </c>
      <c r="F25" s="72">
        <f>Max!$B$5*C25</f>
        <v>70</v>
      </c>
      <c r="G25" s="27"/>
      <c r="H25" s="27"/>
      <c r="I25" s="98">
        <f t="shared" ref="I25:I29" si="7">D31*E31</f>
        <v>3</v>
      </c>
      <c r="J25" s="98">
        <f t="shared" ref="J25:J29" si="8">I25*F31</f>
        <v>210</v>
      </c>
      <c r="K25" s="27"/>
      <c r="L25" s="27"/>
      <c r="M25" s="3"/>
      <c r="N25" s="3"/>
      <c r="O25" s="3"/>
      <c r="P25" s="3"/>
      <c r="Q25" s="3"/>
      <c r="R25" s="100">
        <f>I25</f>
        <v>3</v>
      </c>
      <c r="S25" s="100">
        <f>I26</f>
        <v>4</v>
      </c>
      <c r="T25" s="100">
        <f>I27</f>
        <v>3</v>
      </c>
      <c r="U25" s="100">
        <f>I28</f>
        <v>32</v>
      </c>
      <c r="V25" s="100">
        <f>I29+I30</f>
        <v>22</v>
      </c>
      <c r="W25" s="3"/>
      <c r="X25" s="3"/>
      <c r="Y25" s="3"/>
      <c r="Z25" s="3"/>
      <c r="AA25" s="3"/>
      <c r="AB25" s="3"/>
      <c r="AC25" s="45"/>
      <c r="AD25" s="46"/>
      <c r="AE25" s="47">
        <v>1.0</v>
      </c>
      <c r="AF25" s="48">
        <v>1.0</v>
      </c>
      <c r="AG25" s="49">
        <v>1.0</v>
      </c>
      <c r="AH25" s="49">
        <f>Max!$B$4*AE25</f>
        <v>100</v>
      </c>
      <c r="AI25" s="3"/>
      <c r="AJ25" s="45"/>
      <c r="AK25" s="46"/>
      <c r="AL25" s="47">
        <v>0.7</v>
      </c>
      <c r="AM25" s="48">
        <v>3.0</v>
      </c>
      <c r="AN25" s="49">
        <v>1.0</v>
      </c>
      <c r="AO25" s="49">
        <f>Max!$B$4*AL25</f>
        <v>70</v>
      </c>
      <c r="AP25" s="3"/>
      <c r="AQ25" s="69"/>
      <c r="AR25" s="70"/>
      <c r="AS25" s="71">
        <v>0.6</v>
      </c>
      <c r="AT25" s="73">
        <v>2.0</v>
      </c>
      <c r="AU25" s="73">
        <v>1.0</v>
      </c>
      <c r="AV25" s="72">
        <f>Max!$B$5*AS25</f>
        <v>60</v>
      </c>
      <c r="AW25" s="3"/>
      <c r="AX25" s="101" t="s">
        <v>80</v>
      </c>
      <c r="BD25" s="3"/>
      <c r="BE25" s="3"/>
      <c r="BF25" s="3"/>
      <c r="BG25" s="3"/>
      <c r="BH25" s="3"/>
      <c r="BI25" s="3"/>
      <c r="BJ25" s="3"/>
      <c r="BK25" s="3"/>
      <c r="BL25" s="3"/>
      <c r="BM25" s="3"/>
    </row>
    <row r="26" ht="12.75" customHeight="1">
      <c r="A26" s="45">
        <v>2.0</v>
      </c>
      <c r="B26" s="46" t="s">
        <v>43</v>
      </c>
      <c r="C26" s="47">
        <v>0.5</v>
      </c>
      <c r="D26" s="48">
        <v>5.0</v>
      </c>
      <c r="E26" s="49">
        <v>1.0</v>
      </c>
      <c r="F26" s="49">
        <f>Max!$B$4*C26</f>
        <v>50</v>
      </c>
      <c r="G26" s="27"/>
      <c r="H26" s="27"/>
      <c r="I26" s="98">
        <f t="shared" si="7"/>
        <v>4</v>
      </c>
      <c r="J26" s="98">
        <f t="shared" si="8"/>
        <v>320</v>
      </c>
      <c r="K26" s="27"/>
      <c r="L26" s="27"/>
      <c r="M26" s="3"/>
      <c r="N26" s="3"/>
      <c r="O26" s="3"/>
      <c r="P26" s="3"/>
      <c r="Q26" s="3"/>
      <c r="R26" s="3"/>
      <c r="S26" s="3"/>
      <c r="T26" s="3"/>
      <c r="U26" s="3"/>
      <c r="V26" s="3"/>
      <c r="W26" s="3"/>
      <c r="X26" s="3"/>
      <c r="Y26" s="3"/>
      <c r="Z26" s="3"/>
      <c r="AA26" s="3"/>
      <c r="AB26" s="3"/>
      <c r="AC26" s="69">
        <v>2.0</v>
      </c>
      <c r="AD26" s="70" t="s">
        <v>71</v>
      </c>
      <c r="AE26" s="71">
        <v>0.5</v>
      </c>
      <c r="AF26" s="73">
        <v>3.0</v>
      </c>
      <c r="AG26" s="73">
        <v>1.0</v>
      </c>
      <c r="AH26" s="72">
        <f>Max!$B$5*AE26</f>
        <v>50</v>
      </c>
      <c r="AI26" s="3"/>
      <c r="AJ26" s="45"/>
      <c r="AK26" s="46"/>
      <c r="AL26" s="47">
        <v>0.8</v>
      </c>
      <c r="AM26" s="48">
        <v>2.0</v>
      </c>
      <c r="AN26" s="49">
        <v>2.0</v>
      </c>
      <c r="AO26" s="49">
        <f>Max!$B$4*AL26</f>
        <v>80</v>
      </c>
      <c r="AP26" s="3"/>
      <c r="AQ26" s="69"/>
      <c r="AR26" s="70"/>
      <c r="AS26" s="71">
        <v>0.7</v>
      </c>
      <c r="AT26" s="73">
        <v>2.0</v>
      </c>
      <c r="AU26" s="73">
        <v>3.0</v>
      </c>
      <c r="AV26" s="72">
        <f>Max!$B$5*AS26</f>
        <v>70</v>
      </c>
      <c r="AW26" s="3"/>
      <c r="BD26" s="3"/>
      <c r="BE26" s="3"/>
      <c r="BF26" s="3"/>
      <c r="BG26" s="3"/>
      <c r="BH26" s="3"/>
      <c r="BI26" s="3"/>
      <c r="BJ26" s="3"/>
      <c r="BK26" s="3"/>
      <c r="BL26" s="3"/>
      <c r="BM26" s="3"/>
    </row>
    <row r="27" ht="12.75" customHeight="1">
      <c r="A27" s="45"/>
      <c r="B27" s="46"/>
      <c r="C27" s="47">
        <v>0.6</v>
      </c>
      <c r="D27" s="48">
        <v>4.0</v>
      </c>
      <c r="E27" s="49">
        <v>1.0</v>
      </c>
      <c r="F27" s="49">
        <f>Max!$B$4*C27</f>
        <v>60</v>
      </c>
      <c r="G27" s="27"/>
      <c r="H27" s="27"/>
      <c r="I27" s="98">
        <f t="shared" si="7"/>
        <v>3</v>
      </c>
      <c r="J27" s="98">
        <f t="shared" si="8"/>
        <v>270</v>
      </c>
      <c r="K27" s="27"/>
      <c r="L27" s="27"/>
      <c r="M27" s="3"/>
      <c r="N27" s="3"/>
      <c r="O27" s="3"/>
      <c r="P27" s="3"/>
      <c r="Q27" s="3"/>
      <c r="R27" s="3"/>
      <c r="S27" s="3"/>
      <c r="T27" s="3"/>
      <c r="U27" s="3"/>
      <c r="V27" s="3"/>
      <c r="W27" s="3"/>
      <c r="X27" s="3"/>
      <c r="Y27" s="3"/>
      <c r="Z27" s="3"/>
      <c r="AA27" s="3"/>
      <c r="AB27" s="3"/>
      <c r="AC27" s="69"/>
      <c r="AD27" s="70"/>
      <c r="AE27" s="71">
        <v>0.6</v>
      </c>
      <c r="AF27" s="73">
        <v>3.0</v>
      </c>
      <c r="AG27" s="73">
        <v>1.0</v>
      </c>
      <c r="AH27" s="72">
        <f>Max!$B$5*AE27</f>
        <v>60</v>
      </c>
      <c r="AI27" s="3"/>
      <c r="AJ27" s="45"/>
      <c r="AK27" s="46"/>
      <c r="AL27" s="47">
        <v>0.85</v>
      </c>
      <c r="AM27" s="48">
        <v>1.0</v>
      </c>
      <c r="AN27" s="49">
        <v>3.0</v>
      </c>
      <c r="AO27" s="49">
        <f>Max!$B$4*AL27</f>
        <v>85</v>
      </c>
      <c r="AP27" s="3"/>
      <c r="AQ27" s="64">
        <v>3.0</v>
      </c>
      <c r="AR27" s="65" t="s">
        <v>60</v>
      </c>
      <c r="AS27" s="66">
        <v>0.7</v>
      </c>
      <c r="AT27" s="91">
        <v>6.0</v>
      </c>
      <c r="AU27" s="55">
        <v>3.0</v>
      </c>
      <c r="AV27" s="55"/>
      <c r="AW27" s="3"/>
      <c r="BD27" s="3"/>
      <c r="BE27" s="3"/>
      <c r="BF27" s="3"/>
      <c r="BG27" s="3"/>
      <c r="BH27" s="3"/>
      <c r="BI27" s="3"/>
      <c r="BJ27" s="3"/>
      <c r="BK27" s="3"/>
      <c r="BL27" s="3"/>
      <c r="BM27" s="3"/>
    </row>
    <row r="28" ht="12.75" customHeight="1">
      <c r="A28" s="45"/>
      <c r="B28" s="46"/>
      <c r="C28" s="47">
        <v>0.7</v>
      </c>
      <c r="D28" s="48">
        <v>3.0</v>
      </c>
      <c r="E28" s="49">
        <v>1.0</v>
      </c>
      <c r="F28" s="49">
        <f>Max!$B$4*C28</f>
        <v>70</v>
      </c>
      <c r="G28" s="27"/>
      <c r="H28" s="27"/>
      <c r="I28" s="98">
        <f t="shared" si="7"/>
        <v>32</v>
      </c>
      <c r="J28" s="98">
        <f t="shared" si="8"/>
        <v>0</v>
      </c>
      <c r="K28" s="27"/>
      <c r="L28" s="27"/>
      <c r="M28" s="3"/>
      <c r="N28" s="3"/>
      <c r="O28" s="3"/>
      <c r="P28" s="3"/>
      <c r="Q28" s="3"/>
      <c r="R28" s="3"/>
      <c r="S28" s="3"/>
      <c r="T28" s="3"/>
      <c r="U28" s="3"/>
      <c r="V28" s="3"/>
      <c r="W28" s="3"/>
      <c r="X28" s="3"/>
      <c r="Y28" s="3"/>
      <c r="Z28" s="3"/>
      <c r="AA28" s="3"/>
      <c r="AB28" s="3"/>
      <c r="AC28" s="69"/>
      <c r="AD28" s="70"/>
      <c r="AE28" s="71">
        <v>0.7</v>
      </c>
      <c r="AF28" s="73">
        <v>3.0</v>
      </c>
      <c r="AG28" s="73">
        <v>1.0</v>
      </c>
      <c r="AH28" s="72">
        <f>Max!$B$5*AE28</f>
        <v>70</v>
      </c>
      <c r="AI28" s="3"/>
      <c r="AJ28" s="69">
        <v>3.0</v>
      </c>
      <c r="AK28" s="70" t="s">
        <v>71</v>
      </c>
      <c r="AL28" s="71">
        <v>0.5</v>
      </c>
      <c r="AM28" s="73">
        <v>3.0</v>
      </c>
      <c r="AN28" s="72">
        <v>1.0</v>
      </c>
      <c r="AO28" s="72">
        <f>Max!$B$5*AL28</f>
        <v>50</v>
      </c>
      <c r="AP28" s="3"/>
      <c r="AQ28" s="56">
        <v>4.0</v>
      </c>
      <c r="AR28" s="65" t="s">
        <v>59</v>
      </c>
      <c r="AS28" s="58">
        <v>0.65</v>
      </c>
      <c r="AT28" s="55">
        <v>8.0</v>
      </c>
      <c r="AU28" s="55">
        <v>3.0</v>
      </c>
      <c r="AV28" s="55"/>
      <c r="AW28" s="3"/>
      <c r="AX28" s="3"/>
      <c r="AY28" s="3"/>
      <c r="AZ28" s="3"/>
      <c r="BA28" s="3"/>
      <c r="BB28" s="3"/>
      <c r="BC28" s="3"/>
      <c r="BD28" s="3"/>
      <c r="BE28" s="3"/>
      <c r="BF28" s="3"/>
      <c r="BG28" s="3"/>
      <c r="BH28" s="3"/>
      <c r="BI28" s="3"/>
      <c r="BJ28" s="3"/>
      <c r="BK28" s="3"/>
      <c r="BL28" s="3"/>
      <c r="BM28" s="3"/>
    </row>
    <row r="29" ht="12.75" customHeight="1">
      <c r="A29" s="45"/>
      <c r="B29" s="46"/>
      <c r="C29" s="47">
        <v>0.8</v>
      </c>
      <c r="D29" s="48">
        <v>3.0</v>
      </c>
      <c r="E29" s="49">
        <v>4.0</v>
      </c>
      <c r="F29" s="49">
        <f>Max!$B$4*C29</f>
        <v>80</v>
      </c>
      <c r="G29" s="27"/>
      <c r="H29" s="27"/>
      <c r="I29" s="98">
        <f t="shared" si="7"/>
        <v>20</v>
      </c>
      <c r="J29" s="98">
        <f t="shared" si="8"/>
        <v>0</v>
      </c>
      <c r="K29" s="27"/>
      <c r="L29" s="27"/>
      <c r="M29" s="3"/>
      <c r="N29" s="3"/>
      <c r="O29" s="3"/>
      <c r="P29" s="3"/>
      <c r="Q29" s="3"/>
      <c r="R29" s="3"/>
      <c r="S29" s="3"/>
      <c r="T29" s="3"/>
      <c r="U29" s="3"/>
      <c r="V29" s="3"/>
      <c r="W29" s="3"/>
      <c r="X29" s="3"/>
      <c r="Y29" s="3"/>
      <c r="Z29" s="3"/>
      <c r="AA29" s="3"/>
      <c r="AB29" s="3"/>
      <c r="AC29" s="69"/>
      <c r="AD29" s="70"/>
      <c r="AE29" s="71">
        <v>0.8</v>
      </c>
      <c r="AF29" s="73">
        <v>2.0</v>
      </c>
      <c r="AG29" s="73">
        <v>1.0</v>
      </c>
      <c r="AH29" s="72">
        <f>Max!$B$5*AE29</f>
        <v>80</v>
      </c>
      <c r="AI29" s="3"/>
      <c r="AJ29" s="69"/>
      <c r="AK29" s="70"/>
      <c r="AL29" s="71">
        <v>0.6</v>
      </c>
      <c r="AM29" s="73">
        <v>3.0</v>
      </c>
      <c r="AN29" s="72">
        <v>1.0</v>
      </c>
      <c r="AO29" s="72">
        <f>Max!$B$5*AL29</f>
        <v>60</v>
      </c>
      <c r="AP29" s="3"/>
      <c r="AQ29" s="3"/>
      <c r="AR29" s="3"/>
      <c r="AS29" s="3"/>
      <c r="AT29" s="3"/>
      <c r="AU29" s="3"/>
      <c r="AV29" s="3"/>
      <c r="AW29" s="3"/>
      <c r="AX29" s="3"/>
      <c r="AY29" s="3"/>
      <c r="AZ29" s="3"/>
      <c r="BA29" s="3"/>
      <c r="BB29" s="3"/>
      <c r="BC29" s="3"/>
      <c r="BD29" s="3"/>
      <c r="BE29" s="3"/>
      <c r="BF29" s="3"/>
      <c r="BG29" s="3"/>
      <c r="BH29" s="3"/>
      <c r="BI29" s="3"/>
      <c r="BJ29" s="3"/>
      <c r="BK29" s="3"/>
      <c r="BL29" s="3"/>
      <c r="BM29" s="3"/>
    </row>
    <row r="30" ht="12.75" customHeight="1">
      <c r="A30" s="69">
        <v>3.0</v>
      </c>
      <c r="B30" s="70" t="s">
        <v>55</v>
      </c>
      <c r="C30" s="71">
        <v>0.6</v>
      </c>
      <c r="D30" s="73">
        <v>3.0</v>
      </c>
      <c r="E30" s="73">
        <v>1.0</v>
      </c>
      <c r="F30" s="72">
        <f>Max!$B$5*C30</f>
        <v>60</v>
      </c>
      <c r="G30" s="27"/>
      <c r="H30" s="27"/>
      <c r="I30" s="27">
        <f>2</f>
        <v>2</v>
      </c>
      <c r="J30" s="27">
        <f>2*1*Max!B4</f>
        <v>200</v>
      </c>
      <c r="K30" s="27"/>
      <c r="L30" s="27"/>
      <c r="M30" s="3"/>
      <c r="N30" s="3"/>
      <c r="O30" s="3"/>
      <c r="P30" s="3"/>
      <c r="Q30" s="3"/>
      <c r="R30" s="3"/>
      <c r="S30" s="3"/>
      <c r="T30" s="3"/>
      <c r="U30" s="3"/>
      <c r="V30" s="3"/>
      <c r="W30" s="3"/>
      <c r="X30" s="3"/>
      <c r="Y30" s="3"/>
      <c r="Z30" s="3"/>
      <c r="AA30" s="3"/>
      <c r="AB30" s="3"/>
      <c r="AC30" s="69"/>
      <c r="AD30" s="70"/>
      <c r="AE30" s="71">
        <v>0.9</v>
      </c>
      <c r="AF30" s="73">
        <v>1.0</v>
      </c>
      <c r="AG30" s="73">
        <v>1.0</v>
      </c>
      <c r="AH30" s="72">
        <f>Max!$B$5*AE30</f>
        <v>90</v>
      </c>
      <c r="AI30" s="3"/>
      <c r="AJ30" s="69"/>
      <c r="AK30" s="70"/>
      <c r="AL30" s="71">
        <v>0.7</v>
      </c>
      <c r="AM30" s="73">
        <v>3.0</v>
      </c>
      <c r="AN30" s="72">
        <v>1.0</v>
      </c>
      <c r="AO30" s="72">
        <f>Max!$B$5*AL30</f>
        <v>70</v>
      </c>
      <c r="AP30" s="3"/>
      <c r="AQ30" s="28" t="s">
        <v>58</v>
      </c>
      <c r="AR30" s="28"/>
      <c r="AS30" s="37" t="s">
        <v>33</v>
      </c>
      <c r="AT30" s="99" t="s">
        <v>34</v>
      </c>
      <c r="AU30" s="25" t="s">
        <v>35</v>
      </c>
      <c r="AV30" s="26" t="s">
        <v>36</v>
      </c>
      <c r="AW30" s="3"/>
      <c r="AX30" s="3"/>
      <c r="AY30" s="3"/>
      <c r="AZ30" s="3"/>
      <c r="BA30" s="3"/>
      <c r="BB30" s="3"/>
      <c r="BC30" s="3"/>
      <c r="BD30" s="3"/>
      <c r="BE30" s="3"/>
      <c r="BF30" s="3"/>
      <c r="BG30" s="3"/>
      <c r="BH30" s="3"/>
      <c r="BI30" s="3"/>
      <c r="BJ30" s="3"/>
      <c r="BK30" s="3"/>
      <c r="BL30" s="3"/>
      <c r="BM30" s="3"/>
    </row>
    <row r="31" ht="12.75" customHeight="1">
      <c r="A31" s="69"/>
      <c r="B31" s="70"/>
      <c r="C31" s="71">
        <v>0.7</v>
      </c>
      <c r="D31" s="73">
        <v>3.0</v>
      </c>
      <c r="E31" s="73">
        <v>1.0</v>
      </c>
      <c r="F31" s="72">
        <f>Max!$B$5*C31</f>
        <v>70</v>
      </c>
      <c r="G31" s="27"/>
      <c r="H31" s="27"/>
      <c r="I31" s="27"/>
      <c r="J31" s="27"/>
      <c r="K31" s="98"/>
      <c r="L31" s="98"/>
      <c r="M31" s="3"/>
      <c r="N31" s="3"/>
      <c r="O31" s="3"/>
      <c r="P31" s="3"/>
      <c r="Q31" s="3"/>
      <c r="R31" s="3"/>
      <c r="S31" s="3"/>
      <c r="T31" s="3"/>
      <c r="U31" s="3"/>
      <c r="V31" s="3"/>
      <c r="W31" s="3"/>
      <c r="X31" s="3"/>
      <c r="Y31" s="3"/>
      <c r="Z31" s="3"/>
      <c r="AA31" s="3"/>
      <c r="AB31" s="3"/>
      <c r="AC31" s="69"/>
      <c r="AD31" s="70"/>
      <c r="AE31" s="71">
        <v>0.95</v>
      </c>
      <c r="AF31" s="73">
        <v>1.0</v>
      </c>
      <c r="AG31" s="73">
        <v>1.0</v>
      </c>
      <c r="AH31" s="72">
        <f>Max!$B$5*AE31</f>
        <v>95</v>
      </c>
      <c r="AI31" s="3"/>
      <c r="AJ31" s="69"/>
      <c r="AK31" s="70"/>
      <c r="AL31" s="71">
        <v>0.8</v>
      </c>
      <c r="AM31" s="73">
        <v>2.0</v>
      </c>
      <c r="AN31" s="72">
        <v>4.0</v>
      </c>
      <c r="AO31" s="72">
        <f>Max!$B$5*AL31</f>
        <v>80</v>
      </c>
      <c r="AP31" s="3"/>
      <c r="AQ31" s="38">
        <v>1.0</v>
      </c>
      <c r="AR31" s="39" t="s">
        <v>42</v>
      </c>
      <c r="AS31" s="40">
        <v>0.5</v>
      </c>
      <c r="AT31" s="50">
        <v>3.0</v>
      </c>
      <c r="AU31" s="50">
        <v>1.0</v>
      </c>
      <c r="AV31" s="41">
        <f>Max!$B$3*AS31</f>
        <v>50</v>
      </c>
      <c r="AW31" s="3"/>
      <c r="AX31" s="3"/>
      <c r="AY31" s="3"/>
      <c r="AZ31" s="3"/>
      <c r="BA31" s="3"/>
      <c r="BB31" s="3"/>
      <c r="BC31" s="3"/>
      <c r="BD31" s="3"/>
      <c r="BE31" s="3"/>
      <c r="BF31" s="3"/>
      <c r="BG31" s="3"/>
      <c r="BH31" s="3"/>
      <c r="BI31" s="3"/>
      <c r="BJ31" s="3"/>
      <c r="BK31" s="3"/>
      <c r="BL31" s="3"/>
      <c r="BM31" s="3"/>
    </row>
    <row r="32" ht="12.75" customHeight="1">
      <c r="A32" s="69"/>
      <c r="B32" s="70"/>
      <c r="C32" s="71">
        <v>0.8</v>
      </c>
      <c r="D32" s="73">
        <v>2.0</v>
      </c>
      <c r="E32" s="73">
        <v>2.0</v>
      </c>
      <c r="F32" s="72">
        <f>Max!$B$5*C32</f>
        <v>80</v>
      </c>
      <c r="G32" s="27"/>
      <c r="H32" s="27"/>
      <c r="I32" s="27"/>
      <c r="J32" s="27"/>
      <c r="K32" s="27"/>
      <c r="L32" s="27"/>
      <c r="M32" s="3"/>
      <c r="N32" s="3"/>
      <c r="O32" s="3"/>
      <c r="P32" s="3"/>
      <c r="Q32" s="3"/>
      <c r="R32" s="3"/>
      <c r="S32" s="3"/>
      <c r="T32" s="3"/>
      <c r="U32" s="3"/>
      <c r="V32" s="3"/>
      <c r="W32" s="3"/>
      <c r="X32" s="3"/>
      <c r="Y32" s="3"/>
      <c r="Z32" s="3"/>
      <c r="AA32" s="3"/>
      <c r="AB32" s="3"/>
      <c r="AC32" s="69"/>
      <c r="AD32" s="70"/>
      <c r="AE32" s="71">
        <v>1.0</v>
      </c>
      <c r="AF32" s="73">
        <v>1.0</v>
      </c>
      <c r="AG32" s="73">
        <v>1.0</v>
      </c>
      <c r="AH32" s="72">
        <f>Max!$B$5*AE32</f>
        <v>100</v>
      </c>
      <c r="AI32" s="3"/>
      <c r="AJ32" s="64">
        <v>4.0</v>
      </c>
      <c r="AK32" s="65" t="s">
        <v>60</v>
      </c>
      <c r="AL32" s="66">
        <v>0.7</v>
      </c>
      <c r="AM32" s="91">
        <v>6.0</v>
      </c>
      <c r="AN32" s="55">
        <v>4.0</v>
      </c>
      <c r="AO32" s="55"/>
      <c r="AP32" s="3"/>
      <c r="AQ32" s="38"/>
      <c r="AR32" s="39"/>
      <c r="AS32" s="40">
        <v>0.6</v>
      </c>
      <c r="AT32" s="50">
        <v>3.0</v>
      </c>
      <c r="AU32" s="50">
        <v>1.0</v>
      </c>
      <c r="AV32" s="41">
        <f>Max!$B$3*AS32</f>
        <v>60</v>
      </c>
      <c r="AW32" s="3"/>
      <c r="AX32" s="3"/>
      <c r="AY32" s="3"/>
      <c r="AZ32" s="3"/>
      <c r="BA32" s="3"/>
      <c r="BB32" s="3"/>
      <c r="BC32" s="3"/>
      <c r="BD32" s="3"/>
      <c r="BE32" s="3"/>
      <c r="BF32" s="3"/>
      <c r="BG32" s="3"/>
      <c r="BH32" s="3"/>
      <c r="BI32" s="3"/>
      <c r="BJ32" s="3"/>
      <c r="BK32" s="3"/>
      <c r="BL32" s="3"/>
      <c r="BM32" s="3"/>
    </row>
    <row r="33" ht="12.75" customHeight="1">
      <c r="A33" s="69"/>
      <c r="B33" s="70"/>
      <c r="C33" s="71">
        <v>0.9</v>
      </c>
      <c r="D33" s="73">
        <v>1.0</v>
      </c>
      <c r="E33" s="73">
        <v>3.0</v>
      </c>
      <c r="F33" s="72">
        <f>Max!$B$5*C33</f>
        <v>90</v>
      </c>
      <c r="G33" s="27"/>
      <c r="H33" s="27"/>
      <c r="I33" s="13">
        <f t="shared" ref="I33:I36" si="9">D39*E39</f>
        <v>3</v>
      </c>
      <c r="J33" s="13">
        <f t="shared" ref="J33:J36" si="10">I33*F39</f>
        <v>180</v>
      </c>
      <c r="K33" s="27"/>
      <c r="L33" s="27"/>
      <c r="M33" s="3"/>
      <c r="N33" s="3"/>
      <c r="O33" s="3"/>
      <c r="P33" s="3"/>
      <c r="Q33" s="3"/>
      <c r="R33" s="6">
        <f>I33</f>
        <v>3</v>
      </c>
      <c r="S33" s="6">
        <f>I34</f>
        <v>3</v>
      </c>
      <c r="T33" s="6">
        <f>I35+I36</f>
        <v>7</v>
      </c>
      <c r="U33" s="3">
        <v>0.0</v>
      </c>
      <c r="V33" s="3">
        <v>0.0</v>
      </c>
      <c r="W33" s="3"/>
      <c r="X33" s="3"/>
      <c r="Y33" s="3"/>
      <c r="Z33" s="3"/>
      <c r="AA33" s="3"/>
      <c r="AB33" s="3"/>
      <c r="AC33" s="64">
        <v>3.0</v>
      </c>
      <c r="AD33" s="65" t="s">
        <v>54</v>
      </c>
      <c r="AE33" s="66">
        <v>0.7</v>
      </c>
      <c r="AF33" s="68">
        <v>6.0</v>
      </c>
      <c r="AG33" s="68">
        <v>4.0</v>
      </c>
      <c r="AH33" s="68"/>
      <c r="AI33" s="3"/>
      <c r="AJ33" s="56">
        <v>5.0</v>
      </c>
      <c r="AK33" s="65" t="s">
        <v>59</v>
      </c>
      <c r="AL33" s="58">
        <v>0.65</v>
      </c>
      <c r="AM33" s="55">
        <v>8.0</v>
      </c>
      <c r="AN33" s="55">
        <v>3.0</v>
      </c>
      <c r="AO33" s="55"/>
      <c r="AP33" s="3"/>
      <c r="AQ33" s="38"/>
      <c r="AR33" s="39"/>
      <c r="AS33" s="40">
        <v>0.7</v>
      </c>
      <c r="AT33" s="50">
        <v>2.0</v>
      </c>
      <c r="AU33" s="50">
        <v>2.0</v>
      </c>
      <c r="AV33" s="41">
        <f>Max!$B$3*AS33</f>
        <v>70</v>
      </c>
      <c r="AW33" s="3"/>
      <c r="AX33" s="3"/>
      <c r="AY33" s="3"/>
      <c r="AZ33" s="3"/>
      <c r="BA33" s="3"/>
      <c r="BB33" s="3"/>
      <c r="BC33" s="3"/>
      <c r="BD33" s="3"/>
      <c r="BE33" s="3"/>
      <c r="BF33" s="3"/>
      <c r="BG33" s="3"/>
      <c r="BH33" s="3"/>
      <c r="BI33" s="3"/>
      <c r="BJ33" s="3"/>
      <c r="BK33" s="3"/>
      <c r="BL33" s="3"/>
      <c r="BM33" s="3"/>
    </row>
    <row r="34" ht="12.75" customHeight="1">
      <c r="A34" s="60">
        <v>4.0</v>
      </c>
      <c r="B34" s="59" t="s">
        <v>57</v>
      </c>
      <c r="C34" s="102">
        <v>0.65</v>
      </c>
      <c r="D34" s="63">
        <v>8.0</v>
      </c>
      <c r="E34" s="63">
        <v>4.0</v>
      </c>
      <c r="F34" s="63"/>
      <c r="G34" s="27"/>
      <c r="H34" s="27"/>
      <c r="I34" s="13">
        <f t="shared" si="9"/>
        <v>3</v>
      </c>
      <c r="J34" s="13">
        <f t="shared" si="10"/>
        <v>210</v>
      </c>
      <c r="K34" s="27"/>
      <c r="L34" s="27"/>
      <c r="M34" s="3"/>
      <c r="N34" s="3"/>
      <c r="O34" s="3"/>
      <c r="P34" s="3"/>
      <c r="Q34" s="3"/>
      <c r="R34" s="3"/>
      <c r="S34" s="3"/>
      <c r="T34" s="3"/>
      <c r="U34" s="3"/>
      <c r="V34" s="3"/>
      <c r="W34" s="3"/>
      <c r="X34" s="3"/>
      <c r="Y34" s="3"/>
      <c r="Z34" s="3"/>
      <c r="AA34" s="3"/>
      <c r="AB34" s="3"/>
      <c r="AC34" s="64">
        <v>4.0</v>
      </c>
      <c r="AD34" s="65" t="s">
        <v>59</v>
      </c>
      <c r="AE34" s="66">
        <v>0.65</v>
      </c>
      <c r="AF34" s="67">
        <v>8.0</v>
      </c>
      <c r="AG34" s="68">
        <v>3.0</v>
      </c>
      <c r="AH34" s="68"/>
      <c r="AI34" s="3"/>
      <c r="AJ34" s="3"/>
      <c r="AK34" s="3"/>
      <c r="AL34" s="3"/>
      <c r="AM34" s="3"/>
      <c r="AN34" s="3"/>
      <c r="AO34" s="3"/>
      <c r="AP34" s="3"/>
      <c r="AQ34" s="38"/>
      <c r="AR34" s="39"/>
      <c r="AS34" s="40">
        <v>0.75</v>
      </c>
      <c r="AT34" s="50">
        <v>1.0</v>
      </c>
      <c r="AU34" s="50">
        <v>3.0</v>
      </c>
      <c r="AV34" s="41">
        <f>Max!$B$3*AS34</f>
        <v>75</v>
      </c>
      <c r="AW34" s="3"/>
      <c r="AX34" s="3"/>
      <c r="AY34" s="3"/>
      <c r="AZ34" s="3"/>
      <c r="BA34" s="3"/>
      <c r="BB34" s="3"/>
      <c r="BC34" s="3"/>
      <c r="BD34" s="3"/>
      <c r="BE34" s="3"/>
      <c r="BF34" s="3"/>
      <c r="BG34" s="3"/>
      <c r="BH34" s="3"/>
      <c r="BI34" s="3"/>
      <c r="BJ34" s="3"/>
      <c r="BK34" s="3"/>
      <c r="BL34" s="3"/>
      <c r="BM34" s="3"/>
    </row>
    <row r="35" ht="12.75" customHeight="1">
      <c r="A35" s="64">
        <v>5.0</v>
      </c>
      <c r="B35" s="65" t="s">
        <v>46</v>
      </c>
      <c r="C35" s="66">
        <v>0.8</v>
      </c>
      <c r="D35" s="68">
        <v>4.0</v>
      </c>
      <c r="E35" s="68">
        <v>5.0</v>
      </c>
      <c r="F35" s="68"/>
      <c r="G35" s="27"/>
      <c r="H35" s="27"/>
      <c r="I35" s="13">
        <f t="shared" si="9"/>
        <v>4</v>
      </c>
      <c r="J35" s="13">
        <f t="shared" si="10"/>
        <v>320</v>
      </c>
      <c r="K35" s="27"/>
      <c r="L35" s="27"/>
      <c r="M35" s="3"/>
      <c r="N35" s="3"/>
      <c r="O35" s="3"/>
      <c r="P35" s="3"/>
      <c r="Q35" s="3"/>
      <c r="R35" s="3"/>
      <c r="S35" s="3"/>
      <c r="T35" s="3"/>
      <c r="U35" s="3"/>
      <c r="V35" s="3"/>
      <c r="W35" s="3"/>
      <c r="X35" s="3"/>
      <c r="Y35" s="3"/>
      <c r="Z35" s="3"/>
      <c r="AA35" s="3"/>
      <c r="AB35" s="3"/>
      <c r="AC35" s="3"/>
      <c r="AD35" s="3"/>
      <c r="AE35" s="3"/>
      <c r="AF35" s="3"/>
      <c r="AG35" s="3"/>
      <c r="AH35" s="3"/>
      <c r="AI35" s="3"/>
      <c r="AJ35" s="28" t="s">
        <v>58</v>
      </c>
      <c r="AK35" s="28"/>
      <c r="AL35" s="37" t="s">
        <v>33</v>
      </c>
      <c r="AM35" s="99" t="s">
        <v>34</v>
      </c>
      <c r="AN35" s="25" t="s">
        <v>35</v>
      </c>
      <c r="AO35" s="26" t="s">
        <v>36</v>
      </c>
      <c r="AP35" s="3"/>
      <c r="AQ35" s="45">
        <v>2.0</v>
      </c>
      <c r="AR35" s="46" t="s">
        <v>43</v>
      </c>
      <c r="AS35" s="47">
        <v>0.5</v>
      </c>
      <c r="AT35" s="48">
        <v>3.0</v>
      </c>
      <c r="AU35" s="48">
        <v>1.0</v>
      </c>
      <c r="AV35" s="49">
        <f>Max!$B$4*AS35</f>
        <v>50</v>
      </c>
      <c r="AW35" s="3"/>
      <c r="AX35" s="3"/>
      <c r="AY35" s="3"/>
      <c r="AZ35" s="3"/>
      <c r="BA35" s="3"/>
      <c r="BB35" s="3"/>
      <c r="BC35" s="3"/>
      <c r="BD35" s="3"/>
      <c r="BE35" s="3"/>
      <c r="BF35" s="3"/>
      <c r="BG35" s="3"/>
      <c r="BH35" s="3"/>
      <c r="BI35" s="3"/>
      <c r="BJ35" s="3"/>
      <c r="BK35" s="3"/>
      <c r="BL35" s="3"/>
      <c r="BM35" s="3"/>
    </row>
    <row r="36" ht="12.75" customHeight="1">
      <c r="A36" s="28"/>
      <c r="B36" s="57"/>
      <c r="C36" s="36"/>
      <c r="D36" s="27"/>
      <c r="E36" s="98"/>
      <c r="F36" s="27"/>
      <c r="G36" s="27"/>
      <c r="H36" s="27"/>
      <c r="I36" s="13">
        <f t="shared" si="9"/>
        <v>3</v>
      </c>
      <c r="J36" s="13">
        <f t="shared" si="10"/>
        <v>255</v>
      </c>
      <c r="K36" s="27"/>
      <c r="L36" s="27"/>
      <c r="M36" s="3"/>
      <c r="N36" s="3"/>
      <c r="O36" s="3"/>
      <c r="P36" s="3"/>
      <c r="Q36" s="3"/>
      <c r="R36" s="3"/>
      <c r="S36" s="3"/>
      <c r="T36" s="3"/>
      <c r="U36" s="3"/>
      <c r="V36" s="3"/>
      <c r="W36" s="3"/>
      <c r="X36" s="3"/>
      <c r="Y36" s="3"/>
      <c r="Z36" s="3"/>
      <c r="AA36" s="3"/>
      <c r="AB36" s="3"/>
      <c r="AC36" s="28" t="s">
        <v>58</v>
      </c>
      <c r="AD36" s="28"/>
      <c r="AE36" s="37" t="s">
        <v>33</v>
      </c>
      <c r="AF36" s="99" t="s">
        <v>34</v>
      </c>
      <c r="AG36" s="25" t="s">
        <v>35</v>
      </c>
      <c r="AH36" s="26" t="s">
        <v>36</v>
      </c>
      <c r="AI36" s="3"/>
      <c r="AJ36" s="38">
        <v>1.0</v>
      </c>
      <c r="AK36" s="39" t="s">
        <v>42</v>
      </c>
      <c r="AL36" s="40">
        <v>0.5</v>
      </c>
      <c r="AM36" s="50">
        <v>3.0</v>
      </c>
      <c r="AN36" s="50">
        <v>1.0</v>
      </c>
      <c r="AO36" s="41">
        <f>Max!$B$3*AL36</f>
        <v>50</v>
      </c>
      <c r="AP36" s="3"/>
      <c r="AQ36" s="45"/>
      <c r="AR36" s="46"/>
      <c r="AS36" s="47">
        <v>0.6</v>
      </c>
      <c r="AT36" s="48">
        <v>3.0</v>
      </c>
      <c r="AU36" s="48">
        <v>1.0</v>
      </c>
      <c r="AV36" s="49">
        <f>Max!$B$4*AS36</f>
        <v>60</v>
      </c>
      <c r="AW36" s="3"/>
      <c r="AX36" s="3"/>
      <c r="AY36" s="3"/>
      <c r="AZ36" s="3"/>
      <c r="BA36" s="3"/>
      <c r="BB36" s="3"/>
      <c r="BC36" s="3"/>
      <c r="BD36" s="3"/>
      <c r="BE36" s="3"/>
      <c r="BF36" s="3"/>
      <c r="BG36" s="3"/>
      <c r="BH36" s="3"/>
      <c r="BI36" s="3"/>
      <c r="BJ36" s="3"/>
      <c r="BK36" s="3"/>
      <c r="BL36" s="3"/>
      <c r="BM36" s="3"/>
    </row>
    <row r="37" ht="12.75" customHeight="1">
      <c r="A37" s="28" t="s">
        <v>58</v>
      </c>
      <c r="B37" s="28"/>
      <c r="C37" s="37" t="s">
        <v>33</v>
      </c>
      <c r="D37" s="99" t="s">
        <v>34</v>
      </c>
      <c r="E37" s="25" t="s">
        <v>35</v>
      </c>
      <c r="F37" s="26" t="s">
        <v>36</v>
      </c>
      <c r="G37" s="13"/>
      <c r="H37" s="98"/>
      <c r="I37" s="98"/>
      <c r="J37" s="27"/>
      <c r="K37" s="27">
        <f t="shared" ref="K37:K41" si="11">D43*E43</f>
        <v>3</v>
      </c>
      <c r="L37" s="27">
        <f t="shared" ref="L37:L41" si="12">K37*F43</f>
        <v>150</v>
      </c>
      <c r="M37" s="3"/>
      <c r="N37" s="3"/>
      <c r="O37" s="3"/>
      <c r="P37" s="3"/>
      <c r="Q37" s="3"/>
      <c r="R37" s="3"/>
      <c r="S37" s="3"/>
      <c r="T37" s="3"/>
      <c r="U37" s="3"/>
      <c r="V37" s="3"/>
      <c r="W37" s="3">
        <f>K37</f>
        <v>3</v>
      </c>
      <c r="X37" s="3">
        <f>K38</f>
        <v>3</v>
      </c>
      <c r="Y37" s="3">
        <f>K39</f>
        <v>3</v>
      </c>
      <c r="Z37" s="3">
        <f>K40</f>
        <v>4</v>
      </c>
      <c r="AA37" s="3">
        <f>K41+K42</f>
        <v>8</v>
      </c>
      <c r="AB37" s="3"/>
      <c r="AC37" s="38">
        <v>1.0</v>
      </c>
      <c r="AD37" s="39" t="s">
        <v>42</v>
      </c>
      <c r="AE37" s="40">
        <v>0.5</v>
      </c>
      <c r="AF37" s="50">
        <v>3.0</v>
      </c>
      <c r="AG37" s="50">
        <v>1.0</v>
      </c>
      <c r="AH37" s="41">
        <f>Max!$B$3*AE37</f>
        <v>50</v>
      </c>
      <c r="AI37" s="3"/>
      <c r="AJ37" s="38"/>
      <c r="AK37" s="39"/>
      <c r="AL37" s="40">
        <v>0.6</v>
      </c>
      <c r="AM37" s="50">
        <v>3.0</v>
      </c>
      <c r="AN37" s="50">
        <v>1.0</v>
      </c>
      <c r="AO37" s="41">
        <f>Max!$B$3*AL37</f>
        <v>60</v>
      </c>
      <c r="AP37" s="3"/>
      <c r="AQ37" s="45"/>
      <c r="AR37" s="46"/>
      <c r="AS37" s="47">
        <v>0.7</v>
      </c>
      <c r="AT37" s="48">
        <v>3.0</v>
      </c>
      <c r="AU37" s="48">
        <v>1.0</v>
      </c>
      <c r="AV37" s="49">
        <f>Max!$B$4*AS37</f>
        <v>70</v>
      </c>
      <c r="AW37" s="3"/>
      <c r="AX37" s="3"/>
      <c r="AY37" s="3"/>
      <c r="AZ37" s="3"/>
      <c r="BA37" s="3"/>
      <c r="BB37" s="3"/>
      <c r="BC37" s="3"/>
      <c r="BD37" s="3"/>
      <c r="BE37" s="3"/>
      <c r="BF37" s="3"/>
      <c r="BG37" s="3"/>
      <c r="BH37" s="3"/>
      <c r="BI37" s="3"/>
      <c r="BJ37" s="3"/>
      <c r="BK37" s="3"/>
      <c r="BL37" s="3"/>
      <c r="BM37" s="3"/>
    </row>
    <row r="38" ht="12.75" customHeight="1">
      <c r="A38" s="38">
        <v>1.0</v>
      </c>
      <c r="B38" s="39" t="s">
        <v>42</v>
      </c>
      <c r="C38" s="40">
        <v>0.5</v>
      </c>
      <c r="D38" s="50">
        <v>3.0</v>
      </c>
      <c r="E38" s="50">
        <v>1.0</v>
      </c>
      <c r="F38" s="41">
        <f>Max!$B$3*C38</f>
        <v>50</v>
      </c>
      <c r="G38" s="27"/>
      <c r="H38" s="27"/>
      <c r="I38" s="27"/>
      <c r="J38" s="27"/>
      <c r="K38" s="27">
        <f t="shared" si="11"/>
        <v>3</v>
      </c>
      <c r="L38" s="27">
        <f t="shared" si="12"/>
        <v>180</v>
      </c>
      <c r="M38" s="3"/>
      <c r="N38" s="3"/>
      <c r="O38" s="3"/>
      <c r="P38" s="3"/>
      <c r="Q38" s="3"/>
      <c r="R38" s="3"/>
      <c r="S38" s="3"/>
      <c r="T38" s="3"/>
      <c r="U38" s="3"/>
      <c r="V38" s="3"/>
      <c r="W38" s="3"/>
      <c r="X38" s="3"/>
      <c r="Y38" s="3"/>
      <c r="Z38" s="3"/>
      <c r="AA38" s="3"/>
      <c r="AB38" s="3"/>
      <c r="AC38" s="38"/>
      <c r="AD38" s="39"/>
      <c r="AE38" s="40">
        <v>0.6</v>
      </c>
      <c r="AF38" s="50">
        <v>3.0</v>
      </c>
      <c r="AG38" s="50">
        <v>1.0</v>
      </c>
      <c r="AH38" s="41">
        <f>Max!$B$3*AE38</f>
        <v>60</v>
      </c>
      <c r="AI38" s="3"/>
      <c r="AJ38" s="38"/>
      <c r="AK38" s="39"/>
      <c r="AL38" s="40">
        <v>0.7</v>
      </c>
      <c r="AM38" s="50">
        <v>3.0</v>
      </c>
      <c r="AN38" s="50">
        <v>1.0</v>
      </c>
      <c r="AO38" s="41">
        <f>Max!$B$3*AL38</f>
        <v>70</v>
      </c>
      <c r="AP38" s="3"/>
      <c r="AQ38" s="45"/>
      <c r="AR38" s="46"/>
      <c r="AS38" s="47">
        <v>0.75</v>
      </c>
      <c r="AT38" s="48">
        <v>2.0</v>
      </c>
      <c r="AU38" s="48">
        <v>3.0</v>
      </c>
      <c r="AV38" s="49">
        <f>Max!$B$4*AS38</f>
        <v>75</v>
      </c>
      <c r="AW38" s="3"/>
      <c r="AX38" s="3"/>
      <c r="AY38" s="3"/>
      <c r="AZ38" s="3"/>
      <c r="BA38" s="3"/>
      <c r="BB38" s="3"/>
      <c r="BC38" s="3"/>
      <c r="BD38" s="3"/>
      <c r="BE38" s="3"/>
      <c r="BF38" s="3"/>
      <c r="BG38" s="3"/>
      <c r="BH38" s="3"/>
      <c r="BI38" s="3"/>
      <c r="BJ38" s="3"/>
      <c r="BK38" s="3"/>
      <c r="BL38" s="3"/>
      <c r="BM38" s="3"/>
    </row>
    <row r="39" ht="12.75" customHeight="1">
      <c r="A39" s="38"/>
      <c r="B39" s="39"/>
      <c r="C39" s="40">
        <v>0.6</v>
      </c>
      <c r="D39" s="50">
        <v>3.0</v>
      </c>
      <c r="E39" s="50">
        <v>1.0</v>
      </c>
      <c r="F39" s="41">
        <f>Max!$B$3*C39</f>
        <v>60</v>
      </c>
      <c r="G39" s="27"/>
      <c r="H39" s="27"/>
      <c r="I39" s="27"/>
      <c r="J39" s="27"/>
      <c r="K39" s="27">
        <f t="shared" si="11"/>
        <v>3</v>
      </c>
      <c r="L39" s="27">
        <f t="shared" si="12"/>
        <v>210</v>
      </c>
      <c r="M39" s="3"/>
      <c r="N39" s="3"/>
      <c r="O39" s="3"/>
      <c r="P39" s="3"/>
      <c r="Q39" s="3"/>
      <c r="R39" s="3"/>
      <c r="S39" s="3"/>
      <c r="T39" s="3"/>
      <c r="U39" s="3"/>
      <c r="V39" s="3"/>
      <c r="W39" s="3"/>
      <c r="X39" s="3"/>
      <c r="Y39" s="3"/>
      <c r="Z39" s="3"/>
      <c r="AA39" s="3"/>
      <c r="AB39" s="3"/>
      <c r="AC39" s="38"/>
      <c r="AD39" s="39"/>
      <c r="AE39" s="40">
        <v>0.7</v>
      </c>
      <c r="AF39" s="50">
        <v>3.0</v>
      </c>
      <c r="AG39" s="50">
        <v>1.0</v>
      </c>
      <c r="AH39" s="41">
        <f>Max!$B$3*AE39</f>
        <v>70</v>
      </c>
      <c r="AI39" s="3"/>
      <c r="AJ39" s="38"/>
      <c r="AK39" s="39"/>
      <c r="AL39" s="40">
        <v>0.8</v>
      </c>
      <c r="AM39" s="50">
        <v>2.0</v>
      </c>
      <c r="AN39" s="50">
        <v>4.0</v>
      </c>
      <c r="AO39" s="41">
        <f>Max!$B$3*AL39</f>
        <v>80</v>
      </c>
      <c r="AP39" s="3"/>
      <c r="AQ39" s="64">
        <v>3.0</v>
      </c>
      <c r="AR39" s="65" t="s">
        <v>50</v>
      </c>
      <c r="AS39" s="66">
        <v>0.7</v>
      </c>
      <c r="AT39" s="68">
        <v>6.0</v>
      </c>
      <c r="AU39" s="68">
        <v>3.0</v>
      </c>
      <c r="AV39" s="68"/>
      <c r="AW39" s="3"/>
      <c r="AX39" s="3"/>
      <c r="AY39" s="3"/>
      <c r="AZ39" s="3"/>
      <c r="BA39" s="3"/>
      <c r="BB39" s="3"/>
      <c r="BC39" s="3"/>
      <c r="BD39" s="3"/>
      <c r="BE39" s="3"/>
      <c r="BF39" s="3"/>
      <c r="BG39" s="3"/>
      <c r="BH39" s="3"/>
      <c r="BI39" s="3"/>
      <c r="BJ39" s="3"/>
      <c r="BK39" s="3"/>
      <c r="BL39" s="3"/>
      <c r="BM39" s="3"/>
    </row>
    <row r="40" ht="12.75" customHeight="1">
      <c r="A40" s="38"/>
      <c r="B40" s="39"/>
      <c r="C40" s="40">
        <v>0.7</v>
      </c>
      <c r="D40" s="50">
        <v>3.0</v>
      </c>
      <c r="E40" s="50">
        <v>1.0</v>
      </c>
      <c r="F40" s="41">
        <f>Max!$B$3*C40</f>
        <v>70</v>
      </c>
      <c r="G40" s="27"/>
      <c r="H40" s="27"/>
      <c r="I40" s="27"/>
      <c r="J40" s="27"/>
      <c r="K40" s="27">
        <f t="shared" si="11"/>
        <v>4</v>
      </c>
      <c r="L40" s="27">
        <f t="shared" si="12"/>
        <v>320</v>
      </c>
      <c r="M40" s="3"/>
      <c r="N40" s="3"/>
      <c r="O40" s="3"/>
      <c r="P40" s="3"/>
      <c r="Q40" s="3"/>
      <c r="R40" s="3"/>
      <c r="S40" s="3"/>
      <c r="T40" s="3"/>
      <c r="U40" s="3"/>
      <c r="V40" s="3"/>
      <c r="W40" s="3"/>
      <c r="X40" s="3"/>
      <c r="Y40" s="3"/>
      <c r="Z40" s="3"/>
      <c r="AA40" s="3"/>
      <c r="AB40" s="3"/>
      <c r="AC40" s="38"/>
      <c r="AD40" s="39"/>
      <c r="AE40" s="40">
        <v>0.8</v>
      </c>
      <c r="AF40" s="50">
        <v>2.0</v>
      </c>
      <c r="AG40" s="50">
        <v>1.0</v>
      </c>
      <c r="AH40" s="41">
        <f>Max!$B$3*AE40</f>
        <v>80</v>
      </c>
      <c r="AI40" s="3"/>
      <c r="AJ40" s="45">
        <v>3.0</v>
      </c>
      <c r="AK40" s="46" t="s">
        <v>43</v>
      </c>
      <c r="AL40" s="47">
        <v>0.5</v>
      </c>
      <c r="AM40" s="48">
        <v>3.0</v>
      </c>
      <c r="AN40" s="48">
        <v>1.0</v>
      </c>
      <c r="AO40" s="49">
        <f>Max!$B$4*AL40</f>
        <v>50</v>
      </c>
      <c r="AP40" s="3"/>
      <c r="AQ40" s="3"/>
      <c r="AR40" s="3"/>
      <c r="AS40" s="3"/>
      <c r="AT40" s="3"/>
      <c r="AU40" s="3"/>
      <c r="AV40" s="3"/>
      <c r="AW40" s="3"/>
      <c r="AX40" s="3"/>
      <c r="AY40" s="3"/>
      <c r="AZ40" s="3"/>
      <c r="BA40" s="3"/>
      <c r="BB40" s="3"/>
      <c r="BC40" s="3"/>
      <c r="BD40" s="3"/>
      <c r="BE40" s="3"/>
      <c r="BF40" s="3"/>
      <c r="BG40" s="3"/>
      <c r="BH40" s="3"/>
      <c r="BI40" s="3"/>
      <c r="BJ40" s="3"/>
      <c r="BK40" s="3"/>
      <c r="BL40" s="3"/>
      <c r="BM40" s="3"/>
    </row>
    <row r="41" ht="12.75" customHeight="1">
      <c r="A41" s="38"/>
      <c r="B41" s="39"/>
      <c r="C41" s="40">
        <v>0.8</v>
      </c>
      <c r="D41" s="50">
        <v>2.0</v>
      </c>
      <c r="E41" s="50">
        <v>2.0</v>
      </c>
      <c r="F41" s="41">
        <f>Max!$B$3*C41</f>
        <v>80</v>
      </c>
      <c r="G41" s="27"/>
      <c r="H41" s="27"/>
      <c r="I41" s="27"/>
      <c r="J41" s="27"/>
      <c r="K41" s="27">
        <f t="shared" si="11"/>
        <v>6</v>
      </c>
      <c r="L41" s="27">
        <f t="shared" si="12"/>
        <v>510</v>
      </c>
      <c r="M41" s="3"/>
      <c r="N41" s="3"/>
      <c r="O41" s="3"/>
      <c r="P41" s="3"/>
      <c r="Q41" s="3"/>
      <c r="R41" s="3"/>
      <c r="S41" s="3"/>
      <c r="T41" s="3"/>
      <c r="U41" s="3"/>
      <c r="V41" s="3"/>
      <c r="W41" s="3"/>
      <c r="X41" s="3"/>
      <c r="Y41" s="3"/>
      <c r="Z41" s="3"/>
      <c r="AA41" s="3"/>
      <c r="AB41" s="3"/>
      <c r="AC41" s="38"/>
      <c r="AD41" s="39"/>
      <c r="AE41" s="40">
        <v>0.9</v>
      </c>
      <c r="AF41" s="50">
        <v>1.0</v>
      </c>
      <c r="AG41" s="50">
        <v>1.0</v>
      </c>
      <c r="AH41" s="41">
        <f>Max!$B$3*AE41</f>
        <v>90</v>
      </c>
      <c r="AI41" s="3"/>
      <c r="AJ41" s="45"/>
      <c r="AK41" s="46"/>
      <c r="AL41" s="47">
        <v>0.6</v>
      </c>
      <c r="AM41" s="48">
        <v>3.0</v>
      </c>
      <c r="AN41" s="48">
        <v>1.0</v>
      </c>
      <c r="AO41" s="49">
        <f>Max!$B$4*AL41</f>
        <v>60</v>
      </c>
      <c r="AP41" s="3"/>
      <c r="AQ41" s="28" t="s">
        <v>61</v>
      </c>
      <c r="AR41" s="28"/>
      <c r="AS41" s="37" t="s">
        <v>33</v>
      </c>
      <c r="AT41" s="26" t="s">
        <v>34</v>
      </c>
      <c r="AU41" s="26" t="s">
        <v>35</v>
      </c>
      <c r="AV41" s="26" t="s">
        <v>36</v>
      </c>
      <c r="AW41" s="3"/>
      <c r="AX41" s="3"/>
      <c r="AY41" s="3"/>
      <c r="AZ41" s="3"/>
      <c r="BA41" s="3"/>
      <c r="BB41" s="3"/>
      <c r="BC41" s="3"/>
      <c r="BD41" s="3"/>
      <c r="BE41" s="3"/>
      <c r="BF41" s="3"/>
      <c r="BG41" s="3"/>
      <c r="BH41" s="3"/>
      <c r="BI41" s="3"/>
      <c r="BJ41" s="3"/>
      <c r="BK41" s="3"/>
      <c r="BL41" s="3"/>
      <c r="BM41" s="3"/>
    </row>
    <row r="42" ht="12.75" customHeight="1">
      <c r="A42" s="38"/>
      <c r="B42" s="39"/>
      <c r="C42" s="40">
        <v>0.85</v>
      </c>
      <c r="D42" s="50">
        <v>1.0</v>
      </c>
      <c r="E42" s="50">
        <v>3.0</v>
      </c>
      <c r="F42" s="41">
        <f>Max!$B$3*C42</f>
        <v>85</v>
      </c>
      <c r="G42" s="27"/>
      <c r="H42" s="27"/>
      <c r="I42" s="27"/>
      <c r="J42" s="27"/>
      <c r="K42" s="27">
        <v>2.0</v>
      </c>
      <c r="L42" s="13">
        <f>Max!B5*K42</f>
        <v>200</v>
      </c>
      <c r="M42" s="3"/>
      <c r="N42" s="3"/>
      <c r="O42" s="3"/>
      <c r="P42" s="3"/>
      <c r="Q42" s="3"/>
      <c r="R42" s="3"/>
      <c r="S42" s="3"/>
      <c r="T42" s="3"/>
      <c r="U42" s="3"/>
      <c r="V42" s="3"/>
      <c r="W42" s="3"/>
      <c r="X42" s="3"/>
      <c r="Y42" s="3"/>
      <c r="Z42" s="3"/>
      <c r="AA42" s="3"/>
      <c r="AB42" s="3"/>
      <c r="AC42" s="38"/>
      <c r="AD42" s="39"/>
      <c r="AE42" s="40">
        <v>0.95</v>
      </c>
      <c r="AF42" s="50">
        <v>1.0</v>
      </c>
      <c r="AG42" s="50">
        <v>1.0</v>
      </c>
      <c r="AH42" s="41">
        <f>Max!$B$3*AE42</f>
        <v>95</v>
      </c>
      <c r="AI42" s="3"/>
      <c r="AJ42" s="45"/>
      <c r="AK42" s="46"/>
      <c r="AL42" s="47">
        <v>0.7</v>
      </c>
      <c r="AM42" s="48">
        <v>3.0</v>
      </c>
      <c r="AN42" s="48">
        <v>1.0</v>
      </c>
      <c r="AO42" s="49">
        <f>Max!$B$4*AL42</f>
        <v>70</v>
      </c>
      <c r="AP42" s="3"/>
      <c r="AQ42" s="3"/>
      <c r="AR42" s="3" t="s">
        <v>81</v>
      </c>
      <c r="AS42" s="3"/>
      <c r="AT42" s="3"/>
      <c r="AU42" s="3"/>
      <c r="AV42" s="3"/>
      <c r="AW42" s="3"/>
      <c r="AX42" s="3"/>
      <c r="AY42" s="3"/>
      <c r="AZ42" s="3"/>
      <c r="BA42" s="3"/>
      <c r="BB42" s="3"/>
      <c r="BC42" s="3"/>
      <c r="BD42" s="3"/>
      <c r="BE42" s="3"/>
      <c r="BF42" s="3"/>
      <c r="BG42" s="3"/>
      <c r="BH42" s="3"/>
      <c r="BI42" s="3"/>
      <c r="BJ42" s="3"/>
      <c r="BK42" s="3"/>
      <c r="BL42" s="3"/>
      <c r="BM42" s="3"/>
    </row>
    <row r="43" ht="12.75" customHeight="1">
      <c r="A43" s="45">
        <v>2.0</v>
      </c>
      <c r="B43" s="46" t="s">
        <v>43</v>
      </c>
      <c r="C43" s="47">
        <v>0.5</v>
      </c>
      <c r="D43" s="48">
        <v>3.0</v>
      </c>
      <c r="E43" s="48">
        <v>1.0</v>
      </c>
      <c r="F43" s="49">
        <f>Max!$B$4*C43</f>
        <v>50</v>
      </c>
      <c r="G43" s="27"/>
      <c r="H43" s="27"/>
      <c r="I43" s="27"/>
      <c r="J43" s="27"/>
      <c r="K43" s="27"/>
      <c r="L43" s="27"/>
      <c r="M43" s="3"/>
      <c r="N43" s="3"/>
      <c r="O43" s="3"/>
      <c r="P43" s="3"/>
      <c r="Q43" s="3"/>
      <c r="R43" s="3"/>
      <c r="S43" s="3"/>
      <c r="T43" s="3"/>
      <c r="U43" s="3"/>
      <c r="V43" s="3"/>
      <c r="W43" s="3"/>
      <c r="X43" s="3"/>
      <c r="Y43" s="3"/>
      <c r="Z43" s="3"/>
      <c r="AA43" s="3"/>
      <c r="AB43" s="3"/>
      <c r="AC43" s="38"/>
      <c r="AD43" s="39"/>
      <c r="AE43" s="40">
        <v>1.0</v>
      </c>
      <c r="AF43" s="50">
        <v>1.0</v>
      </c>
      <c r="AG43" s="50">
        <v>1.0</v>
      </c>
      <c r="AH43" s="41">
        <f>Max!$B$3*AE43</f>
        <v>100</v>
      </c>
      <c r="AI43" s="3"/>
      <c r="AJ43" s="45"/>
      <c r="AK43" s="46"/>
      <c r="AL43" s="47">
        <v>0.8</v>
      </c>
      <c r="AM43" s="48">
        <v>2.0</v>
      </c>
      <c r="AN43" s="48">
        <v>5.0</v>
      </c>
      <c r="AO43" s="49">
        <f>Max!$B$4*AL43</f>
        <v>80</v>
      </c>
      <c r="AP43" s="3"/>
      <c r="AQ43" s="3"/>
      <c r="AR43" s="3"/>
      <c r="AS43" s="3"/>
      <c r="AT43" s="3"/>
      <c r="AU43" s="3"/>
      <c r="AV43" s="3"/>
      <c r="AW43" s="3"/>
      <c r="AX43" s="3"/>
      <c r="AY43" s="3"/>
      <c r="AZ43" s="3"/>
      <c r="BA43" s="3"/>
      <c r="BB43" s="3"/>
      <c r="BC43" s="3"/>
      <c r="BD43" s="3"/>
      <c r="BE43" s="3"/>
      <c r="BF43" s="3"/>
      <c r="BG43" s="3"/>
      <c r="BH43" s="3"/>
      <c r="BI43" s="3"/>
      <c r="BJ43" s="3"/>
      <c r="BK43" s="3"/>
      <c r="BL43" s="3"/>
      <c r="BM43" s="3"/>
    </row>
    <row r="44" ht="12.75" customHeight="1">
      <c r="A44" s="45"/>
      <c r="B44" s="46"/>
      <c r="C44" s="47">
        <v>0.6</v>
      </c>
      <c r="D44" s="48">
        <v>3.0</v>
      </c>
      <c r="E44" s="48">
        <v>1.0</v>
      </c>
      <c r="F44" s="49">
        <f>Max!$B$4*C44</f>
        <v>60</v>
      </c>
      <c r="G44" s="98"/>
      <c r="H44" s="98"/>
      <c r="I44" s="98"/>
      <c r="J44" s="98"/>
      <c r="K44" s="98"/>
      <c r="L44" s="98"/>
      <c r="M44" s="3"/>
      <c r="N44" s="3"/>
      <c r="O44" s="3"/>
      <c r="P44" s="3"/>
      <c r="Q44" s="3"/>
      <c r="R44" s="3"/>
      <c r="S44" s="3"/>
      <c r="T44" s="3"/>
      <c r="U44" s="3"/>
      <c r="V44" s="3"/>
      <c r="W44" s="3"/>
      <c r="X44" s="3"/>
      <c r="Y44" s="3"/>
      <c r="Z44" s="3"/>
      <c r="AA44" s="3"/>
      <c r="AB44" s="3"/>
      <c r="AC44" s="45">
        <v>2.0</v>
      </c>
      <c r="AD44" s="46" t="s">
        <v>43</v>
      </c>
      <c r="AE44" s="47">
        <v>0.5</v>
      </c>
      <c r="AF44" s="48">
        <v>3.0</v>
      </c>
      <c r="AG44" s="48">
        <v>1.0</v>
      </c>
      <c r="AH44" s="49">
        <f>Max!$B$4*AE44</f>
        <v>50</v>
      </c>
      <c r="AI44" s="3"/>
      <c r="AJ44" s="64">
        <v>3.0</v>
      </c>
      <c r="AK44" s="65" t="s">
        <v>54</v>
      </c>
      <c r="AL44" s="66">
        <v>0.7</v>
      </c>
      <c r="AM44" s="68">
        <v>6.0</v>
      </c>
      <c r="AN44" s="68">
        <v>5.0</v>
      </c>
      <c r="AO44" s="68"/>
      <c r="AP44" s="3"/>
      <c r="AQ44" s="3"/>
      <c r="AR44" s="3"/>
      <c r="AS44" s="3"/>
      <c r="AT44" s="3"/>
      <c r="AU44" s="3"/>
      <c r="AV44" s="3"/>
      <c r="AW44" s="3"/>
      <c r="AX44" s="3"/>
      <c r="AY44" s="3"/>
      <c r="AZ44" s="3"/>
      <c r="BA44" s="3"/>
      <c r="BB44" s="3"/>
      <c r="BC44" s="3"/>
      <c r="BD44" s="3"/>
      <c r="BE44" s="3"/>
      <c r="BF44" s="3"/>
      <c r="BG44" s="3"/>
      <c r="BH44" s="3"/>
      <c r="BI44" s="3"/>
      <c r="BJ44" s="3"/>
      <c r="BK44" s="3"/>
      <c r="BL44" s="3"/>
      <c r="BM44" s="3"/>
    </row>
    <row r="45" ht="12.75" customHeight="1">
      <c r="A45" s="45"/>
      <c r="B45" s="46"/>
      <c r="C45" s="47">
        <v>0.7</v>
      </c>
      <c r="D45" s="48">
        <v>3.0</v>
      </c>
      <c r="E45" s="48">
        <v>1.0</v>
      </c>
      <c r="F45" s="49">
        <f>Max!$B$4*C45</f>
        <v>70</v>
      </c>
      <c r="G45" s="99">
        <f t="shared" ref="G45:V45" si="13">SUM(G7:G44)</f>
        <v>53</v>
      </c>
      <c r="H45" s="99">
        <f t="shared" si="13"/>
        <v>3870</v>
      </c>
      <c r="I45" s="25">
        <f t="shared" si="13"/>
        <v>101</v>
      </c>
      <c r="J45" s="25">
        <f t="shared" si="13"/>
        <v>3625</v>
      </c>
      <c r="K45" s="25">
        <f t="shared" si="13"/>
        <v>21</v>
      </c>
      <c r="L45" s="25">
        <f t="shared" si="13"/>
        <v>1570</v>
      </c>
      <c r="M45" s="99">
        <f t="shared" si="13"/>
        <v>8</v>
      </c>
      <c r="N45" s="99">
        <f t="shared" si="13"/>
        <v>12</v>
      </c>
      <c r="O45" s="99">
        <f t="shared" si="13"/>
        <v>14</v>
      </c>
      <c r="P45" s="25">
        <f t="shared" si="13"/>
        <v>4</v>
      </c>
      <c r="Q45" s="25">
        <f t="shared" si="13"/>
        <v>17</v>
      </c>
      <c r="R45" s="100">
        <f t="shared" si="13"/>
        <v>11</v>
      </c>
      <c r="S45" s="100">
        <f t="shared" si="13"/>
        <v>11</v>
      </c>
      <c r="T45" s="100">
        <f t="shared" si="13"/>
        <v>25</v>
      </c>
      <c r="U45" s="100">
        <f t="shared" si="13"/>
        <v>32</v>
      </c>
      <c r="V45" s="100">
        <f t="shared" si="13"/>
        <v>22</v>
      </c>
      <c r="W45" s="100">
        <f t="shared" ref="W45:AA45" si="14">SUM(W37:W44)</f>
        <v>3</v>
      </c>
      <c r="X45" s="100">
        <f t="shared" si="14"/>
        <v>3</v>
      </c>
      <c r="Y45" s="3">
        <f t="shared" si="14"/>
        <v>3</v>
      </c>
      <c r="Z45" s="3">
        <f t="shared" si="14"/>
        <v>4</v>
      </c>
      <c r="AA45" s="100">
        <f t="shared" si="14"/>
        <v>8</v>
      </c>
      <c r="AB45" s="3"/>
      <c r="AC45" s="45"/>
      <c r="AD45" s="46"/>
      <c r="AE45" s="47">
        <v>0.6</v>
      </c>
      <c r="AF45" s="48">
        <v>3.0</v>
      </c>
      <c r="AG45" s="48">
        <v>1.0</v>
      </c>
      <c r="AH45" s="49">
        <f>Max!$B$4*AE45</f>
        <v>60</v>
      </c>
      <c r="AI45" s="3"/>
      <c r="AJ45" s="64">
        <v>4.0</v>
      </c>
      <c r="AK45" s="65" t="s">
        <v>48</v>
      </c>
      <c r="AL45" s="66">
        <v>0.8</v>
      </c>
      <c r="AM45" s="67">
        <v>4.0</v>
      </c>
      <c r="AN45" s="68">
        <v>4.0</v>
      </c>
      <c r="AO45" s="68"/>
      <c r="AP45" s="3"/>
      <c r="AQ45" s="3"/>
      <c r="AR45" s="3"/>
      <c r="AS45" s="3"/>
      <c r="AT45" s="3"/>
      <c r="AU45" s="3"/>
      <c r="AV45" s="3"/>
      <c r="AW45" s="3"/>
      <c r="AX45" s="3"/>
      <c r="AY45" s="3"/>
      <c r="AZ45" s="3"/>
      <c r="BA45" s="3"/>
      <c r="BB45" s="3"/>
      <c r="BC45" s="3"/>
      <c r="BD45" s="3"/>
      <c r="BE45" s="3"/>
      <c r="BF45" s="3"/>
      <c r="BG45" s="3"/>
      <c r="BH45" s="3"/>
      <c r="BI45" s="3"/>
      <c r="BJ45" s="3"/>
      <c r="BK45" s="3"/>
      <c r="BL45" s="3"/>
      <c r="BM45" s="3"/>
    </row>
    <row r="46" ht="12.75" customHeight="1">
      <c r="A46" s="45"/>
      <c r="B46" s="46"/>
      <c r="C46" s="47">
        <v>0.8</v>
      </c>
      <c r="D46" s="48">
        <v>2.0</v>
      </c>
      <c r="E46" s="48">
        <v>2.0</v>
      </c>
      <c r="F46" s="49">
        <f>Max!$B$4*C46</f>
        <v>80</v>
      </c>
      <c r="G46" s="27"/>
      <c r="H46" s="27"/>
      <c r="I46" s="27"/>
      <c r="J46" s="27"/>
      <c r="K46" s="27"/>
      <c r="L46" s="27"/>
      <c r="M46" s="3"/>
      <c r="N46" s="3"/>
      <c r="O46" s="3"/>
      <c r="P46" s="3"/>
      <c r="Q46" s="3"/>
      <c r="R46" s="3"/>
      <c r="S46" s="3"/>
      <c r="T46" s="3"/>
      <c r="U46" s="3"/>
      <c r="V46" s="3"/>
      <c r="W46" s="3"/>
      <c r="X46" s="3"/>
      <c r="Y46" s="3"/>
      <c r="Z46" s="3"/>
      <c r="AA46" s="3"/>
      <c r="AB46" s="3"/>
      <c r="AC46" s="45"/>
      <c r="AD46" s="46"/>
      <c r="AE46" s="47">
        <v>0.7</v>
      </c>
      <c r="AF46" s="48">
        <v>3.0</v>
      </c>
      <c r="AG46" s="48">
        <v>1.0</v>
      </c>
      <c r="AH46" s="49">
        <f>Max!$B$4*AE46</f>
        <v>70</v>
      </c>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row>
    <row r="47" ht="12.75" customHeight="1">
      <c r="A47" s="45"/>
      <c r="B47" s="46"/>
      <c r="C47" s="47">
        <v>0.85</v>
      </c>
      <c r="D47" s="48">
        <v>2.0</v>
      </c>
      <c r="E47" s="48">
        <v>3.0</v>
      </c>
      <c r="F47" s="49">
        <f>Max!$B$4*C47</f>
        <v>85</v>
      </c>
      <c r="G47" s="27"/>
      <c r="H47" s="27"/>
      <c r="I47" s="27"/>
      <c r="J47" s="27"/>
      <c r="K47" s="27"/>
      <c r="L47" s="27"/>
      <c r="M47" s="3"/>
      <c r="N47" s="3"/>
      <c r="O47" s="3"/>
      <c r="P47" s="3"/>
      <c r="Q47" s="3"/>
      <c r="R47" s="3"/>
      <c r="S47" s="3"/>
      <c r="T47" s="3"/>
      <c r="U47" s="3"/>
      <c r="V47" s="3"/>
      <c r="W47" s="3"/>
      <c r="X47" s="3"/>
      <c r="Y47" s="3"/>
      <c r="Z47" s="3"/>
      <c r="AA47" s="3"/>
      <c r="AB47" s="3"/>
      <c r="AC47" s="45"/>
      <c r="AD47" s="46"/>
      <c r="AE47" s="47">
        <v>0.75</v>
      </c>
      <c r="AF47" s="48">
        <v>2.0</v>
      </c>
      <c r="AG47" s="48">
        <v>3.0</v>
      </c>
      <c r="AH47" s="49">
        <f>Max!$B$4*AE47</f>
        <v>75</v>
      </c>
      <c r="AI47" s="3"/>
      <c r="AJ47" s="28" t="s">
        <v>61</v>
      </c>
      <c r="AK47" s="28"/>
      <c r="AL47" s="37" t="s">
        <v>33</v>
      </c>
      <c r="AM47" s="26" t="s">
        <v>34</v>
      </c>
      <c r="AN47" s="26" t="s">
        <v>35</v>
      </c>
      <c r="AO47" s="26" t="s">
        <v>36</v>
      </c>
      <c r="AP47" s="3"/>
      <c r="AQ47" s="3"/>
      <c r="AR47" s="3"/>
      <c r="AS47" s="3"/>
      <c r="AT47" s="3"/>
      <c r="AU47" s="3"/>
      <c r="AV47" s="3"/>
      <c r="AW47" s="3"/>
      <c r="AX47" s="3"/>
      <c r="AY47" s="3"/>
      <c r="AZ47" s="3"/>
      <c r="BA47" s="3"/>
      <c r="BB47" s="3"/>
      <c r="BC47" s="3"/>
      <c r="BD47" s="3"/>
      <c r="BE47" s="3"/>
      <c r="BF47" s="3"/>
      <c r="BG47" s="3"/>
      <c r="BH47" s="3"/>
      <c r="BI47" s="3"/>
      <c r="BJ47" s="3"/>
      <c r="BK47" s="3"/>
      <c r="BL47" s="3"/>
      <c r="BM47" s="3"/>
    </row>
    <row r="48" ht="12.75" customHeight="1">
      <c r="A48" s="45"/>
      <c r="B48" s="46"/>
      <c r="C48" s="47">
        <v>0.8</v>
      </c>
      <c r="D48" s="48">
        <v>2.0</v>
      </c>
      <c r="E48" s="48">
        <v>2.0</v>
      </c>
      <c r="F48" s="49">
        <f>Max!$B$4*C48</f>
        <v>80</v>
      </c>
      <c r="G48" s="27">
        <f t="shared" ref="G48:G51" si="15">AF7*AG7</f>
        <v>3</v>
      </c>
      <c r="H48" s="27">
        <f t="shared" ref="H48:H51" si="16">G48*AH7</f>
        <v>150</v>
      </c>
      <c r="I48" s="27"/>
      <c r="J48" s="27"/>
      <c r="K48" s="27"/>
      <c r="L48" s="27"/>
      <c r="M48" s="3">
        <f>G48</f>
        <v>3</v>
      </c>
      <c r="N48" s="3">
        <f>G49</f>
        <v>3</v>
      </c>
      <c r="O48" s="3">
        <f>G50</f>
        <v>3</v>
      </c>
      <c r="P48" s="3">
        <f>G51</f>
        <v>6</v>
      </c>
      <c r="Q48" s="3">
        <v>0.0</v>
      </c>
      <c r="R48" s="3"/>
      <c r="S48" s="3"/>
      <c r="T48" s="3"/>
      <c r="U48" s="3"/>
      <c r="V48" s="3"/>
      <c r="W48" s="3"/>
      <c r="X48" s="3"/>
      <c r="Y48" s="3"/>
      <c r="Z48" s="3"/>
      <c r="AA48" s="3"/>
      <c r="AB48" s="3"/>
      <c r="AC48" s="56">
        <v>3.0</v>
      </c>
      <c r="AD48" s="80" t="s">
        <v>44</v>
      </c>
      <c r="AE48" s="58">
        <v>0.7</v>
      </c>
      <c r="AF48" s="79">
        <v>6.0</v>
      </c>
      <c r="AG48" s="79">
        <v>4.0</v>
      </c>
      <c r="AH48" s="55"/>
      <c r="AI48" s="3"/>
      <c r="AJ48" s="60">
        <v>1.0</v>
      </c>
      <c r="AK48" s="80" t="s">
        <v>64</v>
      </c>
      <c r="AL48" s="61">
        <v>0.85</v>
      </c>
      <c r="AM48" s="55">
        <v>3.0</v>
      </c>
      <c r="AN48" s="55">
        <v>5.0</v>
      </c>
      <c r="AO48" s="55"/>
      <c r="AP48" s="3"/>
      <c r="AQ48" s="3"/>
      <c r="AR48" s="3"/>
      <c r="AS48" s="3"/>
      <c r="AT48" s="3"/>
      <c r="AU48" s="3"/>
      <c r="AV48" s="3"/>
      <c r="AW48" s="3"/>
      <c r="AX48" s="3"/>
      <c r="AY48" s="3"/>
      <c r="AZ48" s="3"/>
      <c r="BA48" s="3"/>
      <c r="BB48" s="3"/>
      <c r="BC48" s="3"/>
      <c r="BD48" s="3"/>
      <c r="BE48" s="3"/>
      <c r="BF48" s="3"/>
      <c r="BG48" s="3"/>
      <c r="BH48" s="3"/>
      <c r="BI48" s="3"/>
      <c r="BJ48" s="3"/>
      <c r="BK48" s="3"/>
      <c r="BL48" s="3"/>
      <c r="BM48" s="3"/>
    </row>
    <row r="49" ht="12.75" customHeight="1">
      <c r="A49" s="60">
        <v>3.0</v>
      </c>
      <c r="B49" s="59" t="s">
        <v>44</v>
      </c>
      <c r="C49" s="61">
        <v>0.7</v>
      </c>
      <c r="D49" s="62">
        <v>6.0</v>
      </c>
      <c r="E49" s="62">
        <v>5.0</v>
      </c>
      <c r="F49" s="63"/>
      <c r="G49" s="27">
        <f t="shared" si="15"/>
        <v>3</v>
      </c>
      <c r="H49" s="27">
        <f t="shared" si="16"/>
        <v>180</v>
      </c>
      <c r="I49" s="27"/>
      <c r="J49" s="27"/>
      <c r="K49" s="27"/>
      <c r="L49" s="27"/>
      <c r="M49" s="3"/>
      <c r="N49" s="3"/>
      <c r="O49" s="3"/>
      <c r="P49" s="3"/>
      <c r="Q49" s="3"/>
      <c r="R49" s="3"/>
      <c r="S49" s="3"/>
      <c r="T49" s="3"/>
      <c r="U49" s="3"/>
      <c r="V49" s="3"/>
      <c r="W49" s="3"/>
      <c r="X49" s="3"/>
      <c r="Y49" s="3"/>
      <c r="Z49" s="3"/>
      <c r="AA49" s="3"/>
      <c r="AB49" s="3"/>
      <c r="AC49" s="56">
        <v>4.0</v>
      </c>
      <c r="AD49" s="80" t="s">
        <v>47</v>
      </c>
      <c r="AE49" s="58">
        <v>0.8</v>
      </c>
      <c r="AF49" s="79">
        <v>4.0</v>
      </c>
      <c r="AG49" s="55">
        <v>4.0</v>
      </c>
      <c r="AH49" s="55"/>
      <c r="AI49" s="3"/>
      <c r="AJ49" s="69">
        <v>2.0</v>
      </c>
      <c r="AK49" s="70" t="s">
        <v>55</v>
      </c>
      <c r="AL49" s="71">
        <v>0.55</v>
      </c>
      <c r="AM49" s="72">
        <v>3.0</v>
      </c>
      <c r="AN49" s="72">
        <v>1.0</v>
      </c>
      <c r="AO49" s="72">
        <f>Max!$B$5*AL49</f>
        <v>55</v>
      </c>
      <c r="AP49" s="3"/>
      <c r="AQ49" s="3"/>
      <c r="AR49" s="3"/>
      <c r="AS49" s="3"/>
      <c r="AT49" s="3"/>
      <c r="AU49" s="3"/>
      <c r="AV49" s="3"/>
      <c r="AW49" s="3"/>
      <c r="AX49" s="3"/>
      <c r="AY49" s="3"/>
      <c r="AZ49" s="3"/>
      <c r="BA49" s="3"/>
      <c r="BB49" s="3"/>
      <c r="BC49" s="3"/>
      <c r="BD49" s="3"/>
      <c r="BE49" s="3"/>
      <c r="BF49" s="3"/>
      <c r="BG49" s="3"/>
      <c r="BH49" s="3"/>
      <c r="BI49" s="3"/>
      <c r="BJ49" s="3"/>
      <c r="BK49" s="3"/>
      <c r="BL49" s="3"/>
      <c r="BM49" s="3"/>
    </row>
    <row r="50" ht="12.75" customHeight="1">
      <c r="A50" s="64">
        <v>4.0</v>
      </c>
      <c r="B50" s="65" t="s">
        <v>54</v>
      </c>
      <c r="C50" s="66">
        <v>0.7</v>
      </c>
      <c r="D50" s="68">
        <v>6.0</v>
      </c>
      <c r="E50" s="68">
        <v>4.0</v>
      </c>
      <c r="F50" s="68"/>
      <c r="G50" s="27">
        <f t="shared" si="15"/>
        <v>3</v>
      </c>
      <c r="H50" s="27">
        <f t="shared" si="16"/>
        <v>210</v>
      </c>
      <c r="I50" s="27"/>
      <c r="J50" s="27"/>
      <c r="K50" s="27"/>
      <c r="L50" s="27"/>
      <c r="M50" s="3"/>
      <c r="N50" s="3"/>
      <c r="O50" s="3"/>
      <c r="P50" s="3"/>
      <c r="Q50" s="3"/>
      <c r="R50" s="3"/>
      <c r="S50" s="3"/>
      <c r="T50" s="3"/>
      <c r="U50" s="3"/>
      <c r="V50" s="3"/>
      <c r="W50" s="3"/>
      <c r="X50" s="3"/>
      <c r="Y50" s="3"/>
      <c r="Z50" s="3"/>
      <c r="AA50" s="3"/>
      <c r="AB50" s="3"/>
      <c r="AC50" s="3"/>
      <c r="AD50" s="3"/>
      <c r="AE50" s="3"/>
      <c r="AF50" s="3"/>
      <c r="AG50" s="3"/>
      <c r="AH50" s="3"/>
      <c r="AI50" s="3"/>
      <c r="AJ50" s="69"/>
      <c r="AK50" s="70"/>
      <c r="AL50" s="71">
        <v>0.65</v>
      </c>
      <c r="AM50" s="72">
        <v>3.0</v>
      </c>
      <c r="AN50" s="72">
        <v>1.0</v>
      </c>
      <c r="AO50" s="72">
        <f>Max!$B$5*AL50</f>
        <v>65</v>
      </c>
      <c r="AP50" s="3"/>
      <c r="AQ50" s="3"/>
      <c r="AR50" s="3"/>
      <c r="AS50" s="3"/>
      <c r="AT50" s="3"/>
      <c r="AU50" s="3"/>
      <c r="AV50" s="3"/>
      <c r="AW50" s="3"/>
      <c r="AX50" s="3"/>
      <c r="AY50" s="3"/>
      <c r="AZ50" s="3"/>
      <c r="BA50" s="3"/>
      <c r="BB50" s="3"/>
      <c r="BC50" s="3"/>
      <c r="BD50" s="3"/>
      <c r="BE50" s="3"/>
      <c r="BF50" s="3"/>
      <c r="BG50" s="3"/>
      <c r="BH50" s="3"/>
      <c r="BI50" s="3"/>
      <c r="BJ50" s="3"/>
      <c r="BK50" s="3"/>
      <c r="BL50" s="3"/>
      <c r="BM50" s="3"/>
    </row>
    <row r="51" ht="12.75" customHeight="1">
      <c r="A51" s="28"/>
      <c r="B51" s="57"/>
      <c r="C51" s="36"/>
      <c r="D51" s="98"/>
      <c r="E51" s="27"/>
      <c r="F51" s="13"/>
      <c r="G51" s="27">
        <f t="shared" si="15"/>
        <v>6</v>
      </c>
      <c r="H51" s="27">
        <f t="shared" si="16"/>
        <v>450</v>
      </c>
      <c r="I51" s="27"/>
      <c r="J51" s="27"/>
      <c r="K51" s="27"/>
      <c r="L51" s="27"/>
      <c r="M51" s="3"/>
      <c r="N51" s="3"/>
      <c r="O51" s="3"/>
      <c r="P51" s="3"/>
      <c r="Q51" s="3"/>
      <c r="R51" s="3"/>
      <c r="S51" s="3"/>
      <c r="T51" s="3"/>
      <c r="U51" s="3"/>
      <c r="V51" s="3"/>
      <c r="W51" s="3"/>
      <c r="X51" s="3"/>
      <c r="Y51" s="3"/>
      <c r="Z51" s="3"/>
      <c r="AA51" s="3"/>
      <c r="AB51" s="3"/>
      <c r="AC51" s="28" t="s">
        <v>61</v>
      </c>
      <c r="AD51" s="28"/>
      <c r="AE51" s="37" t="s">
        <v>33</v>
      </c>
      <c r="AF51" s="26" t="s">
        <v>34</v>
      </c>
      <c r="AG51" s="26" t="s">
        <v>35</v>
      </c>
      <c r="AH51" s="26" t="s">
        <v>36</v>
      </c>
      <c r="AI51" s="3"/>
      <c r="AJ51" s="69"/>
      <c r="AK51" s="70"/>
      <c r="AL51" s="71">
        <v>0.75</v>
      </c>
      <c r="AM51" s="72">
        <v>3.0</v>
      </c>
      <c r="AN51" s="72">
        <v>1.0</v>
      </c>
      <c r="AO51" s="72">
        <f>Max!$B$5*AL51</f>
        <v>75</v>
      </c>
      <c r="AP51" s="3"/>
      <c r="AQ51" s="3"/>
      <c r="AR51" s="3"/>
      <c r="AS51" s="3"/>
      <c r="AT51" s="3"/>
      <c r="AU51" s="3"/>
      <c r="AV51" s="3"/>
      <c r="AW51" s="3"/>
      <c r="AX51" s="3"/>
      <c r="AY51" s="3"/>
      <c r="AZ51" s="3"/>
      <c r="BA51" s="3"/>
      <c r="BB51" s="3"/>
      <c r="BC51" s="3"/>
      <c r="BD51" s="3"/>
      <c r="BE51" s="3"/>
      <c r="BF51" s="3"/>
      <c r="BG51" s="3"/>
      <c r="BH51" s="3"/>
      <c r="BI51" s="3"/>
      <c r="BJ51" s="3"/>
      <c r="BK51" s="3"/>
      <c r="BL51" s="3"/>
      <c r="BM51" s="3"/>
    </row>
    <row r="52" ht="12.75" customHeight="1">
      <c r="A52" s="28" t="s">
        <v>61</v>
      </c>
      <c r="B52" s="28"/>
      <c r="C52" s="37" t="s">
        <v>33</v>
      </c>
      <c r="D52" s="26" t="s">
        <v>34</v>
      </c>
      <c r="E52" s="26" t="s">
        <v>35</v>
      </c>
      <c r="F52" s="26" t="s">
        <v>36</v>
      </c>
      <c r="G52" s="27"/>
      <c r="H52" s="27"/>
      <c r="I52" s="27">
        <f t="shared" ref="I52:I55" si="17">AF11*AG11</f>
        <v>3</v>
      </c>
      <c r="J52" s="27">
        <f t="shared" ref="J52:J55" si="18">I52*AH11</f>
        <v>150</v>
      </c>
      <c r="K52" s="27"/>
      <c r="L52" s="27"/>
      <c r="M52" s="3"/>
      <c r="N52" s="3"/>
      <c r="O52" s="3"/>
      <c r="P52" s="3"/>
      <c r="Q52" s="3"/>
      <c r="R52" s="3">
        <f>I52</f>
        <v>3</v>
      </c>
      <c r="S52" s="3">
        <f>I53</f>
        <v>3</v>
      </c>
      <c r="T52" s="3">
        <f>I54</f>
        <v>3</v>
      </c>
      <c r="U52" s="3">
        <f>I55</f>
        <v>6</v>
      </c>
      <c r="V52" s="3">
        <v>0.0</v>
      </c>
      <c r="W52" s="3"/>
      <c r="X52" s="3"/>
      <c r="Y52" s="3"/>
      <c r="Z52" s="3"/>
      <c r="AA52" s="3"/>
      <c r="AB52" s="3"/>
      <c r="AC52" s="60">
        <v>1.0</v>
      </c>
      <c r="AD52" s="59" t="s">
        <v>74</v>
      </c>
      <c r="AE52" s="61">
        <v>0.75</v>
      </c>
      <c r="AF52" s="55">
        <v>5.0</v>
      </c>
      <c r="AG52" s="55">
        <v>5.0</v>
      </c>
      <c r="AH52" s="55"/>
      <c r="AI52" s="3"/>
      <c r="AJ52" s="69"/>
      <c r="AK52" s="70"/>
      <c r="AL52" s="71">
        <v>0.85</v>
      </c>
      <c r="AM52" s="72">
        <v>2.0</v>
      </c>
      <c r="AN52" s="72">
        <v>3.0</v>
      </c>
      <c r="AO52" s="72">
        <f>Max!$B$5*AL52</f>
        <v>85</v>
      </c>
      <c r="AP52" s="3"/>
      <c r="AQ52" s="3"/>
      <c r="AR52" s="3"/>
      <c r="AS52" s="3"/>
      <c r="AT52" s="3"/>
      <c r="AU52" s="3"/>
      <c r="AV52" s="3"/>
      <c r="AW52" s="3"/>
      <c r="AX52" s="3"/>
      <c r="AY52" s="3"/>
      <c r="AZ52" s="3"/>
      <c r="BA52" s="3"/>
      <c r="BB52" s="3"/>
      <c r="BC52" s="3"/>
      <c r="BD52" s="3"/>
      <c r="BE52" s="3"/>
      <c r="BF52" s="3"/>
      <c r="BG52" s="3"/>
      <c r="BH52" s="3"/>
      <c r="BI52" s="3"/>
      <c r="BJ52" s="3"/>
      <c r="BK52" s="3"/>
      <c r="BL52" s="3"/>
      <c r="BM52" s="3"/>
    </row>
    <row r="53" ht="12.75" customHeight="1">
      <c r="A53" s="56">
        <v>1.0</v>
      </c>
      <c r="B53" s="80" t="s">
        <v>64</v>
      </c>
      <c r="C53" s="58">
        <v>0.85</v>
      </c>
      <c r="D53" s="55">
        <v>3.0</v>
      </c>
      <c r="E53" s="55">
        <v>5.0</v>
      </c>
      <c r="F53" s="55"/>
      <c r="G53" s="27"/>
      <c r="H53" s="27"/>
      <c r="I53" s="27">
        <f t="shared" si="17"/>
        <v>3</v>
      </c>
      <c r="J53" s="27">
        <f t="shared" si="18"/>
        <v>180</v>
      </c>
      <c r="K53" s="27"/>
      <c r="L53" s="27"/>
      <c r="M53" s="3"/>
      <c r="N53" s="3"/>
      <c r="O53" s="3"/>
      <c r="P53" s="3"/>
      <c r="Q53" s="3"/>
      <c r="R53" s="3"/>
      <c r="S53" s="3"/>
      <c r="T53" s="3"/>
      <c r="U53" s="3"/>
      <c r="V53" s="3"/>
      <c r="W53" s="3"/>
      <c r="X53" s="3"/>
      <c r="Y53" s="3"/>
      <c r="Z53" s="3"/>
      <c r="AA53" s="3"/>
      <c r="AB53" s="3"/>
      <c r="AC53" s="69">
        <v>2.0</v>
      </c>
      <c r="AD53" s="70" t="s">
        <v>53</v>
      </c>
      <c r="AE53" s="71">
        <v>0.5</v>
      </c>
      <c r="AF53" s="72">
        <v>3.0</v>
      </c>
      <c r="AG53" s="72">
        <v>1.0</v>
      </c>
      <c r="AH53" s="72">
        <f>Max!$B$5*AE53</f>
        <v>50</v>
      </c>
      <c r="AI53" s="3"/>
      <c r="AJ53" s="103">
        <v>3.0</v>
      </c>
      <c r="AK53" s="104" t="s">
        <v>60</v>
      </c>
      <c r="AL53" s="105">
        <v>0.7</v>
      </c>
      <c r="AM53" s="43">
        <v>6.0</v>
      </c>
      <c r="AN53" s="63">
        <v>4.0</v>
      </c>
      <c r="AO53" s="63"/>
      <c r="AP53" s="3"/>
      <c r="AQ53" s="3"/>
      <c r="AR53" s="3"/>
      <c r="AS53" s="3"/>
      <c r="AT53" s="3"/>
      <c r="AU53" s="3"/>
      <c r="AV53" s="3"/>
      <c r="AW53" s="3"/>
      <c r="AX53" s="3"/>
      <c r="AY53" s="3"/>
      <c r="AZ53" s="3"/>
      <c r="BA53" s="3"/>
      <c r="BB53" s="3"/>
      <c r="BC53" s="3"/>
      <c r="BD53" s="3"/>
      <c r="BE53" s="3"/>
      <c r="BF53" s="3"/>
      <c r="BG53" s="3"/>
      <c r="BH53" s="3"/>
      <c r="BI53" s="3"/>
      <c r="BJ53" s="3"/>
      <c r="BK53" s="3"/>
      <c r="BL53" s="3"/>
      <c r="BM53" s="3"/>
    </row>
    <row r="54" ht="12.75" customHeight="1">
      <c r="A54" s="69">
        <v>2.0</v>
      </c>
      <c r="B54" s="70" t="s">
        <v>55</v>
      </c>
      <c r="C54" s="71">
        <v>0.55</v>
      </c>
      <c r="D54" s="72">
        <v>3.0</v>
      </c>
      <c r="E54" s="72">
        <v>1.0</v>
      </c>
      <c r="F54" s="72">
        <f>Max!$B$5*C54</f>
        <v>55</v>
      </c>
      <c r="G54" s="27"/>
      <c r="H54" s="27"/>
      <c r="I54" s="27">
        <f t="shared" si="17"/>
        <v>3</v>
      </c>
      <c r="J54" s="27">
        <f t="shared" si="18"/>
        <v>210</v>
      </c>
      <c r="K54" s="27"/>
      <c r="L54" s="27"/>
      <c r="M54" s="3"/>
      <c r="N54" s="3"/>
      <c r="O54" s="3"/>
      <c r="P54" s="3"/>
      <c r="Q54" s="3"/>
      <c r="R54" s="3"/>
      <c r="S54" s="3"/>
      <c r="T54" s="3"/>
      <c r="U54" s="3"/>
      <c r="V54" s="3"/>
      <c r="W54" s="3"/>
      <c r="X54" s="3"/>
      <c r="Y54" s="3"/>
      <c r="Z54" s="3"/>
      <c r="AA54" s="3"/>
      <c r="AB54" s="3"/>
      <c r="AC54" s="69"/>
      <c r="AD54" s="70"/>
      <c r="AE54" s="71">
        <v>0.6</v>
      </c>
      <c r="AF54" s="72">
        <v>3.0</v>
      </c>
      <c r="AG54" s="72">
        <v>1.0</v>
      </c>
      <c r="AH54" s="72">
        <f>Max!$B$5*AE54</f>
        <v>60</v>
      </c>
      <c r="AI54" s="3"/>
      <c r="AJ54" s="64">
        <v>4.0</v>
      </c>
      <c r="AK54" s="65" t="s">
        <v>46</v>
      </c>
      <c r="AL54" s="66">
        <v>0.8</v>
      </c>
      <c r="AM54" s="68">
        <v>4.0</v>
      </c>
      <c r="AN54" s="68">
        <v>4.0</v>
      </c>
      <c r="AO54" s="68"/>
      <c r="AP54" s="3"/>
      <c r="AQ54" s="3"/>
      <c r="AR54" s="3"/>
      <c r="AS54" s="3"/>
      <c r="AT54" s="3"/>
      <c r="AU54" s="3"/>
      <c r="AV54" s="3"/>
      <c r="AW54" s="3"/>
      <c r="AX54" s="3"/>
      <c r="AY54" s="3"/>
      <c r="AZ54" s="3"/>
      <c r="BA54" s="3"/>
      <c r="BB54" s="3"/>
      <c r="BC54" s="3"/>
      <c r="BD54" s="3"/>
      <c r="BE54" s="3"/>
      <c r="BF54" s="3"/>
      <c r="BG54" s="3"/>
      <c r="BH54" s="3"/>
      <c r="BI54" s="3"/>
      <c r="BJ54" s="3"/>
      <c r="BK54" s="3"/>
      <c r="BL54" s="3"/>
      <c r="BM54" s="3"/>
    </row>
    <row r="55" ht="12.75" customHeight="1">
      <c r="A55" s="69"/>
      <c r="B55" s="70"/>
      <c r="C55" s="71">
        <v>0.65</v>
      </c>
      <c r="D55" s="72">
        <v>3.0</v>
      </c>
      <c r="E55" s="72">
        <v>1.0</v>
      </c>
      <c r="F55" s="72">
        <f>Max!$B$5*C55</f>
        <v>65</v>
      </c>
      <c r="G55" s="27"/>
      <c r="H55" s="27"/>
      <c r="I55" s="27">
        <f t="shared" si="17"/>
        <v>6</v>
      </c>
      <c r="J55" s="27">
        <f t="shared" si="18"/>
        <v>450</v>
      </c>
      <c r="K55" s="27"/>
      <c r="L55" s="27"/>
      <c r="M55" s="3"/>
      <c r="N55" s="3"/>
      <c r="O55" s="3"/>
      <c r="P55" s="3"/>
      <c r="Q55" s="3"/>
      <c r="R55" s="3"/>
      <c r="S55" s="3"/>
      <c r="T55" s="3"/>
      <c r="U55" s="3"/>
      <c r="V55" s="3"/>
      <c r="W55" s="3"/>
      <c r="X55" s="3"/>
      <c r="Y55" s="3"/>
      <c r="Z55" s="3"/>
      <c r="AA55" s="3"/>
      <c r="AB55" s="3"/>
      <c r="AC55" s="69"/>
      <c r="AD55" s="70"/>
      <c r="AE55" s="71">
        <v>0.7</v>
      </c>
      <c r="AF55" s="72">
        <v>3.0</v>
      </c>
      <c r="AG55" s="72">
        <v>1.0</v>
      </c>
      <c r="AH55" s="72">
        <f>Max!$B$5*AE55</f>
        <v>70</v>
      </c>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row>
    <row r="56" ht="12.75" customHeight="1">
      <c r="A56" s="69"/>
      <c r="B56" s="70"/>
      <c r="C56" s="71">
        <v>0.75</v>
      </c>
      <c r="D56" s="72">
        <v>3.0</v>
      </c>
      <c r="E56" s="72">
        <v>1.0</v>
      </c>
      <c r="F56" s="72">
        <f>Max!$B$5*C56</f>
        <v>75</v>
      </c>
      <c r="G56" s="27">
        <f t="shared" ref="G56:G58" si="19">AF15*AG15</f>
        <v>24</v>
      </c>
      <c r="H56" s="27">
        <f t="shared" ref="H56:H58" si="20">G56*AH15</f>
        <v>0</v>
      </c>
      <c r="I56" s="27"/>
      <c r="J56" s="27"/>
      <c r="K56" s="27"/>
      <c r="L56" s="27"/>
      <c r="M56" s="3">
        <f>G56</f>
        <v>24</v>
      </c>
      <c r="N56" s="3">
        <f>G57</f>
        <v>24</v>
      </c>
      <c r="O56" s="3">
        <f>G58</f>
        <v>0</v>
      </c>
      <c r="P56" s="3"/>
      <c r="Q56" s="3"/>
      <c r="R56" s="3"/>
      <c r="S56" s="3"/>
      <c r="T56" s="3"/>
      <c r="U56" s="3"/>
      <c r="V56" s="3"/>
      <c r="W56" s="3"/>
      <c r="X56" s="3"/>
      <c r="Y56" s="3"/>
      <c r="Z56" s="3"/>
      <c r="AA56" s="3"/>
      <c r="AB56" s="3"/>
      <c r="AC56" s="69"/>
      <c r="AD56" s="70"/>
      <c r="AE56" s="71">
        <v>0.75</v>
      </c>
      <c r="AF56" s="72">
        <v>2.0</v>
      </c>
      <c r="AG56" s="72">
        <v>3.0</v>
      </c>
      <c r="AH56" s="72">
        <f>Max!$B$5*AE56</f>
        <v>75</v>
      </c>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row>
    <row r="57" ht="12.75" customHeight="1">
      <c r="A57" s="69"/>
      <c r="B57" s="70"/>
      <c r="C57" s="71">
        <v>0.85</v>
      </c>
      <c r="D57" s="72">
        <v>2.0</v>
      </c>
      <c r="E57" s="72">
        <v>3.0</v>
      </c>
      <c r="F57" s="72">
        <f>Max!$B$5*C57</f>
        <v>85</v>
      </c>
      <c r="G57" s="27">
        <f t="shared" si="19"/>
        <v>24</v>
      </c>
      <c r="H57" s="27">
        <f t="shared" si="20"/>
        <v>0</v>
      </c>
      <c r="I57" s="27"/>
      <c r="J57" s="27"/>
      <c r="K57" s="27"/>
      <c r="L57" s="27"/>
      <c r="M57" s="3"/>
      <c r="N57" s="3"/>
      <c r="O57" s="3"/>
      <c r="P57" s="3"/>
      <c r="Q57" s="3"/>
      <c r="R57" s="3"/>
      <c r="S57" s="3"/>
      <c r="T57" s="3"/>
      <c r="U57" s="3"/>
      <c r="V57" s="3"/>
      <c r="W57" s="3"/>
      <c r="X57" s="3"/>
      <c r="Y57" s="3"/>
      <c r="Z57" s="3"/>
      <c r="AA57" s="3"/>
      <c r="AB57" s="3"/>
      <c r="AC57" s="103">
        <v>3.0</v>
      </c>
      <c r="AD57" s="104" t="s">
        <v>60</v>
      </c>
      <c r="AE57" s="105">
        <v>0.7</v>
      </c>
      <c r="AF57" s="43">
        <v>6.0</v>
      </c>
      <c r="AG57" s="63">
        <v>4.0</v>
      </c>
      <c r="AH57" s="6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row>
    <row r="58" ht="12.75" customHeight="1">
      <c r="A58" s="56">
        <v>3.0</v>
      </c>
      <c r="B58" s="57" t="s">
        <v>60</v>
      </c>
      <c r="C58" s="58">
        <v>0.7</v>
      </c>
      <c r="D58" s="55">
        <v>6.0</v>
      </c>
      <c r="E58" s="55">
        <v>4.0</v>
      </c>
      <c r="F58" s="55"/>
      <c r="G58" s="27">
        <f t="shared" si="19"/>
        <v>0</v>
      </c>
      <c r="H58" s="27">
        <f t="shared" si="20"/>
        <v>0</v>
      </c>
      <c r="I58" s="27"/>
      <c r="J58" s="27"/>
      <c r="K58" s="27"/>
      <c r="L58" s="27"/>
      <c r="M58" s="3"/>
      <c r="N58" s="3"/>
      <c r="O58" s="3"/>
      <c r="P58" s="3"/>
      <c r="Q58" s="3"/>
      <c r="R58" s="3"/>
      <c r="S58" s="3"/>
      <c r="T58" s="3"/>
      <c r="U58" s="3"/>
      <c r="V58" s="3"/>
      <c r="W58" s="3"/>
      <c r="X58" s="3"/>
      <c r="Y58" s="3"/>
      <c r="Z58" s="3"/>
      <c r="AA58" s="3"/>
      <c r="AB58" s="3"/>
      <c r="AC58" s="64">
        <v>4.0</v>
      </c>
      <c r="AD58" s="65" t="s">
        <v>46</v>
      </c>
      <c r="AE58" s="66">
        <v>0.8</v>
      </c>
      <c r="AF58" s="68">
        <v>4.0</v>
      </c>
      <c r="AG58" s="68">
        <v>4.0</v>
      </c>
      <c r="AH58" s="68"/>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row>
    <row r="59" ht="12.75" customHeight="1">
      <c r="A59" s="56">
        <v>4.0</v>
      </c>
      <c r="B59" s="80" t="s">
        <v>47</v>
      </c>
      <c r="C59" s="58">
        <v>0.8</v>
      </c>
      <c r="D59" s="79">
        <v>4.0</v>
      </c>
      <c r="E59" s="55">
        <v>4.0</v>
      </c>
      <c r="F59" s="55"/>
      <c r="G59" s="27"/>
      <c r="H59" s="27"/>
      <c r="I59" s="27"/>
      <c r="J59" s="27"/>
      <c r="K59" s="27"/>
      <c r="L59" s="27"/>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row>
    <row r="60" ht="12.75" customHeight="1">
      <c r="A60" s="28"/>
      <c r="B60" s="57"/>
      <c r="C60" s="36"/>
      <c r="D60" s="98"/>
      <c r="E60" s="27"/>
      <c r="F60" s="13"/>
      <c r="G60" s="27"/>
      <c r="H60" s="27"/>
      <c r="I60" s="27"/>
      <c r="J60" s="27"/>
      <c r="K60" s="27"/>
      <c r="L60" s="27"/>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row>
    <row r="61" ht="12.75" customHeight="1">
      <c r="A61" s="28"/>
      <c r="B61" s="57"/>
      <c r="C61" s="36"/>
      <c r="D61" s="98"/>
      <c r="E61" s="27"/>
      <c r="F61" s="13"/>
      <c r="G61" s="27"/>
      <c r="H61" s="27"/>
      <c r="I61" s="27"/>
      <c r="J61" s="27"/>
      <c r="K61" s="27"/>
      <c r="L61" s="27"/>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row>
    <row r="62" ht="12.75" customHeight="1">
      <c r="A62" s="28"/>
      <c r="B62" s="57"/>
      <c r="C62" s="36"/>
      <c r="D62" s="98"/>
      <c r="E62" s="27"/>
      <c r="F62" s="13"/>
      <c r="G62" s="27"/>
      <c r="H62" s="27"/>
      <c r="I62" s="27"/>
      <c r="J62" s="27"/>
      <c r="K62" s="27"/>
      <c r="L62" s="27"/>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row>
    <row r="63" ht="12.75" customHeight="1">
      <c r="A63" s="28"/>
      <c r="B63" s="57"/>
      <c r="C63" s="36"/>
      <c r="D63" s="98"/>
      <c r="E63" s="27"/>
      <c r="F63" s="13"/>
      <c r="G63" s="27"/>
      <c r="H63" s="27"/>
      <c r="I63" s="27"/>
      <c r="J63" s="27"/>
      <c r="K63" s="27">
        <f t="shared" ref="K63:K65" si="21">AF24*AG24</f>
        <v>1</v>
      </c>
      <c r="L63" s="27">
        <f t="shared" ref="L63:L65" si="22">K63*AH24</f>
        <v>95</v>
      </c>
      <c r="M63" s="3"/>
      <c r="N63" s="3"/>
      <c r="O63" s="3"/>
      <c r="P63" s="3"/>
      <c r="Q63" s="3"/>
      <c r="R63" s="3"/>
      <c r="S63" s="3"/>
      <c r="T63" s="3"/>
      <c r="U63" s="3"/>
      <c r="V63" s="3"/>
      <c r="W63" s="3">
        <f>K63</f>
        <v>1</v>
      </c>
      <c r="X63" s="3">
        <f>K64</f>
        <v>1</v>
      </c>
      <c r="Y63" s="3">
        <f>K65</f>
        <v>3</v>
      </c>
      <c r="Z63" s="3">
        <v>0.0</v>
      </c>
      <c r="AA63" s="3">
        <v>0.0</v>
      </c>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row>
    <row r="64" ht="12.75" customHeight="1">
      <c r="A64" s="28"/>
      <c r="B64" s="57"/>
      <c r="C64" s="36"/>
      <c r="D64" s="98"/>
      <c r="E64" s="27"/>
      <c r="F64" s="13"/>
      <c r="G64" s="27"/>
      <c r="H64" s="27"/>
      <c r="I64" s="27"/>
      <c r="J64" s="27"/>
      <c r="K64" s="27">
        <f t="shared" si="21"/>
        <v>1</v>
      </c>
      <c r="L64" s="27">
        <f t="shared" si="22"/>
        <v>100</v>
      </c>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row>
    <row r="65" ht="12.75" customHeight="1">
      <c r="A65" s="28"/>
      <c r="B65" s="57"/>
      <c r="C65" s="36"/>
      <c r="D65" s="98"/>
      <c r="E65" s="27"/>
      <c r="F65" s="13"/>
      <c r="G65" s="27"/>
      <c r="H65" s="27"/>
      <c r="I65" s="27"/>
      <c r="J65" s="27"/>
      <c r="K65" s="27">
        <f t="shared" si="21"/>
        <v>3</v>
      </c>
      <c r="L65" s="27">
        <f t="shared" si="22"/>
        <v>150</v>
      </c>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row>
    <row r="66" ht="12.75" customHeight="1">
      <c r="A66" s="28"/>
      <c r="B66" s="57"/>
      <c r="C66" s="36"/>
      <c r="D66" s="98"/>
      <c r="E66" s="27"/>
      <c r="F66" s="13"/>
      <c r="G66" s="27"/>
      <c r="H66" s="27"/>
      <c r="I66" s="27">
        <f t="shared" ref="I66:I70" si="23">AF27*AG27</f>
        <v>3</v>
      </c>
      <c r="J66" s="27">
        <f t="shared" ref="J66:J70" si="24">I66*AH27</f>
        <v>180</v>
      </c>
      <c r="K66" s="27"/>
      <c r="L66" s="27"/>
      <c r="M66" s="3"/>
      <c r="N66" s="3"/>
      <c r="O66" s="3"/>
      <c r="P66" s="3"/>
      <c r="Q66" s="3"/>
      <c r="R66" s="3">
        <f>I66</f>
        <v>3</v>
      </c>
      <c r="S66" s="3">
        <f>I67</f>
        <v>3</v>
      </c>
      <c r="T66" s="3">
        <f>I68</f>
        <v>2</v>
      </c>
      <c r="U66" s="3">
        <f>I69+I70</f>
        <v>2</v>
      </c>
      <c r="V66" s="3">
        <v>0.0</v>
      </c>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row>
    <row r="67" ht="12.75" customHeight="1">
      <c r="A67" s="28"/>
      <c r="B67" s="57"/>
      <c r="C67" s="36"/>
      <c r="D67" s="98"/>
      <c r="E67" s="27"/>
      <c r="F67" s="13"/>
      <c r="G67" s="27"/>
      <c r="H67" s="27"/>
      <c r="I67" s="27">
        <f t="shared" si="23"/>
        <v>3</v>
      </c>
      <c r="J67" s="27">
        <f t="shared" si="24"/>
        <v>210</v>
      </c>
      <c r="K67" s="27"/>
      <c r="L67" s="27"/>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row>
    <row r="68" ht="12.75" customHeight="1">
      <c r="A68" s="28"/>
      <c r="B68" s="57"/>
      <c r="C68" s="36"/>
      <c r="D68" s="98"/>
      <c r="E68" s="27"/>
      <c r="F68" s="13"/>
      <c r="G68" s="27"/>
      <c r="H68" s="27"/>
      <c r="I68" s="27">
        <f t="shared" si="23"/>
        <v>2</v>
      </c>
      <c r="J68" s="27">
        <f t="shared" si="24"/>
        <v>160</v>
      </c>
      <c r="K68" s="27"/>
      <c r="L68" s="27"/>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row>
    <row r="69" ht="12.75" customHeight="1">
      <c r="A69" s="28"/>
      <c r="B69" s="57"/>
      <c r="C69" s="36"/>
      <c r="D69" s="98"/>
      <c r="E69" s="27"/>
      <c r="F69" s="13"/>
      <c r="G69" s="27"/>
      <c r="H69" s="27"/>
      <c r="I69" s="27">
        <f t="shared" si="23"/>
        <v>1</v>
      </c>
      <c r="J69" s="27">
        <f t="shared" si="24"/>
        <v>90</v>
      </c>
      <c r="K69" s="27"/>
      <c r="L69" s="27"/>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row>
    <row r="70" ht="12.75" customHeight="1">
      <c r="A70" s="28"/>
      <c r="B70" s="57"/>
      <c r="C70" s="36"/>
      <c r="D70" s="98"/>
      <c r="E70" s="27"/>
      <c r="F70" s="13"/>
      <c r="G70" s="27"/>
      <c r="H70" s="27"/>
      <c r="I70" s="27">
        <f t="shared" si="23"/>
        <v>1</v>
      </c>
      <c r="J70" s="27">
        <f t="shared" si="24"/>
        <v>95</v>
      </c>
      <c r="K70" s="27"/>
      <c r="L70" s="27"/>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row>
    <row r="71" ht="12.75" customHeight="1">
      <c r="A71" s="28"/>
      <c r="B71" s="57"/>
      <c r="C71" s="36"/>
      <c r="D71" s="98"/>
      <c r="E71" s="27"/>
      <c r="F71" s="13"/>
      <c r="G71" s="27"/>
      <c r="H71" s="27"/>
      <c r="I71" s="98"/>
      <c r="J71" s="98"/>
      <c r="K71" s="27">
        <f t="shared" ref="K71:K72" si="25">AF32*AG32</f>
        <v>1</v>
      </c>
      <c r="L71" s="27">
        <f t="shared" ref="L71:L72" si="26">K71*AH32</f>
        <v>100</v>
      </c>
      <c r="M71" s="3"/>
      <c r="N71" s="3"/>
      <c r="O71" s="3"/>
      <c r="P71" s="3"/>
      <c r="Q71" s="3"/>
      <c r="R71" s="3"/>
      <c r="S71" s="3"/>
      <c r="T71" s="3"/>
      <c r="U71" s="3"/>
      <c r="V71" s="3"/>
      <c r="W71" s="3">
        <f>K71</f>
        <v>1</v>
      </c>
      <c r="X71" s="3">
        <f>K72</f>
        <v>24</v>
      </c>
      <c r="Y71" s="3" t="str">
        <f>K73</f>
        <v>#REF!</v>
      </c>
      <c r="Z71" s="3" t="str">
        <f>K74</f>
        <v>#REF!</v>
      </c>
      <c r="AA71" s="3">
        <v>0.0</v>
      </c>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row>
    <row r="72" ht="12.75" customHeight="1">
      <c r="A72" s="28"/>
      <c r="B72" s="57"/>
      <c r="C72" s="36"/>
      <c r="D72" s="98"/>
      <c r="E72" s="27"/>
      <c r="F72" s="13"/>
      <c r="G72" s="27"/>
      <c r="H72" s="27"/>
      <c r="I72" s="27"/>
      <c r="J72" s="27"/>
      <c r="K72" s="27">
        <f t="shared" si="25"/>
        <v>24</v>
      </c>
      <c r="L72" s="27">
        <f t="shared" si="26"/>
        <v>0</v>
      </c>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row>
    <row r="73" ht="12.75" customHeight="1">
      <c r="A73" s="28"/>
      <c r="B73" s="57"/>
      <c r="C73" s="36"/>
      <c r="D73" s="98"/>
      <c r="E73" s="27"/>
      <c r="F73" s="13"/>
      <c r="G73" s="27"/>
      <c r="H73" s="27"/>
      <c r="I73" s="27"/>
      <c r="J73" s="27"/>
      <c r="K73" s="27" t="str">
        <f t="shared" ref="K73:K74" si="27">#REF!*#REF!</f>
        <v>#REF!</v>
      </c>
      <c r="L73" s="27" t="str">
        <f t="shared" ref="L73:L74" si="28">K73*#REF!</f>
        <v>#REF!</v>
      </c>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row>
    <row r="74" ht="12.75" customHeight="1">
      <c r="A74" s="28"/>
      <c r="B74" s="57"/>
      <c r="C74" s="36"/>
      <c r="D74" s="98"/>
      <c r="E74" s="27"/>
      <c r="F74" s="13"/>
      <c r="G74" s="27"/>
      <c r="H74" s="27"/>
      <c r="I74" s="27"/>
      <c r="J74" s="27"/>
      <c r="K74" s="27" t="str">
        <f t="shared" si="27"/>
        <v>#REF!</v>
      </c>
      <c r="L74" s="27" t="str">
        <f t="shared" si="28"/>
        <v>#REF!</v>
      </c>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row>
    <row r="75" ht="12.75" customHeight="1">
      <c r="A75" s="28"/>
      <c r="B75" s="57"/>
      <c r="C75" s="36"/>
      <c r="D75" s="98"/>
      <c r="E75" s="27"/>
      <c r="F75" s="13"/>
      <c r="G75" s="27"/>
      <c r="H75" s="27"/>
      <c r="I75" s="27"/>
      <c r="J75" s="27"/>
      <c r="K75" s="27"/>
      <c r="L75" s="27"/>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row>
    <row r="76" ht="12.75" customHeight="1">
      <c r="A76" s="28"/>
      <c r="B76" s="57"/>
      <c r="C76" s="36"/>
      <c r="D76" s="98"/>
      <c r="E76" s="27"/>
      <c r="F76" s="13"/>
      <c r="G76" s="27"/>
      <c r="H76" s="27"/>
      <c r="I76" s="27"/>
      <c r="J76" s="27"/>
      <c r="K76" s="27"/>
      <c r="L76" s="27"/>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row>
    <row r="77" ht="12.75" customHeight="1">
      <c r="A77" s="28"/>
      <c r="B77" s="57"/>
      <c r="C77" s="36"/>
      <c r="D77" s="98"/>
      <c r="E77" s="27"/>
      <c r="F77" s="13"/>
      <c r="G77" s="27"/>
      <c r="H77" s="27"/>
      <c r="I77" s="27"/>
      <c r="J77" s="27"/>
      <c r="K77" s="27"/>
      <c r="L77" s="27"/>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row>
    <row r="78" ht="12.75" customHeight="1">
      <c r="A78" s="28"/>
      <c r="B78" s="57"/>
      <c r="C78" s="36"/>
      <c r="D78" s="98"/>
      <c r="E78" s="27"/>
      <c r="F78" s="13"/>
      <c r="G78" s="27">
        <f t="shared" ref="G78:G81" si="29">AF39*AG39</f>
        <v>3</v>
      </c>
      <c r="H78" s="27">
        <f t="shared" ref="H78:H81" si="30">G78*AH39</f>
        <v>210</v>
      </c>
      <c r="I78" s="27"/>
      <c r="J78" s="27"/>
      <c r="K78" s="98"/>
      <c r="L78" s="98"/>
      <c r="M78" s="3">
        <f>G78</f>
        <v>3</v>
      </c>
      <c r="N78" s="3">
        <f>G79</f>
        <v>2</v>
      </c>
      <c r="O78" s="3">
        <f>G80</f>
        <v>1</v>
      </c>
      <c r="P78" s="3" t="str">
        <f>G81+G82+G83</f>
        <v>#REF!</v>
      </c>
      <c r="Q78" s="3">
        <v>0.0</v>
      </c>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row>
    <row r="79" ht="12.75" customHeight="1">
      <c r="A79" s="28"/>
      <c r="B79" s="57"/>
      <c r="C79" s="36"/>
      <c r="D79" s="98"/>
      <c r="E79" s="27"/>
      <c r="F79" s="13"/>
      <c r="G79" s="27">
        <f t="shared" si="29"/>
        <v>2</v>
      </c>
      <c r="H79" s="27">
        <f t="shared" si="30"/>
        <v>160</v>
      </c>
      <c r="I79" s="27"/>
      <c r="J79" s="27"/>
      <c r="K79" s="98"/>
      <c r="L79" s="98"/>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row>
    <row r="80" ht="12.75" customHeight="1">
      <c r="A80" s="28"/>
      <c r="B80" s="57"/>
      <c r="C80" s="36"/>
      <c r="D80" s="98"/>
      <c r="E80" s="27"/>
      <c r="F80" s="13"/>
      <c r="G80" s="27">
        <f t="shared" si="29"/>
        <v>1</v>
      </c>
      <c r="H80" s="27">
        <f t="shared" si="30"/>
        <v>90</v>
      </c>
      <c r="I80" s="27"/>
      <c r="J80" s="27"/>
      <c r="K80" s="98"/>
      <c r="L80" s="98"/>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row>
    <row r="81" ht="12.75" customHeight="1">
      <c r="A81" s="28"/>
      <c r="B81" s="57"/>
      <c r="C81" s="36"/>
      <c r="D81" s="98"/>
      <c r="E81" s="27"/>
      <c r="F81" s="13"/>
      <c r="G81" s="27">
        <f t="shared" si="29"/>
        <v>1</v>
      </c>
      <c r="H81" s="27">
        <f t="shared" si="30"/>
        <v>95</v>
      </c>
      <c r="I81" s="98"/>
      <c r="J81" s="98"/>
      <c r="K81" s="27"/>
      <c r="L81" s="27"/>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row>
    <row r="82" ht="12.75" customHeight="1">
      <c r="A82" s="28"/>
      <c r="B82" s="57"/>
      <c r="C82" s="36"/>
      <c r="D82" s="98"/>
      <c r="E82" s="27"/>
      <c r="F82" s="13"/>
      <c r="G82" s="27" t="str">
        <f t="shared" ref="G82:G83" si="31">#REF!*#REF!</f>
        <v>#REF!</v>
      </c>
      <c r="H82" s="27" t="str">
        <f t="shared" ref="H82:H83" si="32">G82*#REF!</f>
        <v>#REF!</v>
      </c>
      <c r="I82" s="98"/>
      <c r="J82" s="98"/>
      <c r="K82" s="27"/>
      <c r="L82" s="27"/>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row>
    <row r="83" ht="12.75" customHeight="1">
      <c r="A83" s="28"/>
      <c r="B83" s="57"/>
      <c r="C83" s="36"/>
      <c r="D83" s="98"/>
      <c r="E83" s="27"/>
      <c r="F83" s="13"/>
      <c r="G83" s="27" t="str">
        <f t="shared" si="31"/>
        <v>#REF!</v>
      </c>
      <c r="H83" s="27" t="str">
        <f t="shared" si="32"/>
        <v>#REF!</v>
      </c>
      <c r="I83" s="98"/>
      <c r="J83" s="98"/>
      <c r="K83" s="27"/>
      <c r="L83" s="27"/>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row>
    <row r="84" ht="12.75" customHeight="1">
      <c r="A84" s="28"/>
      <c r="B84" s="57"/>
      <c r="C84" s="36"/>
      <c r="D84" s="98"/>
      <c r="E84" s="27"/>
      <c r="F84" s="13"/>
      <c r="G84" s="27"/>
      <c r="H84" s="27"/>
      <c r="I84" s="27">
        <f t="shared" ref="I84:I87" si="33">AF43*AG43</f>
        <v>1</v>
      </c>
      <c r="J84" s="27">
        <f t="shared" ref="J84:J87" si="34">I84*AH43</f>
        <v>100</v>
      </c>
      <c r="K84" s="98"/>
      <c r="L84" s="98"/>
      <c r="M84" s="3"/>
      <c r="N84" s="3"/>
      <c r="O84" s="3"/>
      <c r="P84" s="3"/>
      <c r="Q84" s="3"/>
      <c r="R84" s="3">
        <f>I84</f>
        <v>1</v>
      </c>
      <c r="S84" s="3">
        <f>I85</f>
        <v>3</v>
      </c>
      <c r="T84" s="3">
        <f>I86</f>
        <v>3</v>
      </c>
      <c r="U84" s="3">
        <f>I87</f>
        <v>3</v>
      </c>
      <c r="V84" s="3">
        <v>0.0</v>
      </c>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row>
    <row r="85" ht="12.75" customHeight="1">
      <c r="A85" s="28"/>
      <c r="B85" s="57"/>
      <c r="C85" s="36"/>
      <c r="D85" s="98"/>
      <c r="E85" s="27"/>
      <c r="F85" s="13"/>
      <c r="G85" s="27"/>
      <c r="H85" s="27"/>
      <c r="I85" s="27">
        <f t="shared" si="33"/>
        <v>3</v>
      </c>
      <c r="J85" s="27">
        <f t="shared" si="34"/>
        <v>150</v>
      </c>
      <c r="K85" s="98"/>
      <c r="L85" s="98"/>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row>
    <row r="86" ht="12.75" customHeight="1">
      <c r="A86" s="28"/>
      <c r="B86" s="57"/>
      <c r="C86" s="36"/>
      <c r="D86" s="98"/>
      <c r="E86" s="27"/>
      <c r="F86" s="13"/>
      <c r="G86" s="27"/>
      <c r="H86" s="27"/>
      <c r="I86" s="27">
        <f t="shared" si="33"/>
        <v>3</v>
      </c>
      <c r="J86" s="27">
        <f t="shared" si="34"/>
        <v>180</v>
      </c>
      <c r="K86" s="27"/>
      <c r="L86" s="27"/>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row>
    <row r="87" ht="12.75" customHeight="1">
      <c r="A87" s="28"/>
      <c r="B87" s="57"/>
      <c r="C87" s="36"/>
      <c r="D87" s="98"/>
      <c r="E87" s="27"/>
      <c r="F87" s="13"/>
      <c r="G87" s="27"/>
      <c r="H87" s="27"/>
      <c r="I87" s="27">
        <f t="shared" si="33"/>
        <v>3</v>
      </c>
      <c r="J87" s="27">
        <f t="shared" si="34"/>
        <v>210</v>
      </c>
      <c r="K87" s="27"/>
      <c r="L87" s="27"/>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row>
    <row r="88" ht="12.75" customHeight="1">
      <c r="A88" s="28"/>
      <c r="B88" s="57"/>
      <c r="C88" s="36"/>
      <c r="D88" s="98"/>
      <c r="E88" s="27"/>
      <c r="F88" s="13"/>
      <c r="G88" s="27"/>
      <c r="H88" s="27"/>
      <c r="I88" s="98"/>
      <c r="J88" s="98"/>
      <c r="K88" s="27"/>
      <c r="L88" s="27"/>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row>
    <row r="89" ht="12.75" customHeight="1">
      <c r="A89" s="28"/>
      <c r="B89" s="57"/>
      <c r="C89" s="36"/>
      <c r="D89" s="98"/>
      <c r="E89" s="27"/>
      <c r="F89" s="13"/>
      <c r="G89" s="27"/>
      <c r="H89" s="27"/>
      <c r="I89" s="98"/>
      <c r="J89" s="98"/>
      <c r="K89" s="27"/>
      <c r="L89" s="27"/>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row>
    <row r="90" ht="12.75" customHeight="1">
      <c r="A90" s="28"/>
      <c r="B90" s="57"/>
      <c r="C90" s="36"/>
      <c r="D90" s="98"/>
      <c r="E90" s="27"/>
      <c r="F90" s="13"/>
      <c r="G90" s="25" t="str">
        <f t="shared" ref="G90:Q90" si="35">SUM(G48:G89)</f>
        <v>#REF!</v>
      </c>
      <c r="H90" s="25" t="str">
        <f t="shared" si="35"/>
        <v>#REF!</v>
      </c>
      <c r="I90" s="25">
        <f t="shared" si="35"/>
        <v>35</v>
      </c>
      <c r="J90" s="25">
        <f t="shared" si="35"/>
        <v>2365</v>
      </c>
      <c r="K90" s="25" t="str">
        <f t="shared" si="35"/>
        <v>#REF!</v>
      </c>
      <c r="L90" s="25" t="str">
        <f t="shared" si="35"/>
        <v>#REF!</v>
      </c>
      <c r="M90" s="25">
        <f t="shared" si="35"/>
        <v>30</v>
      </c>
      <c r="N90" s="25">
        <f t="shared" si="35"/>
        <v>29</v>
      </c>
      <c r="O90" s="25">
        <f t="shared" si="35"/>
        <v>4</v>
      </c>
      <c r="P90" s="25" t="str">
        <f t="shared" si="35"/>
        <v>#REF!</v>
      </c>
      <c r="Q90" s="25">
        <f t="shared" si="35"/>
        <v>0</v>
      </c>
      <c r="R90" s="25">
        <f t="shared" ref="R90:V90" si="36">SUM(R52:R89)</f>
        <v>7</v>
      </c>
      <c r="S90" s="25">
        <f t="shared" si="36"/>
        <v>9</v>
      </c>
      <c r="T90" s="3">
        <f t="shared" si="36"/>
        <v>8</v>
      </c>
      <c r="U90" s="3">
        <f t="shared" si="36"/>
        <v>11</v>
      </c>
      <c r="V90" s="25">
        <f t="shared" si="36"/>
        <v>0</v>
      </c>
      <c r="W90" s="25">
        <f t="shared" ref="W90:AA90" si="37">SUM(W63:W89)</f>
        <v>2</v>
      </c>
      <c r="X90" s="25">
        <f t="shared" si="37"/>
        <v>25</v>
      </c>
      <c r="Y90" s="3" t="str">
        <f t="shared" si="37"/>
        <v>#REF!</v>
      </c>
      <c r="Z90" s="3" t="str">
        <f t="shared" si="37"/>
        <v>#REF!</v>
      </c>
      <c r="AA90" s="25">
        <f t="shared" si="37"/>
        <v>0</v>
      </c>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row>
    <row r="91" ht="12.75" customHeight="1">
      <c r="A91" s="28"/>
      <c r="B91" s="57"/>
      <c r="C91" s="36"/>
      <c r="D91" s="98"/>
      <c r="E91" s="27"/>
      <c r="F91" s="13"/>
      <c r="G91" s="27"/>
      <c r="H91" s="27"/>
      <c r="I91" s="27"/>
      <c r="J91" s="27"/>
      <c r="K91" s="27"/>
      <c r="L91" s="27"/>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row>
    <row r="92" ht="12.75" customHeight="1">
      <c r="A92" s="28"/>
      <c r="B92" s="57"/>
      <c r="C92" s="36"/>
      <c r="D92" s="98"/>
      <c r="E92" s="27"/>
      <c r="F92" s="13"/>
      <c r="G92" s="27"/>
      <c r="H92" s="27"/>
      <c r="I92" s="27"/>
      <c r="J92" s="27"/>
      <c r="K92" s="27"/>
      <c r="L92" s="27"/>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row>
    <row r="93" ht="12.75" customHeight="1">
      <c r="A93" s="28"/>
      <c r="B93" s="57"/>
      <c r="C93" s="36"/>
      <c r="D93" s="98"/>
      <c r="E93" s="27"/>
      <c r="F93" s="13"/>
      <c r="G93" s="27"/>
      <c r="H93" s="27"/>
      <c r="I93" s="27"/>
      <c r="J93" s="27"/>
      <c r="K93" s="27"/>
      <c r="L93" s="27"/>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row>
    <row r="94" ht="12.75" customHeight="1">
      <c r="A94" s="28"/>
      <c r="B94" s="57"/>
      <c r="C94" s="36"/>
      <c r="D94" s="98"/>
      <c r="E94" s="27"/>
      <c r="F94" s="13"/>
      <c r="G94" s="27">
        <f t="shared" ref="G94:G97" si="38">AM7*AN7</f>
        <v>3</v>
      </c>
      <c r="H94" s="27">
        <f t="shared" ref="H94:H97" si="39">G94*AO7</f>
        <v>165</v>
      </c>
      <c r="I94" s="27"/>
      <c r="J94" s="27"/>
      <c r="K94" s="27"/>
      <c r="L94" s="27"/>
      <c r="M94" s="3">
        <f>G94</f>
        <v>3</v>
      </c>
      <c r="N94" s="3">
        <f>G95</f>
        <v>3</v>
      </c>
      <c r="O94" s="3">
        <f>G96</f>
        <v>4</v>
      </c>
      <c r="P94" s="3">
        <f>G97</f>
        <v>4</v>
      </c>
      <c r="Q94" s="3">
        <v>0.0</v>
      </c>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row>
    <row r="95" ht="12.75" customHeight="1">
      <c r="A95" s="28"/>
      <c r="B95" s="57"/>
      <c r="C95" s="36"/>
      <c r="D95" s="98"/>
      <c r="E95" s="27"/>
      <c r="F95" s="13"/>
      <c r="G95" s="27">
        <f t="shared" si="38"/>
        <v>3</v>
      </c>
      <c r="H95" s="27">
        <f t="shared" si="39"/>
        <v>195</v>
      </c>
      <c r="I95" s="27"/>
      <c r="J95" s="27"/>
      <c r="K95" s="27"/>
      <c r="L95" s="27"/>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row>
    <row r="96" ht="12.75" customHeight="1">
      <c r="A96" s="28"/>
      <c r="B96" s="57"/>
      <c r="C96" s="36"/>
      <c r="D96" s="98"/>
      <c r="E96" s="27"/>
      <c r="F96" s="13"/>
      <c r="G96" s="27">
        <f t="shared" si="38"/>
        <v>4</v>
      </c>
      <c r="H96" s="27">
        <f t="shared" si="39"/>
        <v>300</v>
      </c>
      <c r="I96" s="27"/>
      <c r="J96" s="27"/>
      <c r="K96" s="27"/>
      <c r="L96" s="27"/>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row>
    <row r="97" ht="12.75" customHeight="1">
      <c r="A97" s="28"/>
      <c r="B97" s="57"/>
      <c r="C97" s="36"/>
      <c r="D97" s="98"/>
      <c r="E97" s="27"/>
      <c r="F97" s="13"/>
      <c r="G97" s="27">
        <f t="shared" si="38"/>
        <v>4</v>
      </c>
      <c r="H97" s="27">
        <f t="shared" si="39"/>
        <v>340</v>
      </c>
      <c r="I97" s="27"/>
      <c r="J97" s="27"/>
      <c r="K97" s="27"/>
      <c r="L97" s="27"/>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row>
    <row r="98" ht="12.75" customHeight="1">
      <c r="A98" s="28"/>
      <c r="B98" s="57"/>
      <c r="C98" s="36"/>
      <c r="D98" s="98"/>
      <c r="E98" s="27"/>
      <c r="F98" s="13"/>
      <c r="G98" s="27"/>
      <c r="H98" s="27"/>
      <c r="I98" s="27">
        <f t="shared" ref="I98:I102" si="40">AM11*AN11</f>
        <v>3</v>
      </c>
      <c r="J98" s="27">
        <f t="shared" ref="J98:J102" si="41">I98*AO11</f>
        <v>150</v>
      </c>
      <c r="K98" s="27"/>
      <c r="L98" s="27"/>
      <c r="M98" s="3"/>
      <c r="N98" s="3"/>
      <c r="O98" s="3"/>
      <c r="P98" s="3"/>
      <c r="Q98" s="3"/>
      <c r="R98" s="3">
        <f>I98</f>
        <v>3</v>
      </c>
      <c r="S98" s="3">
        <f>I99</f>
        <v>3</v>
      </c>
      <c r="T98" s="3">
        <f>I100</f>
        <v>3</v>
      </c>
      <c r="U98" s="3">
        <f>I101+I102</f>
        <v>36</v>
      </c>
      <c r="V98" s="3">
        <v>0.0</v>
      </c>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row>
    <row r="99" ht="12.75" customHeight="1">
      <c r="A99" s="28"/>
      <c r="B99" s="57"/>
      <c r="C99" s="36"/>
      <c r="D99" s="98"/>
      <c r="E99" s="27"/>
      <c r="F99" s="13"/>
      <c r="G99" s="27"/>
      <c r="H99" s="27"/>
      <c r="I99" s="27">
        <f t="shared" si="40"/>
        <v>3</v>
      </c>
      <c r="J99" s="27">
        <f t="shared" si="41"/>
        <v>180</v>
      </c>
      <c r="K99" s="27"/>
      <c r="L99" s="27"/>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row>
    <row r="100" ht="12.75" customHeight="1">
      <c r="A100" s="28"/>
      <c r="B100" s="57"/>
      <c r="C100" s="36"/>
      <c r="D100" s="98"/>
      <c r="E100" s="27"/>
      <c r="F100" s="13"/>
      <c r="G100" s="27"/>
      <c r="H100" s="27"/>
      <c r="I100" s="27">
        <f t="shared" si="40"/>
        <v>3</v>
      </c>
      <c r="J100" s="27">
        <f t="shared" si="41"/>
        <v>210</v>
      </c>
      <c r="K100" s="27"/>
      <c r="L100" s="27"/>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row>
    <row r="101" ht="12.75" customHeight="1">
      <c r="A101" s="28"/>
      <c r="B101" s="57"/>
      <c r="C101" s="36"/>
      <c r="D101" s="98"/>
      <c r="E101" s="27"/>
      <c r="F101" s="13"/>
      <c r="G101" s="27"/>
      <c r="H101" s="27"/>
      <c r="I101" s="27">
        <f t="shared" si="40"/>
        <v>12</v>
      </c>
      <c r="J101" s="27">
        <f t="shared" si="41"/>
        <v>960</v>
      </c>
      <c r="K101" s="27"/>
      <c r="L101" s="27"/>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row>
    <row r="102" ht="12.75" customHeight="1">
      <c r="A102" s="28"/>
      <c r="B102" s="57"/>
      <c r="C102" s="36"/>
      <c r="D102" s="98"/>
      <c r="E102" s="27"/>
      <c r="F102" s="13"/>
      <c r="G102" s="27"/>
      <c r="H102" s="27"/>
      <c r="I102" s="27">
        <f t="shared" si="40"/>
        <v>24</v>
      </c>
      <c r="J102" s="27">
        <f t="shared" si="41"/>
        <v>0</v>
      </c>
      <c r="K102" s="27"/>
      <c r="L102" s="27"/>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row>
    <row r="103" ht="12.75" customHeight="1">
      <c r="A103" s="28"/>
      <c r="B103" s="57"/>
      <c r="C103" s="36"/>
      <c r="D103" s="98"/>
      <c r="E103" s="27"/>
      <c r="F103" s="13"/>
      <c r="G103" s="27"/>
      <c r="H103" s="27"/>
      <c r="I103" s="27"/>
      <c r="J103" s="27"/>
      <c r="K103" s="27"/>
      <c r="L103" s="27"/>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row>
    <row r="104" ht="12.75" customHeight="1">
      <c r="A104" s="28"/>
      <c r="B104" s="57"/>
      <c r="C104" s="36"/>
      <c r="D104" s="98"/>
      <c r="E104" s="27"/>
      <c r="F104" s="13"/>
      <c r="G104" s="27"/>
      <c r="H104" s="27"/>
      <c r="I104" s="27"/>
      <c r="J104" s="27"/>
      <c r="K104" s="27"/>
      <c r="L104" s="27"/>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row>
    <row r="105" ht="12.75" customHeight="1">
      <c r="A105" s="28"/>
      <c r="B105" s="57"/>
      <c r="C105" s="36"/>
      <c r="D105" s="98"/>
      <c r="E105" s="27"/>
      <c r="F105" s="13"/>
      <c r="G105" s="27"/>
      <c r="H105" s="27"/>
      <c r="I105" s="27"/>
      <c r="J105" s="27"/>
      <c r="K105" s="27"/>
      <c r="L105" s="27"/>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row>
    <row r="106" ht="12.75" customHeight="1">
      <c r="A106" s="28"/>
      <c r="B106" s="57"/>
      <c r="C106" s="36"/>
      <c r="D106" s="98"/>
      <c r="E106" s="27"/>
      <c r="F106" s="13"/>
      <c r="G106" s="27"/>
      <c r="H106" s="27"/>
      <c r="I106" s="27"/>
      <c r="J106" s="27"/>
      <c r="K106" s="27"/>
      <c r="L106" s="27"/>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row>
    <row r="107" ht="12.75" customHeight="1">
      <c r="A107" s="28"/>
      <c r="B107" s="57"/>
      <c r="C107" s="36"/>
      <c r="D107" s="98"/>
      <c r="E107" s="27"/>
      <c r="F107" s="13"/>
      <c r="G107" s="27"/>
      <c r="H107" s="27"/>
      <c r="I107" s="27">
        <f t="shared" ref="I107:I110" si="42">AM23*AN23</f>
        <v>3</v>
      </c>
      <c r="J107" s="27">
        <f t="shared" ref="J107:J110" si="43">I107*AO23</f>
        <v>150</v>
      </c>
      <c r="K107" s="27"/>
      <c r="L107" s="27"/>
      <c r="M107" s="3"/>
      <c r="N107" s="3"/>
      <c r="O107" s="3"/>
      <c r="P107" s="3"/>
      <c r="Q107" s="3"/>
      <c r="R107" s="3">
        <f>I107</f>
        <v>3</v>
      </c>
      <c r="S107" s="3">
        <f>I108</f>
        <v>3</v>
      </c>
      <c r="T107" s="3">
        <f>I109</f>
        <v>3</v>
      </c>
      <c r="U107" s="3">
        <f>I110</f>
        <v>4</v>
      </c>
      <c r="V107" s="3">
        <v>0.0</v>
      </c>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row>
    <row r="108" ht="12.75" customHeight="1">
      <c r="A108" s="28"/>
      <c r="B108" s="57"/>
      <c r="C108" s="36"/>
      <c r="D108" s="98"/>
      <c r="E108" s="27"/>
      <c r="F108" s="13"/>
      <c r="G108" s="27"/>
      <c r="H108" s="27"/>
      <c r="I108" s="27">
        <f t="shared" si="42"/>
        <v>3</v>
      </c>
      <c r="J108" s="27">
        <f t="shared" si="43"/>
        <v>180</v>
      </c>
      <c r="K108" s="27"/>
      <c r="L108" s="27"/>
      <c r="M108" s="3"/>
      <c r="N108" s="3"/>
      <c r="O108" s="3"/>
      <c r="P108" s="3"/>
      <c r="Q108" s="3"/>
      <c r="R108" s="3"/>
      <c r="S108" s="3"/>
      <c r="T108" s="3"/>
      <c r="U108" s="3"/>
      <c r="V108" s="3"/>
      <c r="W108" s="3"/>
      <c r="X108" s="3"/>
      <c r="Y108" s="3"/>
      <c r="Z108" s="3"/>
      <c r="AA108" s="3"/>
      <c r="AB108" s="3"/>
      <c r="AC108" s="28"/>
      <c r="AD108" s="57"/>
      <c r="AE108" s="36"/>
      <c r="AF108" s="98"/>
      <c r="AG108" s="27"/>
      <c r="AH108" s="1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row>
    <row r="109" ht="12.75" customHeight="1">
      <c r="A109" s="28"/>
      <c r="B109" s="57"/>
      <c r="C109" s="36"/>
      <c r="D109" s="98"/>
      <c r="E109" s="27"/>
      <c r="F109" s="13"/>
      <c r="G109" s="27"/>
      <c r="H109" s="27"/>
      <c r="I109" s="27">
        <f t="shared" si="42"/>
        <v>3</v>
      </c>
      <c r="J109" s="27">
        <f t="shared" si="43"/>
        <v>210</v>
      </c>
      <c r="K109" s="27"/>
      <c r="L109" s="27"/>
      <c r="M109" s="3"/>
      <c r="N109" s="3"/>
      <c r="O109" s="3"/>
      <c r="P109" s="3"/>
      <c r="Q109" s="3"/>
      <c r="R109" s="3"/>
      <c r="S109" s="3"/>
      <c r="T109" s="3"/>
      <c r="U109" s="3"/>
      <c r="V109" s="3"/>
      <c r="W109" s="3"/>
      <c r="X109" s="3"/>
      <c r="Y109" s="3"/>
      <c r="Z109" s="3"/>
      <c r="AA109" s="3"/>
      <c r="AB109" s="3"/>
      <c r="AC109" s="28"/>
      <c r="AD109" s="57"/>
      <c r="AE109" s="36"/>
      <c r="AF109" s="98"/>
      <c r="AG109" s="27"/>
      <c r="AH109" s="1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row>
    <row r="110" ht="12.75" customHeight="1">
      <c r="A110" s="28"/>
      <c r="B110" s="57"/>
      <c r="C110" s="36"/>
      <c r="D110" s="98"/>
      <c r="E110" s="27"/>
      <c r="F110" s="13"/>
      <c r="G110" s="27"/>
      <c r="H110" s="27"/>
      <c r="I110" s="27">
        <f t="shared" si="42"/>
        <v>4</v>
      </c>
      <c r="J110" s="27">
        <f t="shared" si="43"/>
        <v>320</v>
      </c>
      <c r="K110" s="27"/>
      <c r="L110" s="27"/>
      <c r="M110" s="3"/>
      <c r="N110" s="3"/>
      <c r="O110" s="3"/>
      <c r="P110" s="3"/>
      <c r="Q110" s="3"/>
      <c r="R110" s="3"/>
      <c r="S110" s="3"/>
      <c r="T110" s="3"/>
      <c r="U110" s="3"/>
      <c r="V110" s="3"/>
      <c r="W110" s="3"/>
      <c r="X110" s="3"/>
      <c r="Y110" s="3"/>
      <c r="Z110" s="3"/>
      <c r="AA110" s="3"/>
      <c r="AB110" s="3"/>
      <c r="AC110" s="28"/>
      <c r="AD110" s="57"/>
      <c r="AE110" s="36"/>
      <c r="AF110" s="98"/>
      <c r="AG110" s="27"/>
      <c r="AH110" s="1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row>
    <row r="111" ht="12.75" customHeight="1">
      <c r="A111" s="28"/>
      <c r="B111" s="57"/>
      <c r="C111" s="36"/>
      <c r="D111" s="98"/>
      <c r="E111" s="27"/>
      <c r="F111" s="13"/>
      <c r="G111" s="27"/>
      <c r="H111" s="27"/>
      <c r="I111" s="27"/>
      <c r="J111" s="27"/>
      <c r="K111" s="27">
        <f t="shared" ref="K111:K114" si="44">AM27*AN27</f>
        <v>3</v>
      </c>
      <c r="L111" s="27">
        <f t="shared" ref="L111:L114" si="45">K111*AO27</f>
        <v>255</v>
      </c>
      <c r="M111" s="3"/>
      <c r="N111" s="3"/>
      <c r="O111" s="3"/>
      <c r="P111" s="3"/>
      <c r="Q111" s="3"/>
      <c r="R111" s="3"/>
      <c r="S111" s="3"/>
      <c r="T111" s="3"/>
      <c r="U111" s="3"/>
      <c r="V111" s="3"/>
      <c r="W111" s="3">
        <f>K111</f>
        <v>3</v>
      </c>
      <c r="X111" s="3">
        <f>K112</f>
        <v>3</v>
      </c>
      <c r="Y111" s="3">
        <f>K113+K114</f>
        <v>6</v>
      </c>
      <c r="Z111" s="3">
        <v>0.0</v>
      </c>
      <c r="AA111" s="3">
        <v>0.0</v>
      </c>
      <c r="AB111" s="3"/>
      <c r="AC111" s="28"/>
      <c r="AD111" s="57"/>
      <c r="AE111" s="36"/>
      <c r="AF111" s="98"/>
      <c r="AG111" s="27"/>
      <c r="AH111" s="1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row>
    <row r="112" ht="12.75" customHeight="1">
      <c r="A112" s="28"/>
      <c r="B112" s="57"/>
      <c r="C112" s="36"/>
      <c r="D112" s="98"/>
      <c r="E112" s="27"/>
      <c r="F112" s="13"/>
      <c r="G112" s="27"/>
      <c r="H112" s="27"/>
      <c r="I112" s="27"/>
      <c r="J112" s="27"/>
      <c r="K112" s="27">
        <f t="shared" si="44"/>
        <v>3</v>
      </c>
      <c r="L112" s="27">
        <f t="shared" si="45"/>
        <v>150</v>
      </c>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row>
    <row r="113" ht="12.75" customHeight="1">
      <c r="A113" s="28"/>
      <c r="B113" s="57"/>
      <c r="C113" s="36"/>
      <c r="D113" s="98"/>
      <c r="E113" s="27"/>
      <c r="F113" s="13"/>
      <c r="G113" s="27"/>
      <c r="H113" s="27"/>
      <c r="I113" s="27"/>
      <c r="J113" s="27"/>
      <c r="K113" s="27">
        <f t="shared" si="44"/>
        <v>3</v>
      </c>
      <c r="L113" s="27">
        <f t="shared" si="45"/>
        <v>180</v>
      </c>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row>
    <row r="114" ht="12.75" customHeight="1">
      <c r="A114" s="28"/>
      <c r="B114" s="57"/>
      <c r="C114" s="36"/>
      <c r="D114" s="98"/>
      <c r="E114" s="27"/>
      <c r="F114" s="13"/>
      <c r="G114" s="27"/>
      <c r="H114" s="27"/>
      <c r="I114" s="27"/>
      <c r="J114" s="27"/>
      <c r="K114" s="27">
        <f t="shared" si="44"/>
        <v>3</v>
      </c>
      <c r="L114" s="27">
        <f t="shared" si="45"/>
        <v>210</v>
      </c>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row>
    <row r="115" ht="12.75" customHeight="1">
      <c r="A115" s="28"/>
      <c r="B115" s="57"/>
      <c r="C115" s="36"/>
      <c r="D115" s="98"/>
      <c r="E115" s="27"/>
      <c r="F115" s="13"/>
      <c r="G115" s="27"/>
      <c r="H115" s="27"/>
      <c r="I115" s="27"/>
      <c r="J115" s="27"/>
      <c r="K115" s="27"/>
      <c r="L115" s="27"/>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row>
    <row r="116" ht="12.75" customHeight="1">
      <c r="A116" s="28"/>
      <c r="B116" s="57"/>
      <c r="C116" s="36"/>
      <c r="D116" s="98"/>
      <c r="E116" s="27"/>
      <c r="F116" s="13"/>
      <c r="G116" s="27"/>
      <c r="H116" s="27"/>
      <c r="I116" s="27"/>
      <c r="J116" s="27"/>
      <c r="K116" s="27"/>
      <c r="L116" s="27"/>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row>
    <row r="117" ht="12.75" customHeight="1">
      <c r="A117" s="28"/>
      <c r="B117" s="57"/>
      <c r="C117" s="36"/>
      <c r="D117" s="98"/>
      <c r="E117" s="27"/>
      <c r="F117" s="13"/>
      <c r="G117" s="27"/>
      <c r="H117" s="27"/>
      <c r="I117" s="27"/>
      <c r="J117" s="27"/>
      <c r="K117" s="27"/>
      <c r="L117" s="27"/>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row>
    <row r="118" ht="12.75" customHeight="1">
      <c r="A118" s="28"/>
      <c r="B118" s="57"/>
      <c r="C118" s="36"/>
      <c r="D118" s="98"/>
      <c r="E118" s="27"/>
      <c r="F118" s="13"/>
      <c r="G118" s="27" t="str">
        <f t="shared" ref="G118:G121" si="46">#REF!*#REF!</f>
        <v>#REF!</v>
      </c>
      <c r="H118" s="27" t="str">
        <f t="shared" ref="H118:H121" si="47">G118*#REF!</f>
        <v>#REF!</v>
      </c>
      <c r="I118" s="27"/>
      <c r="J118" s="27"/>
      <c r="K118" s="27"/>
      <c r="L118" s="27"/>
      <c r="M118" s="3" t="str">
        <f>G118</f>
        <v>#REF!</v>
      </c>
      <c r="N118" s="3" t="str">
        <f>G119</f>
        <v>#REF!</v>
      </c>
      <c r="O118" s="3" t="str">
        <f>G120+G121</f>
        <v>#REF!</v>
      </c>
      <c r="P118" s="3">
        <v>0.0</v>
      </c>
      <c r="Q118" s="3">
        <v>0.0</v>
      </c>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row>
    <row r="119" ht="12.75" customHeight="1">
      <c r="A119" s="28"/>
      <c r="B119" s="57"/>
      <c r="C119" s="36"/>
      <c r="D119" s="98"/>
      <c r="E119" s="27"/>
      <c r="F119" s="13"/>
      <c r="G119" s="27" t="str">
        <f t="shared" si="46"/>
        <v>#REF!</v>
      </c>
      <c r="H119" s="27" t="str">
        <f t="shared" si="47"/>
        <v>#REF!</v>
      </c>
      <c r="I119" s="27"/>
      <c r="J119" s="27"/>
      <c r="K119" s="27"/>
      <c r="L119" s="27"/>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row>
    <row r="120" ht="12.75" customHeight="1">
      <c r="A120" s="28"/>
      <c r="B120" s="57"/>
      <c r="C120" s="36"/>
      <c r="D120" s="98"/>
      <c r="E120" s="27"/>
      <c r="F120" s="13"/>
      <c r="G120" s="27" t="str">
        <f t="shared" si="46"/>
        <v>#REF!</v>
      </c>
      <c r="H120" s="27" t="str">
        <f t="shared" si="47"/>
        <v>#REF!</v>
      </c>
      <c r="I120" s="27"/>
      <c r="J120" s="27"/>
      <c r="K120" s="27"/>
      <c r="L120" s="27"/>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row>
    <row r="121" ht="12.75" customHeight="1">
      <c r="A121" s="28"/>
      <c r="B121" s="57"/>
      <c r="C121" s="36"/>
      <c r="D121" s="98"/>
      <c r="E121" s="27"/>
      <c r="F121" s="13"/>
      <c r="G121" s="27" t="str">
        <f t="shared" si="46"/>
        <v>#REF!</v>
      </c>
      <c r="H121" s="27" t="str">
        <f t="shared" si="47"/>
        <v>#REF!</v>
      </c>
      <c r="I121" s="27"/>
      <c r="J121" s="27"/>
      <c r="K121" s="27"/>
      <c r="L121" s="27"/>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row>
    <row r="122" ht="12.75" customHeight="1">
      <c r="A122" s="28"/>
      <c r="B122" s="57"/>
      <c r="C122" s="36"/>
      <c r="D122" s="98"/>
      <c r="E122" s="27"/>
      <c r="F122" s="13"/>
      <c r="G122" s="27"/>
      <c r="H122" s="27"/>
      <c r="I122" s="27" t="str">
        <f t="shared" ref="I122:I125" si="48">#REF!*#REF!</f>
        <v>#REF!</v>
      </c>
      <c r="J122" s="27" t="str">
        <f t="shared" ref="J122:J125" si="49">I122*#REF!</f>
        <v>#REF!</v>
      </c>
      <c r="K122" s="27"/>
      <c r="L122" s="27"/>
      <c r="M122" s="3"/>
      <c r="N122" s="3"/>
      <c r="O122" s="3"/>
      <c r="P122" s="3"/>
      <c r="Q122" s="3"/>
      <c r="R122" s="3" t="str">
        <f>I122</f>
        <v>#REF!</v>
      </c>
      <c r="S122" s="3" t="str">
        <f>I123</f>
        <v>#REF!</v>
      </c>
      <c r="T122" s="3" t="str">
        <f>I124+I125</f>
        <v>#REF!</v>
      </c>
      <c r="U122" s="3">
        <v>0.0</v>
      </c>
      <c r="V122" s="3">
        <v>0.0</v>
      </c>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row>
    <row r="123" ht="12.75" customHeight="1">
      <c r="A123" s="28"/>
      <c r="B123" s="57"/>
      <c r="C123" s="36"/>
      <c r="D123" s="98"/>
      <c r="E123" s="27"/>
      <c r="F123" s="13"/>
      <c r="G123" s="27"/>
      <c r="H123" s="27"/>
      <c r="I123" s="27" t="str">
        <f t="shared" si="48"/>
        <v>#REF!</v>
      </c>
      <c r="J123" s="27" t="str">
        <f t="shared" si="49"/>
        <v>#REF!</v>
      </c>
      <c r="K123" s="27"/>
      <c r="L123" s="27"/>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row>
    <row r="124" ht="12.75" customHeight="1">
      <c r="A124" s="28"/>
      <c r="B124" s="57"/>
      <c r="C124" s="36"/>
      <c r="D124" s="98"/>
      <c r="E124" s="27"/>
      <c r="F124" s="13"/>
      <c r="G124" s="27"/>
      <c r="H124" s="27"/>
      <c r="I124" s="27" t="str">
        <f t="shared" si="48"/>
        <v>#REF!</v>
      </c>
      <c r="J124" s="27" t="str">
        <f t="shared" si="49"/>
        <v>#REF!</v>
      </c>
      <c r="K124" s="27"/>
      <c r="L124" s="27"/>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row>
    <row r="125" ht="12.75" customHeight="1">
      <c r="A125" s="28"/>
      <c r="B125" s="57"/>
      <c r="C125" s="36"/>
      <c r="D125" s="98"/>
      <c r="E125" s="27"/>
      <c r="F125" s="13"/>
      <c r="G125" s="27"/>
      <c r="H125" s="27"/>
      <c r="I125" s="27" t="str">
        <f t="shared" si="48"/>
        <v>#REF!</v>
      </c>
      <c r="J125" s="27" t="str">
        <f t="shared" si="49"/>
        <v>#REF!</v>
      </c>
      <c r="K125" s="27"/>
      <c r="L125" s="27"/>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row>
    <row r="126" ht="12.75" customHeight="1">
      <c r="A126" s="28"/>
      <c r="B126" s="57"/>
      <c r="C126" s="36"/>
      <c r="D126" s="98"/>
      <c r="E126" s="27"/>
      <c r="F126" s="13"/>
      <c r="G126" s="27"/>
      <c r="H126" s="27"/>
      <c r="I126" s="27"/>
      <c r="J126" s="27"/>
      <c r="K126" s="27"/>
      <c r="L126" s="27"/>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row>
    <row r="127" ht="12.75" customHeight="1">
      <c r="A127" s="28"/>
      <c r="B127" s="57"/>
      <c r="C127" s="36"/>
      <c r="D127" s="98"/>
      <c r="E127" s="27"/>
      <c r="F127" s="13"/>
      <c r="G127" s="25" t="str">
        <f t="shared" ref="G127:Q127" si="50">SUM(G94:G126)</f>
        <v>#REF!</v>
      </c>
      <c r="H127" s="25" t="str">
        <f t="shared" si="50"/>
        <v>#REF!</v>
      </c>
      <c r="I127" s="25" t="str">
        <f t="shared" si="50"/>
        <v>#REF!</v>
      </c>
      <c r="J127" s="25" t="str">
        <f t="shared" si="50"/>
        <v>#REF!</v>
      </c>
      <c r="K127" s="25">
        <f t="shared" si="50"/>
        <v>12</v>
      </c>
      <c r="L127" s="25">
        <f t="shared" si="50"/>
        <v>795</v>
      </c>
      <c r="M127" s="25" t="str">
        <f t="shared" si="50"/>
        <v>#REF!</v>
      </c>
      <c r="N127" s="25" t="str">
        <f t="shared" si="50"/>
        <v>#REF!</v>
      </c>
      <c r="O127" s="25" t="str">
        <f t="shared" si="50"/>
        <v>#REF!</v>
      </c>
      <c r="P127" s="25">
        <f t="shared" si="50"/>
        <v>4</v>
      </c>
      <c r="Q127" s="25">
        <f t="shared" si="50"/>
        <v>0</v>
      </c>
      <c r="R127" s="25" t="str">
        <f t="shared" ref="R127:V127" si="51">SUM(R98:R126)</f>
        <v>#REF!</v>
      </c>
      <c r="S127" s="25" t="str">
        <f t="shared" si="51"/>
        <v>#REF!</v>
      </c>
      <c r="T127" s="3" t="str">
        <f t="shared" si="51"/>
        <v>#REF!</v>
      </c>
      <c r="U127" s="3">
        <f t="shared" si="51"/>
        <v>40</v>
      </c>
      <c r="V127" s="25">
        <f t="shared" si="51"/>
        <v>0</v>
      </c>
      <c r="W127" s="25">
        <f t="shared" ref="W127:AA127" si="52">SUM(W111:W126)</f>
        <v>3</v>
      </c>
      <c r="X127" s="25">
        <f t="shared" si="52"/>
        <v>3</v>
      </c>
      <c r="Y127" s="3">
        <f t="shared" si="52"/>
        <v>6</v>
      </c>
      <c r="Z127" s="3">
        <f t="shared" si="52"/>
        <v>0</v>
      </c>
      <c r="AA127" s="25">
        <f t="shared" si="52"/>
        <v>0</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row>
    <row r="128" ht="12.75" customHeight="1">
      <c r="A128" s="28"/>
      <c r="B128" s="57"/>
      <c r="C128" s="36"/>
      <c r="D128" s="98"/>
      <c r="E128" s="27"/>
      <c r="F128" s="13"/>
      <c r="G128" s="27"/>
      <c r="H128" s="27"/>
      <c r="I128" s="27"/>
      <c r="J128" s="27"/>
      <c r="K128" s="27"/>
      <c r="L128" s="27"/>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row>
    <row r="129" ht="12.75" customHeight="1">
      <c r="A129" s="28"/>
      <c r="B129" s="57"/>
      <c r="C129" s="36"/>
      <c r="D129" s="98"/>
      <c r="E129" s="27"/>
      <c r="F129" s="13"/>
      <c r="G129" s="27"/>
      <c r="H129" s="27"/>
      <c r="I129" s="27"/>
      <c r="J129" s="27"/>
      <c r="K129" s="27"/>
      <c r="L129" s="27"/>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row>
    <row r="130" ht="12.75" customHeight="1">
      <c r="A130" s="28"/>
      <c r="B130" s="57"/>
      <c r="C130" s="36"/>
      <c r="D130" s="98"/>
      <c r="E130" s="27"/>
      <c r="F130" s="13"/>
      <c r="G130" s="27"/>
      <c r="H130" s="27"/>
      <c r="I130" s="27">
        <f t="shared" ref="I130:I133" si="53">AT7*AU7</f>
        <v>3</v>
      </c>
      <c r="J130" s="27">
        <f t="shared" ref="J130:J133" si="54">I130*AV7</f>
        <v>150</v>
      </c>
      <c r="K130" s="27"/>
      <c r="L130" s="27"/>
      <c r="M130" s="3"/>
      <c r="N130" s="3"/>
      <c r="O130" s="3"/>
      <c r="P130" s="3"/>
      <c r="Q130" s="3"/>
      <c r="R130" s="3">
        <f>I130</f>
        <v>3</v>
      </c>
      <c r="S130" s="3">
        <f>I131</f>
        <v>3</v>
      </c>
      <c r="T130" s="3">
        <f>I132+I133</f>
        <v>11</v>
      </c>
      <c r="U130" s="3">
        <v>0.0</v>
      </c>
      <c r="V130" s="3">
        <v>0.0</v>
      </c>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row>
    <row r="131" ht="12.75" customHeight="1">
      <c r="A131" s="28"/>
      <c r="B131" s="57"/>
      <c r="C131" s="36"/>
      <c r="D131" s="98"/>
      <c r="E131" s="27"/>
      <c r="F131" s="13"/>
      <c r="G131" s="27"/>
      <c r="H131" s="27"/>
      <c r="I131" s="27">
        <f t="shared" si="53"/>
        <v>3</v>
      </c>
      <c r="J131" s="27">
        <f t="shared" si="54"/>
        <v>180</v>
      </c>
      <c r="K131" s="27"/>
      <c r="L131" s="27"/>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row>
    <row r="132" ht="12.75" customHeight="1">
      <c r="A132" s="28"/>
      <c r="B132" s="57"/>
      <c r="C132" s="36"/>
      <c r="D132" s="98"/>
      <c r="E132" s="27"/>
      <c r="F132" s="13"/>
      <c r="G132" s="27"/>
      <c r="H132" s="27"/>
      <c r="I132" s="27">
        <f t="shared" si="53"/>
        <v>3</v>
      </c>
      <c r="J132" s="27">
        <f t="shared" si="54"/>
        <v>210</v>
      </c>
      <c r="K132" s="27"/>
      <c r="L132" s="27"/>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row>
    <row r="133" ht="12.75" customHeight="1">
      <c r="A133" s="28"/>
      <c r="B133" s="57"/>
      <c r="C133" s="36"/>
      <c r="D133" s="98"/>
      <c r="E133" s="27"/>
      <c r="F133" s="13"/>
      <c r="G133" s="27"/>
      <c r="H133" s="27"/>
      <c r="I133" s="27">
        <f t="shared" si="53"/>
        <v>8</v>
      </c>
      <c r="J133" s="27">
        <f t="shared" si="54"/>
        <v>640</v>
      </c>
      <c r="K133" s="27"/>
      <c r="L133" s="27"/>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row>
    <row r="134" ht="12.75" customHeight="1">
      <c r="A134" s="28"/>
      <c r="B134" s="57"/>
      <c r="C134" s="36"/>
      <c r="D134" s="98"/>
      <c r="E134" s="27"/>
      <c r="F134" s="13"/>
      <c r="G134" s="27"/>
      <c r="H134" s="27"/>
      <c r="I134" s="27"/>
      <c r="J134" s="27"/>
      <c r="K134" s="27">
        <f t="shared" ref="K134:K136" si="55">AT11*AU11</f>
        <v>3</v>
      </c>
      <c r="L134" s="27">
        <f t="shared" ref="L134:L136" si="56">K134*AV11</f>
        <v>150</v>
      </c>
      <c r="M134" s="3"/>
      <c r="N134" s="3"/>
      <c r="O134" s="3"/>
      <c r="P134" s="3"/>
      <c r="Q134" s="3"/>
      <c r="R134" s="3"/>
      <c r="S134" s="3"/>
      <c r="T134" s="3"/>
      <c r="U134" s="3"/>
      <c r="V134" s="3"/>
      <c r="W134" s="3">
        <f>K134</f>
        <v>3</v>
      </c>
      <c r="X134" s="3">
        <f>K135</f>
        <v>3</v>
      </c>
      <c r="Y134" s="3">
        <f>K136</f>
        <v>3</v>
      </c>
      <c r="Z134" s="3">
        <v>0.0</v>
      </c>
      <c r="AA134" s="3">
        <v>0.0</v>
      </c>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row>
    <row r="135" ht="12.75" customHeight="1">
      <c r="A135" s="28"/>
      <c r="B135" s="57"/>
      <c r="C135" s="36"/>
      <c r="D135" s="98"/>
      <c r="E135" s="27"/>
      <c r="F135" s="13"/>
      <c r="G135" s="27"/>
      <c r="H135" s="27"/>
      <c r="I135" s="27"/>
      <c r="J135" s="27"/>
      <c r="K135" s="27">
        <f t="shared" si="55"/>
        <v>3</v>
      </c>
      <c r="L135" s="27">
        <f t="shared" si="56"/>
        <v>180</v>
      </c>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row>
    <row r="136" ht="12.75" customHeight="1">
      <c r="A136" s="28"/>
      <c r="B136" s="57"/>
      <c r="C136" s="36"/>
      <c r="D136" s="98"/>
      <c r="E136" s="27"/>
      <c r="F136" s="13"/>
      <c r="G136" s="27"/>
      <c r="H136" s="27"/>
      <c r="I136" s="27"/>
      <c r="J136" s="27"/>
      <c r="K136" s="27">
        <f t="shared" si="55"/>
        <v>3</v>
      </c>
      <c r="L136" s="27">
        <f t="shared" si="56"/>
        <v>210</v>
      </c>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row>
    <row r="137" ht="12.75" customHeight="1">
      <c r="A137" s="28"/>
      <c r="B137" s="57"/>
      <c r="C137" s="36"/>
      <c r="D137" s="98"/>
      <c r="E137" s="27"/>
      <c r="F137" s="13"/>
      <c r="G137" s="27"/>
      <c r="H137" s="27"/>
      <c r="I137" s="27"/>
      <c r="J137" s="27"/>
      <c r="K137" s="27"/>
      <c r="L137" s="27"/>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row>
    <row r="138" ht="12.75" customHeight="1">
      <c r="A138" s="28"/>
      <c r="B138" s="57"/>
      <c r="C138" s="36"/>
      <c r="D138" s="98"/>
      <c r="E138" s="27"/>
      <c r="F138" s="13"/>
      <c r="G138" s="27"/>
      <c r="H138" s="27"/>
      <c r="I138" s="27"/>
      <c r="J138" s="27"/>
      <c r="K138" s="27"/>
      <c r="L138" s="27"/>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row>
    <row r="139" ht="12.75" customHeight="1">
      <c r="A139" s="28"/>
      <c r="B139" s="57"/>
      <c r="C139" s="36"/>
      <c r="D139" s="98"/>
      <c r="E139" s="27"/>
      <c r="F139" s="13"/>
      <c r="G139" s="27"/>
      <c r="H139" s="27"/>
      <c r="I139" s="27"/>
      <c r="J139" s="27"/>
      <c r="K139" s="27"/>
      <c r="L139" s="27"/>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row>
    <row r="140" ht="12.75" customHeight="1">
      <c r="A140" s="28"/>
      <c r="B140" s="57"/>
      <c r="C140" s="36"/>
      <c r="D140" s="98"/>
      <c r="E140" s="27"/>
      <c r="F140" s="13"/>
      <c r="G140" s="27" t="str">
        <f t="shared" ref="G140:G142" si="57">AT19*AU19</f>
        <v>#VALUE!</v>
      </c>
      <c r="H140" s="27" t="str">
        <f t="shared" ref="H140:H142" si="58">G140*AV19</f>
        <v>#VALUE!</v>
      </c>
      <c r="I140" s="27"/>
      <c r="J140" s="27"/>
      <c r="K140" s="27"/>
      <c r="L140" s="27"/>
      <c r="M140" s="3" t="str">
        <f>G140</f>
        <v>#VALUE!</v>
      </c>
      <c r="N140" s="3">
        <f>G141</f>
        <v>3</v>
      </c>
      <c r="O140" s="3">
        <f>G142</f>
        <v>3</v>
      </c>
      <c r="P140" s="3">
        <v>0.0</v>
      </c>
      <c r="Q140" s="3">
        <v>0.0</v>
      </c>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row>
    <row r="141" ht="12.75" customHeight="1">
      <c r="A141" s="28"/>
      <c r="B141" s="57"/>
      <c r="C141" s="36"/>
      <c r="D141" s="98"/>
      <c r="E141" s="27"/>
      <c r="F141" s="13"/>
      <c r="G141" s="27">
        <f t="shared" si="57"/>
        <v>3</v>
      </c>
      <c r="H141" s="27">
        <f t="shared" si="58"/>
        <v>150</v>
      </c>
      <c r="I141" s="27"/>
      <c r="J141" s="27"/>
      <c r="K141" s="27"/>
      <c r="L141" s="27"/>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row>
    <row r="142" ht="12.75" customHeight="1">
      <c r="A142" s="28"/>
      <c r="B142" s="57"/>
      <c r="C142" s="36"/>
      <c r="D142" s="98"/>
      <c r="E142" s="27"/>
      <c r="F142" s="13"/>
      <c r="G142" s="27">
        <f t="shared" si="57"/>
        <v>3</v>
      </c>
      <c r="H142" s="27">
        <f t="shared" si="58"/>
        <v>180</v>
      </c>
      <c r="I142" s="27"/>
      <c r="J142" s="27"/>
      <c r="K142" s="27"/>
      <c r="L142" s="27"/>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row>
    <row r="143" ht="12.75" customHeight="1">
      <c r="A143" s="28"/>
      <c r="B143" s="57"/>
      <c r="C143" s="36"/>
      <c r="D143" s="98"/>
      <c r="E143" s="27"/>
      <c r="F143" s="13"/>
      <c r="G143" s="27"/>
      <c r="H143" s="27"/>
      <c r="I143" s="27">
        <f t="shared" ref="I143:I145" si="59">AT22*AU22</f>
        <v>3</v>
      </c>
      <c r="J143" s="27">
        <f t="shared" ref="J143:J145" si="60">I143*AV22</f>
        <v>210</v>
      </c>
      <c r="K143" s="27"/>
      <c r="L143" s="27"/>
      <c r="M143" s="3"/>
      <c r="N143" s="3"/>
      <c r="O143" s="3"/>
      <c r="P143" s="3"/>
      <c r="Q143" s="3"/>
      <c r="R143" s="3">
        <f>I143</f>
        <v>3</v>
      </c>
      <c r="S143" s="3">
        <f>I144</f>
        <v>4</v>
      </c>
      <c r="T143" s="3">
        <f>I145</f>
        <v>2</v>
      </c>
      <c r="U143" s="3">
        <v>0.0</v>
      </c>
      <c r="V143" s="3">
        <v>0.0</v>
      </c>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row>
    <row r="144" ht="12.75" customHeight="1">
      <c r="A144" s="28"/>
      <c r="B144" s="57"/>
      <c r="C144" s="36"/>
      <c r="D144" s="98"/>
      <c r="E144" s="27"/>
      <c r="F144" s="13"/>
      <c r="G144" s="27"/>
      <c r="H144" s="27"/>
      <c r="I144" s="27">
        <f t="shared" si="59"/>
        <v>4</v>
      </c>
      <c r="J144" s="27">
        <f t="shared" si="60"/>
        <v>320</v>
      </c>
      <c r="K144" s="27"/>
      <c r="L144" s="27"/>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row>
    <row r="145" ht="12.75" customHeight="1">
      <c r="A145" s="28"/>
      <c r="B145" s="57"/>
      <c r="C145" s="36"/>
      <c r="D145" s="98"/>
      <c r="E145" s="27"/>
      <c r="F145" s="13"/>
      <c r="G145" s="27"/>
      <c r="H145" s="27"/>
      <c r="I145" s="27">
        <f t="shared" si="59"/>
        <v>2</v>
      </c>
      <c r="J145" s="27">
        <f t="shared" si="60"/>
        <v>100</v>
      </c>
      <c r="K145" s="27"/>
      <c r="L145" s="27"/>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row>
    <row r="146" ht="12.75" customHeight="1">
      <c r="A146" s="28"/>
      <c r="B146" s="57"/>
      <c r="C146" s="36"/>
      <c r="D146" s="98"/>
      <c r="E146" s="27"/>
      <c r="F146" s="13"/>
      <c r="G146" s="25" t="str">
        <f t="shared" ref="G146:L146" si="61">SUM(G130:G145)</f>
        <v>#VALUE!</v>
      </c>
      <c r="H146" s="25" t="str">
        <f t="shared" si="61"/>
        <v>#VALUE!</v>
      </c>
      <c r="I146" s="25">
        <f t="shared" si="61"/>
        <v>26</v>
      </c>
      <c r="J146" s="25">
        <f t="shared" si="61"/>
        <v>1810</v>
      </c>
      <c r="K146" s="25">
        <f t="shared" si="61"/>
        <v>9</v>
      </c>
      <c r="L146" s="25">
        <f t="shared" si="61"/>
        <v>540</v>
      </c>
      <c r="M146" s="25" t="str">
        <f t="shared" ref="M146:Q146" si="62">SUM(M140:M145)</f>
        <v>#VALUE!</v>
      </c>
      <c r="N146" s="25">
        <f t="shared" si="62"/>
        <v>3</v>
      </c>
      <c r="O146" s="3">
        <f t="shared" si="62"/>
        <v>3</v>
      </c>
      <c r="P146" s="3">
        <f t="shared" si="62"/>
        <v>0</v>
      </c>
      <c r="Q146" s="25">
        <f t="shared" si="62"/>
        <v>0</v>
      </c>
      <c r="R146" s="25">
        <f t="shared" ref="R146:V146" si="63">SUM(R130:R145)</f>
        <v>6</v>
      </c>
      <c r="S146" s="25">
        <f t="shared" si="63"/>
        <v>7</v>
      </c>
      <c r="T146" s="3">
        <f t="shared" si="63"/>
        <v>13</v>
      </c>
      <c r="U146" s="3">
        <f t="shared" si="63"/>
        <v>0</v>
      </c>
      <c r="V146" s="25">
        <f t="shared" si="63"/>
        <v>0</v>
      </c>
      <c r="W146" s="25">
        <f t="shared" ref="W146:AA146" si="64">SUM(W134:W145)</f>
        <v>3</v>
      </c>
      <c r="X146" s="25">
        <f t="shared" si="64"/>
        <v>3</v>
      </c>
      <c r="Y146" s="3">
        <f t="shared" si="64"/>
        <v>3</v>
      </c>
      <c r="Z146" s="3">
        <f t="shared" si="64"/>
        <v>0</v>
      </c>
      <c r="AA146" s="25">
        <f t="shared" si="64"/>
        <v>0</v>
      </c>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row>
    <row r="147" ht="12.75" customHeight="1">
      <c r="A147" s="28"/>
      <c r="B147" s="57"/>
      <c r="C147" s="36"/>
      <c r="D147" s="98"/>
      <c r="E147" s="27"/>
      <c r="F147" s="13"/>
      <c r="G147" s="27"/>
      <c r="H147" s="27"/>
      <c r="I147" s="27"/>
      <c r="J147" s="27"/>
      <c r="K147" s="27"/>
      <c r="L147" s="27"/>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row>
    <row r="148" ht="12.75" customHeight="1">
      <c r="A148" s="28"/>
      <c r="B148" s="57"/>
      <c r="C148" s="36"/>
      <c r="D148" s="98"/>
      <c r="E148" s="27"/>
      <c r="F148" s="13"/>
      <c r="G148" s="27"/>
      <c r="H148" s="27"/>
      <c r="I148" s="27"/>
      <c r="J148" s="27"/>
      <c r="K148" s="27"/>
      <c r="L148" s="27"/>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row>
    <row r="149" ht="12.75" customHeight="1">
      <c r="A149" s="28"/>
      <c r="B149" s="57"/>
      <c r="C149" s="36"/>
      <c r="D149" s="98"/>
      <c r="E149" s="27"/>
      <c r="F149" s="13"/>
      <c r="G149" s="99" t="str">
        <f t="shared" ref="G149:AA149" si="65">SUM(G146+G127+G90+G45)</f>
        <v>#VALUE!</v>
      </c>
      <c r="H149" s="99" t="str">
        <f t="shared" si="65"/>
        <v>#VALUE!</v>
      </c>
      <c r="I149" s="99" t="str">
        <f t="shared" si="65"/>
        <v>#REF!</v>
      </c>
      <c r="J149" s="99" t="str">
        <f t="shared" si="65"/>
        <v>#REF!</v>
      </c>
      <c r="K149" s="99" t="str">
        <f t="shared" si="65"/>
        <v>#REF!</v>
      </c>
      <c r="L149" s="99" t="str">
        <f t="shared" si="65"/>
        <v>#REF!</v>
      </c>
      <c r="M149" s="99" t="str">
        <f t="shared" si="65"/>
        <v>#VALUE!</v>
      </c>
      <c r="N149" s="99" t="str">
        <f t="shared" si="65"/>
        <v>#REF!</v>
      </c>
      <c r="O149" s="99" t="str">
        <f t="shared" si="65"/>
        <v>#REF!</v>
      </c>
      <c r="P149" s="99" t="str">
        <f t="shared" si="65"/>
        <v>#REF!</v>
      </c>
      <c r="Q149" s="99">
        <f t="shared" si="65"/>
        <v>17</v>
      </c>
      <c r="R149" s="99" t="str">
        <f t="shared" si="65"/>
        <v>#REF!</v>
      </c>
      <c r="S149" s="99" t="str">
        <f t="shared" si="65"/>
        <v>#REF!</v>
      </c>
      <c r="T149" s="99" t="str">
        <f t="shared" si="65"/>
        <v>#REF!</v>
      </c>
      <c r="U149" s="99">
        <f t="shared" si="65"/>
        <v>83</v>
      </c>
      <c r="V149" s="99">
        <f t="shared" si="65"/>
        <v>22</v>
      </c>
      <c r="W149" s="99">
        <f t="shared" si="65"/>
        <v>11</v>
      </c>
      <c r="X149" s="99">
        <f t="shared" si="65"/>
        <v>34</v>
      </c>
      <c r="Y149" s="99" t="str">
        <f t="shared" si="65"/>
        <v>#REF!</v>
      </c>
      <c r="Z149" s="99" t="str">
        <f t="shared" si="65"/>
        <v>#REF!</v>
      </c>
      <c r="AA149" s="99">
        <f t="shared" si="65"/>
        <v>8</v>
      </c>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row>
    <row r="150" ht="12.75" customHeight="1">
      <c r="A150" s="28"/>
      <c r="B150" s="57"/>
      <c r="C150" s="36"/>
      <c r="D150" s="98"/>
      <c r="E150" s="27"/>
      <c r="F150" s="13"/>
      <c r="G150" s="27"/>
      <c r="H150" s="27"/>
      <c r="I150" s="27"/>
      <c r="J150" s="27"/>
      <c r="K150" s="27"/>
      <c r="L150" s="27"/>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row>
    <row r="151" ht="12.75" customHeight="1">
      <c r="A151" s="28"/>
      <c r="B151" s="57"/>
      <c r="C151" s="36"/>
      <c r="D151" s="98"/>
      <c r="E151" s="27"/>
      <c r="F151" s="13"/>
      <c r="G151" s="99"/>
      <c r="H151" s="99"/>
      <c r="I151" s="99"/>
      <c r="J151" s="99"/>
      <c r="K151" s="99"/>
      <c r="L151" s="99"/>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row>
    <row r="152" ht="12.75" customHeight="1">
      <c r="A152" s="28"/>
      <c r="B152" s="57"/>
      <c r="C152" s="36"/>
      <c r="D152" s="98"/>
      <c r="E152" s="27"/>
      <c r="F152" s="13"/>
      <c r="G152" s="27"/>
      <c r="H152" s="27"/>
      <c r="I152" s="27"/>
      <c r="J152" s="27"/>
      <c r="K152" s="27"/>
      <c r="L152" s="27"/>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row>
    <row r="153" ht="12.75" customHeight="1">
      <c r="A153" s="28"/>
      <c r="B153" s="57"/>
      <c r="C153" s="36"/>
      <c r="D153" s="98"/>
      <c r="E153" s="27"/>
      <c r="F153" s="1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row>
    <row r="154" ht="12.75" customHeight="1">
      <c r="A154" s="28"/>
      <c r="B154" s="57"/>
      <c r="C154" s="36"/>
      <c r="D154" s="98"/>
      <c r="E154" s="27"/>
      <c r="F154" s="1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row>
    <row r="155" ht="12.75" customHeight="1">
      <c r="A155" s="28"/>
      <c r="B155" s="57"/>
      <c r="C155" s="36"/>
      <c r="D155" s="98"/>
      <c r="E155" s="27"/>
      <c r="F155" s="1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row>
    <row r="156" ht="12.75" customHeight="1">
      <c r="A156" s="28"/>
      <c r="B156" s="57"/>
      <c r="C156" s="36"/>
      <c r="D156" s="98"/>
      <c r="E156" s="27"/>
      <c r="F156" s="1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row>
    <row r="157" ht="12.75" customHeight="1">
      <c r="A157" s="28"/>
      <c r="B157" s="57"/>
      <c r="C157" s="36"/>
      <c r="D157" s="98"/>
      <c r="E157" s="27"/>
      <c r="F157" s="1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row>
    <row r="158" ht="12.75" customHeight="1">
      <c r="A158" s="28"/>
      <c r="B158" s="57"/>
      <c r="C158" s="36"/>
      <c r="D158" s="98"/>
      <c r="E158" s="27"/>
      <c r="F158" s="1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row>
    <row r="159" ht="12.75" customHeight="1">
      <c r="A159" s="28"/>
      <c r="B159" s="57"/>
      <c r="C159" s="36"/>
      <c r="D159" s="98"/>
      <c r="E159" s="27"/>
      <c r="F159" s="1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row>
    <row r="160" ht="12.75" customHeight="1">
      <c r="A160" s="28"/>
      <c r="B160" s="57"/>
      <c r="C160" s="36"/>
      <c r="D160" s="98"/>
      <c r="E160" s="27"/>
      <c r="F160" s="1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row>
    <row r="161" ht="12.75" customHeight="1">
      <c r="A161" s="28"/>
      <c r="B161" s="57"/>
      <c r="C161" s="36"/>
      <c r="D161" s="98"/>
      <c r="E161" s="27"/>
      <c r="F161" s="1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row>
    <row r="162" ht="12.75" customHeight="1">
      <c r="A162" s="28"/>
      <c r="B162" s="57"/>
      <c r="C162" s="36"/>
      <c r="D162" s="98"/>
      <c r="E162" s="27"/>
      <c r="F162" s="1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row>
    <row r="163" ht="12.75" customHeight="1">
      <c r="A163" s="28"/>
      <c r="B163" s="57"/>
      <c r="C163" s="36"/>
      <c r="D163" s="98"/>
      <c r="E163" s="27"/>
      <c r="F163" s="1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row>
    <row r="164" ht="12.75" customHeight="1">
      <c r="A164" s="28"/>
      <c r="B164" s="57"/>
      <c r="C164" s="36"/>
      <c r="D164" s="98"/>
      <c r="E164" s="27"/>
      <c r="F164" s="1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row>
    <row r="165" ht="12.75" customHeight="1">
      <c r="A165" s="28"/>
      <c r="B165" s="57"/>
      <c r="C165" s="36"/>
      <c r="D165" s="98"/>
      <c r="E165" s="27"/>
      <c r="F165" s="1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row>
    <row r="166" ht="12.75" customHeight="1">
      <c r="A166" s="28"/>
      <c r="B166" s="57"/>
      <c r="C166" s="36"/>
      <c r="D166" s="98"/>
      <c r="E166" s="27"/>
      <c r="F166" s="1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row>
    <row r="167" ht="12.75" customHeight="1">
      <c r="A167" s="28"/>
      <c r="B167" s="57"/>
      <c r="C167" s="36"/>
      <c r="D167" s="98"/>
      <c r="E167" s="27"/>
      <c r="F167" s="1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row>
    <row r="168" ht="12.75" customHeight="1">
      <c r="A168" s="28"/>
      <c r="B168" s="57"/>
      <c r="C168" s="36"/>
      <c r="D168" s="98"/>
      <c r="E168" s="27"/>
      <c r="F168" s="1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row>
    <row r="169" ht="12.75" customHeight="1">
      <c r="A169" s="28"/>
      <c r="B169" s="57"/>
      <c r="C169" s="36"/>
      <c r="D169" s="98"/>
      <c r="E169" s="27"/>
      <c r="F169" s="1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row>
    <row r="170" ht="12.75" customHeight="1">
      <c r="A170" s="28"/>
      <c r="B170" s="57"/>
      <c r="C170" s="36"/>
      <c r="D170" s="98"/>
      <c r="E170" s="27"/>
      <c r="F170" s="1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row>
    <row r="171" ht="12.75" customHeight="1">
      <c r="A171" s="28"/>
      <c r="B171" s="57"/>
      <c r="C171" s="36"/>
      <c r="D171" s="98"/>
      <c r="E171" s="27"/>
      <c r="F171" s="1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row>
    <row r="172" ht="12.75" customHeight="1">
      <c r="A172" s="28"/>
      <c r="B172" s="57"/>
      <c r="C172" s="36"/>
      <c r="D172" s="98"/>
      <c r="E172" s="27"/>
      <c r="F172" s="1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row>
    <row r="173" ht="12.75" customHeight="1">
      <c r="A173" s="28"/>
      <c r="B173" s="57"/>
      <c r="C173" s="36"/>
      <c r="D173" s="98"/>
      <c r="E173" s="27"/>
      <c r="F173" s="1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row>
    <row r="174" ht="12.75" customHeight="1">
      <c r="A174" s="28"/>
      <c r="B174" s="57"/>
      <c r="C174" s="36"/>
      <c r="D174" s="98"/>
      <c r="E174" s="27"/>
      <c r="F174" s="1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row>
    <row r="175" ht="12.75" customHeight="1">
      <c r="A175" s="28"/>
      <c r="B175" s="57"/>
      <c r="C175" s="36"/>
      <c r="D175" s="98"/>
      <c r="E175" s="27"/>
      <c r="F175" s="1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row>
    <row r="176" ht="12.75" customHeight="1">
      <c r="A176" s="28"/>
      <c r="B176" s="57"/>
      <c r="C176" s="36"/>
      <c r="D176" s="98"/>
      <c r="E176" s="27"/>
      <c r="F176" s="1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row>
    <row r="177" ht="12.75" customHeight="1">
      <c r="A177" s="28"/>
      <c r="B177" s="57"/>
      <c r="C177" s="36"/>
      <c r="D177" s="98"/>
      <c r="E177" s="27"/>
      <c r="F177" s="1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row>
    <row r="178" ht="12.75" customHeight="1">
      <c r="A178" s="28"/>
      <c r="B178" s="57"/>
      <c r="C178" s="36"/>
      <c r="D178" s="98"/>
      <c r="E178" s="27"/>
      <c r="F178" s="1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row>
    <row r="179" ht="12.75" customHeight="1">
      <c r="A179" s="28"/>
      <c r="B179" s="57"/>
      <c r="C179" s="36"/>
      <c r="D179" s="98"/>
      <c r="E179" s="27"/>
      <c r="F179" s="1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row>
    <row r="180" ht="12.75" customHeight="1">
      <c r="A180" s="28"/>
      <c r="B180" s="57"/>
      <c r="C180" s="36"/>
      <c r="D180" s="98"/>
      <c r="E180" s="27"/>
      <c r="F180" s="1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row>
    <row r="181" ht="12.75" customHeight="1">
      <c r="A181" s="28"/>
      <c r="B181" s="57"/>
      <c r="C181" s="36"/>
      <c r="D181" s="98"/>
      <c r="E181" s="27"/>
      <c r="F181" s="1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row>
    <row r="182" ht="12.75" customHeight="1">
      <c r="A182" s="28"/>
      <c r="B182" s="57"/>
      <c r="C182" s="36"/>
      <c r="D182" s="98"/>
      <c r="E182" s="27"/>
      <c r="F182" s="1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row>
    <row r="183" ht="12.75" customHeight="1">
      <c r="A183" s="28"/>
      <c r="B183" s="57"/>
      <c r="C183" s="36"/>
      <c r="D183" s="98"/>
      <c r="E183" s="27"/>
      <c r="F183" s="1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row>
    <row r="184" ht="12.75" customHeight="1">
      <c r="A184" s="28"/>
      <c r="B184" s="57"/>
      <c r="C184" s="36"/>
      <c r="D184" s="98"/>
      <c r="E184" s="27"/>
      <c r="F184" s="1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row>
    <row r="185" ht="12.75" customHeight="1">
      <c r="A185" s="28"/>
      <c r="B185" s="57"/>
      <c r="C185" s="36"/>
      <c r="D185" s="98"/>
      <c r="E185" s="27"/>
      <c r="F185" s="1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row>
    <row r="186" ht="12.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row>
    <row r="187" ht="12.75" customHeight="1">
      <c r="A187" s="28"/>
      <c r="B187" s="57"/>
      <c r="C187" s="36"/>
      <c r="D187" s="98"/>
      <c r="E187" s="27"/>
      <c r="F187" s="13"/>
      <c r="G187" s="27"/>
      <c r="H187" s="27"/>
      <c r="I187" s="27"/>
      <c r="J187" s="27"/>
      <c r="K187" s="27"/>
      <c r="L187" s="27"/>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row>
    <row r="188" ht="13.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row>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J5:AK5"/>
    <mergeCell ref="AJ6:AK6"/>
    <mergeCell ref="AX5:AY5"/>
    <mergeCell ref="AX6:AY6"/>
    <mergeCell ref="AX16:AY16"/>
    <mergeCell ref="AX24:AY24"/>
    <mergeCell ref="AX25:BC27"/>
    <mergeCell ref="B2:F2"/>
    <mergeCell ref="A5:B5"/>
    <mergeCell ref="AC5:AD5"/>
    <mergeCell ref="AQ5:AR5"/>
    <mergeCell ref="A6:B6"/>
    <mergeCell ref="AC6:AD6"/>
    <mergeCell ref="AQ6:AR6"/>
  </mergeCells>
  <drawing r:id="rId1"/>
</worksheet>
</file>